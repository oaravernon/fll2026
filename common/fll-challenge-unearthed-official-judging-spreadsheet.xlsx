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Team and Program Information" sheetId="2" r:id="rId5"/>
    <sheet state="visible" name="Results and Rankings" sheetId="3" r:id="rId6"/>
    <sheet state="visible" name="Innovation Project Input" sheetId="4" r:id="rId7"/>
    <sheet state="visible" name="Robot Design Input" sheetId="5" r:id="rId8"/>
    <sheet state="visible" name="Robot Game Scores" sheetId="6" r:id="rId9"/>
    <sheet state="visible" name="Core Values Input" sheetId="7" r:id="rId10"/>
    <sheet state="hidden" name="GP Scores" sheetId="8" r:id="rId11"/>
    <sheet state="visible" name="Area Deliberations" sheetId="9" r:id="rId12"/>
  </sheets>
  <definedNames>
    <definedName name="NumberOfTeams">'Team and Program Information'!$A$5</definedName>
    <definedName name="AwardListLookup">'Team and Program Information'!$A$11:$A$20</definedName>
    <definedName name="NumberofTeamsAdvancing">'Team and Program Information'!$A$8</definedName>
  </definedNames>
  <calcPr/>
  <extLst>
    <ext uri="GoogleSheetsCustomDataVersion2">
      <go:sheetsCustomData xmlns:go="http://customooxmlschemas.google.com/" r:id="rId13" roundtripDataChecksum="n5HegfZOX1kWVc012z+SBUIq+3E/TVhCAjOA+XwxReA="/>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
      <text>
        <t xml:space="preserve">======
ID#AAABykh4Ns0
tc={9A469925-F20C-4614-B97A-3881973DB393}    (2026-01-14 00:01:32)
[Threaded comment]
Your version of Excel allows you to read this threaded comment; however, any edits to it will get removed if the file is opened in a newer version of Excel. Learn more: https://go.microsoft.com/fwlink/?linkid=870924
Comment:
    This cell must be updated manually for each event.</t>
      </text>
    </comment>
    <comment authorId="0" ref="A10">
      <text>
        <t xml:space="preserve">======
ID#AAABykh4Nsw
Georb    (2026-01-14 00:01:32)
This list of awards is a single column table and is used for the award dropdown in the Results and Rankings sheet. Currently, it has eight awards with two empty spaces. 
Extra award names could be added to cells A19 and A20 and they will appear in the Awards dropdown in the Results and Rankings sheet. 
To have more than ten awards, the "AwardListLookup" named range will be expanded to include the additional awards.</t>
      </text>
    </comment>
    <comment authorId="0" ref="A5">
      <text>
        <t xml:space="preserve">======
ID#AAABykh4Nss
tc={456B33F9-4752-4FA4-BDBC-A3B56339E078}    (2026-01-14 00:01:32)
[Threaded comment]
Your version of Excel allows you to read this threaded comment; however, any edits to it will get removed if the file is opened in a newer version of Excel. Learn more: https://go.microsoft.com/fwlink/?linkid=870924
Comment:
    This cell will calculate automatically once team information is added.</t>
      </text>
    </comment>
  </commentList>
  <extLst>
    <ext uri="GoogleSheetsCustomDataVersion2">
      <go:sheetsCustomData xmlns:go="http://customooxmlschemas.google.com/" r:id="rId1" roundtripDataSignature="AMtx7mhAqK2OuQnJrfnJlIYTtTXKC7cUkw=="/>
    </ext>
  </extLst>
</comments>
</file>

<file path=xl/sharedStrings.xml><?xml version="1.0" encoding="utf-8"?>
<sst xmlns="http://schemas.openxmlformats.org/spreadsheetml/2006/main" count="177" uniqueCount="116">
  <si>
    <t>DESIGNED FOR USE IN MICROSOFT EXCEL.
SOME FUNCTIONALITY MAY BE LOST IN OTHER APPLICATIONS.</t>
  </si>
  <si>
    <t>1.</t>
  </si>
  <si>
    <r>
      <rPr>
        <rFont val="Calibri"/>
        <color theme="1"/>
        <sz val="9.0"/>
      </rPr>
      <t>Open the '</t>
    </r>
    <r>
      <rPr>
        <rFont val="Calibri"/>
        <b/>
        <color theme="1"/>
        <sz val="9.0"/>
      </rPr>
      <t>Team and Program Information'</t>
    </r>
    <r>
      <rPr>
        <rFont val="Calibri"/>
        <color theme="1"/>
        <sz val="9.0"/>
      </rPr>
      <t xml:space="preserve"> page. Enter the </t>
    </r>
    <r>
      <rPr>
        <rFont val="Calibri"/>
        <b/>
        <color theme="1"/>
        <sz val="9.0"/>
      </rPr>
      <t xml:space="preserve">team numbers </t>
    </r>
    <r>
      <rPr>
        <rFont val="Calibri"/>
        <color theme="1"/>
        <sz val="9.0"/>
      </rPr>
      <t xml:space="preserve">and the </t>
    </r>
    <r>
      <rPr>
        <rFont val="Calibri"/>
        <b/>
        <color theme="1"/>
        <sz val="9.0"/>
      </rPr>
      <t>team names</t>
    </r>
    <r>
      <rPr>
        <rFont val="Calibri"/>
        <color theme="1"/>
        <sz val="9.0"/>
      </rPr>
      <t xml:space="preserve">. Also, the </t>
    </r>
    <r>
      <rPr>
        <rFont val="Calibri"/>
        <b/>
        <color theme="1"/>
        <sz val="9.0"/>
      </rPr>
      <t xml:space="preserve">number of teams </t>
    </r>
    <r>
      <rPr>
        <rFont val="Calibri"/>
        <color theme="1"/>
        <sz val="9.0"/>
      </rPr>
      <t xml:space="preserve">in this event as well as the number of teams </t>
    </r>
    <r>
      <rPr>
        <rFont val="Calibri"/>
        <b/>
        <color theme="1"/>
        <sz val="9.0"/>
      </rPr>
      <t xml:space="preserve">advancing </t>
    </r>
    <r>
      <rPr>
        <rFont val="Calibri"/>
        <color theme="1"/>
        <sz val="9.0"/>
      </rPr>
      <t>from this event in the box on the left. This information will show in the other sheets.</t>
    </r>
  </si>
  <si>
    <t>You may notice that the team names do not appear on the 'Robot Game Scores' page - don’t worry, some events use an import for this page, you can still enter the scores manually and the data will still populate the results and ranking list. Columns C-L in 'Core Values Input' are intentially hidden and no data should be typed in those cells.</t>
  </si>
  <si>
    <t>2.</t>
  </si>
  <si>
    <t xml:space="preserve">Many columns in the various tables have formulas. Please use caution to not accidentally edit or delete the formulas. </t>
  </si>
  <si>
    <t>3.</t>
  </si>
  <si>
    <r>
      <rPr>
        <rFont val="Calibri"/>
        <color theme="1"/>
        <sz val="9.0"/>
      </rPr>
      <t xml:space="preserve">Collect the rubric scores from the judges and the robot game scores (including </t>
    </r>
    <r>
      <rPr>
        <rFont val="Calibri"/>
        <i/>
        <color theme="1"/>
        <sz val="9.0"/>
      </rPr>
      <t>Gracious Professionalism</t>
    </r>
    <r>
      <rPr>
        <rFont val="Calibri"/>
        <color theme="1"/>
        <sz val="9.0"/>
      </rPr>
      <t xml:space="preserve">® scores) from the referees throughout the event and </t>
    </r>
    <r>
      <rPr>
        <rFont val="Calibri"/>
        <b/>
        <color theme="1"/>
        <sz val="9.0"/>
      </rPr>
      <t>enter the data</t>
    </r>
    <r>
      <rPr>
        <rFont val="Calibri"/>
        <color theme="1"/>
        <sz val="9.0"/>
      </rPr>
      <t xml:space="preserve"> into the corresponding sheets of this workbook.</t>
    </r>
  </si>
  <si>
    <r>
      <rPr>
        <rFont val="Calibri"/>
        <color theme="1"/>
        <sz val="9.0"/>
      </rPr>
      <t xml:space="preserve">Core Values scores, except </t>
    </r>
    <r>
      <rPr>
        <rFont val="Calibri"/>
        <i/>
        <color theme="1"/>
        <sz val="9.0"/>
      </rPr>
      <t xml:space="preserve">Gracious Professionalism </t>
    </r>
    <r>
      <rPr>
        <rFont val="Calibri"/>
        <color theme="1"/>
        <sz val="9.0"/>
      </rPr>
      <t>scores from the robot game, are populated automatically from the other rubric scores - no score information should be added to columns C-L on the 'Core Values Input' page.</t>
    </r>
  </si>
  <si>
    <t>4.</t>
  </si>
  <si>
    <r>
      <rPr>
        <rFont val="Calibri"/>
        <color theme="1"/>
        <sz val="9.0"/>
      </rPr>
      <t>When all the data has been inputted, go the '</t>
    </r>
    <r>
      <rPr>
        <rFont val="Calibri"/>
        <b/>
        <color theme="1"/>
        <sz val="9.0"/>
      </rPr>
      <t>Results and Rankings</t>
    </r>
    <r>
      <rPr>
        <rFont val="Calibri"/>
        <color theme="1"/>
        <sz val="9.0"/>
      </rPr>
      <t>' page to view all of the information in one place.</t>
    </r>
  </si>
  <si>
    <t>5.</t>
  </si>
  <si>
    <r>
      <rPr>
        <rFont val="Calibri"/>
        <color theme="1"/>
        <sz val="9.0"/>
      </rPr>
      <t xml:space="preserve">You are now ready to </t>
    </r>
    <r>
      <rPr>
        <rFont val="Calibri"/>
        <b/>
        <color theme="1"/>
        <sz val="9.0"/>
      </rPr>
      <t>allocate your awards</t>
    </r>
    <r>
      <rPr>
        <rFont val="Calibri"/>
        <color theme="1"/>
        <sz val="9.0"/>
      </rPr>
      <t xml:space="preserve"> based on your rankings using the 'Awards and Allocations' document in the judging toolkit.</t>
    </r>
  </si>
  <si>
    <t>Useful Tips:</t>
  </si>
  <si>
    <r>
      <rPr>
        <rFont val="Calibri"/>
        <color theme="1"/>
        <sz val="9.0"/>
      </rPr>
      <t xml:space="preserve">If you are copying data into the Input pages please remember to use the </t>
    </r>
    <r>
      <rPr>
        <rFont val="Calibri"/>
        <b/>
        <color theme="1"/>
        <sz val="9.0"/>
      </rPr>
      <t xml:space="preserve">'Paste Values' </t>
    </r>
    <r>
      <rPr>
        <rFont val="Calibri"/>
        <color theme="1"/>
        <sz val="9.0"/>
      </rPr>
      <t>or</t>
    </r>
    <r>
      <rPr>
        <rFont val="Calibri"/>
        <b/>
        <color theme="1"/>
        <sz val="9.0"/>
      </rPr>
      <t xml:space="preserve"> 'Use Destination Formatting'</t>
    </r>
    <r>
      <rPr>
        <rFont val="Calibri"/>
        <color theme="1"/>
        <sz val="9.0"/>
      </rPr>
      <t xml:space="preserve"> option.</t>
    </r>
  </si>
  <si>
    <r>
      <rPr>
        <rFont val="Calibri"/>
        <color theme="1"/>
        <sz val="9.0"/>
      </rPr>
      <t xml:space="preserve">You can sort your data by a specific column by clicking on the small arrow in the column header box and selecting </t>
    </r>
    <r>
      <rPr>
        <rFont val="Calibri"/>
        <b/>
        <color theme="1"/>
        <sz val="9.0"/>
      </rPr>
      <t>'sort smallest to largest'</t>
    </r>
    <r>
      <rPr>
        <rFont val="Calibri"/>
        <color theme="1"/>
        <sz val="9.0"/>
      </rPr>
      <t xml:space="preserve"> or 'A to Z'.</t>
    </r>
  </si>
  <si>
    <r>
      <rPr>
        <rFont val="Calibri"/>
        <color theme="1"/>
        <sz val="9.0"/>
      </rPr>
      <t xml:space="preserve">As you work with the OJS you should </t>
    </r>
    <r>
      <rPr>
        <rFont val="Calibri"/>
        <b/>
        <color theme="1"/>
        <sz val="9.0"/>
      </rPr>
      <t>save your spreadsheet regularly</t>
    </r>
    <r>
      <rPr>
        <rFont val="Calibri"/>
        <color theme="1"/>
        <sz val="9.0"/>
      </rPr>
      <t xml:space="preserve"> in case of IT issues.</t>
    </r>
  </si>
  <si>
    <r>
      <rPr>
        <rFont val="Calibri"/>
        <color theme="1"/>
        <sz val="9.0"/>
      </rPr>
      <t xml:space="preserve">If your event uses more than 3 official robot game matches, you can unhide columns G-H, using the plus (+) button above them, in 'Robot Game Scores' and columns P-Q in 'Core Values Input' for </t>
    </r>
    <r>
      <rPr>
        <rFont val="Calibri"/>
        <i/>
        <color theme="1"/>
        <sz val="9.0"/>
      </rPr>
      <t xml:space="preserve">Gracious Professionalism </t>
    </r>
    <r>
      <rPr>
        <rFont val="Calibri"/>
        <color theme="1"/>
        <sz val="9.0"/>
      </rPr>
      <t>scores.</t>
    </r>
  </si>
  <si>
    <t>(This stops the formatting and formulae being overwritten)</t>
  </si>
  <si>
    <r>
      <rPr>
        <rFont val="Calibri"/>
        <color theme="1"/>
        <sz val="9.0"/>
      </rPr>
      <t xml:space="preserve">If referees hand in printed scoresheets, robot game scores will need to be calclulated using the </t>
    </r>
    <r>
      <rPr>
        <rFont val="Calibri"/>
        <b/>
        <color theme="1"/>
        <sz val="9.0"/>
      </rPr>
      <t>'Official Scoring Calculator'</t>
    </r>
    <r>
      <rPr>
        <rFont val="Calibri"/>
        <color theme="1"/>
        <sz val="9.0"/>
      </rPr>
      <t xml:space="preserve"> tool (online).</t>
    </r>
  </si>
  <si>
    <t>Version</t>
  </si>
  <si>
    <r>
      <rPr>
        <rFont val="Calibri"/>
        <b/>
        <i/>
        <color rgb="FF000000"/>
        <sz val="20.0"/>
      </rPr>
      <t xml:space="preserve">FIRST® </t>
    </r>
    <r>
      <rPr>
        <rFont val="Calibri"/>
        <b/>
        <color rgb="FF000000"/>
        <sz val="20.0"/>
      </rPr>
      <t>LEGO</t>
    </r>
    <r>
      <rPr>
        <rFont val="Calibri"/>
        <b/>
        <color rgb="FF000000"/>
        <sz val="20.0"/>
      </rPr>
      <t>®</t>
    </r>
    <r>
      <rPr>
        <rFont val="Calibri"/>
        <b/>
        <color rgb="FF000000"/>
        <sz val="20.0"/>
      </rPr>
      <t xml:space="preserve"> League Challenge Official Judging Spreadsheet</t>
    </r>
  </si>
  <si>
    <t>UNEARTHED</t>
  </si>
  <si>
    <t>Row</t>
  </si>
  <si>
    <t>Team Number</t>
  </si>
  <si>
    <t>Team Name</t>
  </si>
  <si>
    <t>Coach</t>
  </si>
  <si>
    <t>Pod Number</t>
  </si>
  <si>
    <t>Number of Teams</t>
  </si>
  <si>
    <t>Number of Teams Advancing</t>
  </si>
  <si>
    <t>Award Lookup List</t>
  </si>
  <si>
    <t>Champion's</t>
  </si>
  <si>
    <t>Core Values</t>
  </si>
  <si>
    <t>Innovation Project</t>
  </si>
  <si>
    <t>Robot Design</t>
  </si>
  <si>
    <t>Engineering Excellence</t>
  </si>
  <si>
    <t>Breakthrough</t>
  </si>
  <si>
    <t>Rising All-Star</t>
  </si>
  <si>
    <t>Motivate</t>
  </si>
  <si>
    <t>Team Information</t>
  </si>
  <si>
    <t>Robot Game</t>
  </si>
  <si>
    <t>Judging</t>
  </si>
  <si>
    <t>Overall</t>
  </si>
  <si>
    <t>Awards &amp; Advancement</t>
  </si>
  <si>
    <t>Testing Items (Info Only)</t>
  </si>
  <si>
    <t>Comments</t>
  </si>
  <si>
    <t>Robot Game Score 1</t>
  </si>
  <si>
    <t>Robot Game Score 2</t>
  </si>
  <si>
    <t>Robot Game Score 3</t>
  </si>
  <si>
    <t>Robot Game Score 4</t>
  </si>
  <si>
    <t>Robot Game Score 5</t>
  </si>
  <si>
    <t>Max Robot Game Score</t>
  </si>
  <si>
    <t>Robot Game Rank</t>
  </si>
  <si>
    <t>Core Values Rank</t>
  </si>
  <si>
    <t>Innovation Project Rank</t>
  </si>
  <si>
    <t>Robot Design Rank</t>
  </si>
  <si>
    <t>Champion's Score</t>
  </si>
  <si>
    <t>Champion's Rank</t>
  </si>
  <si>
    <t>Award</t>
  </si>
  <si>
    <t>Award Place</t>
  </si>
  <si>
    <t>Advance?</t>
  </si>
  <si>
    <t>Core Values Score</t>
  </si>
  <si>
    <t>Innovattion Project Score</t>
  </si>
  <si>
    <t>Robot Design Score</t>
  </si>
  <si>
    <t>Overall Score - Geometric Mean</t>
  </si>
  <si>
    <t>Overall Ranking - Geometric Mean</t>
  </si>
  <si>
    <t>Identify - Define</t>
  </si>
  <si>
    <t>Identify - Research (CV)</t>
  </si>
  <si>
    <t>Design - Plan</t>
  </si>
  <si>
    <t>Design - Teamwork (CV)</t>
  </si>
  <si>
    <t>Create - Innovation (CV)</t>
  </si>
  <si>
    <t>Create - Model</t>
  </si>
  <si>
    <t>Iterate - Sharing</t>
  </si>
  <si>
    <t>Iterate - Improvement</t>
  </si>
  <si>
    <t>Communicate - Impact (CV)</t>
  </si>
  <si>
    <t>Communicate - Fun (CV)</t>
  </si>
  <si>
    <t>Innovation Project Score</t>
  </si>
  <si>
    <t>Identify - Strategy</t>
  </si>
  <si>
    <t>Design - Ideas (CV)</t>
  </si>
  <si>
    <t>Design - Building/Coding</t>
  </si>
  <si>
    <t>Create - Attachments</t>
  </si>
  <si>
    <t>Create - Code/ Sensors</t>
  </si>
  <si>
    <t>Iterate - Testing</t>
  </si>
  <si>
    <t>Iterate - Improvements (CV)</t>
  </si>
  <si>
    <t>Robot Game 1 Score</t>
  </si>
  <si>
    <t>Robot Game 2 Score</t>
  </si>
  <si>
    <t>Robot Game 3 Score</t>
  </si>
  <si>
    <t>Robot Game 4 Score</t>
  </si>
  <si>
    <t>Robot Game 5 Score</t>
  </si>
  <si>
    <t>Highest Robot Game Score</t>
  </si>
  <si>
    <t>Discovery (IP)</t>
  </si>
  <si>
    <t>Teamwork (IP)</t>
  </si>
  <si>
    <t>Innovation (IP)</t>
  </si>
  <si>
    <t>Impact (IP)</t>
  </si>
  <si>
    <t>Fun (IP)</t>
  </si>
  <si>
    <t>Discovery (RD)</t>
  </si>
  <si>
    <t>Inclusion (RD)</t>
  </si>
  <si>
    <t>Innovation (RD)</t>
  </si>
  <si>
    <t>Impact (RD)</t>
  </si>
  <si>
    <t>Fun (RD)</t>
  </si>
  <si>
    <t>Gracious Professionalism 1</t>
  </si>
  <si>
    <t>Gracious Professionalism 2</t>
  </si>
  <si>
    <t>Gracious Professionalism 3</t>
  </si>
  <si>
    <t>Gracious Professionalism 4</t>
  </si>
  <si>
    <t>Gracious Professionalism 5</t>
  </si>
  <si>
    <t>Gracious Professionalism Empty Count</t>
  </si>
  <si>
    <t>Gracious Professionalism Total</t>
  </si>
  <si>
    <t>Gracious Professionalism Score</t>
  </si>
  <si>
    <t>Breakthrough Selection</t>
  </si>
  <si>
    <t>Rising All-Star Selection</t>
  </si>
  <si>
    <t>Motivate Selection</t>
  </si>
  <si>
    <t>rank</t>
  </si>
  <si>
    <t>team</t>
  </si>
  <si>
    <t>total</t>
  </si>
  <si>
    <t>Advancement</t>
  </si>
  <si>
    <t>Deliberated Rank</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</si>
</sst>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
    <numFmt numFmtId="165" formatCode="0;\-0;"/>
    <numFmt numFmtId="166" formatCode="0.0"/>
  </numFmts>
  <fonts count="27">
    <font>
      <sz val="11.0"/>
      <color theme="1"/>
      <name val="Calibri"/>
      <scheme val="minor"/>
    </font>
    <font>
      <b/>
      <u/>
      <sz val="28.0"/>
      <color rgb="FFFF0000"/>
      <name val="Calibri"/>
    </font>
    <font/>
    <font>
      <b/>
      <u/>
      <sz val="28.0"/>
      <color rgb="FFFF0000"/>
      <name val="Calibri"/>
    </font>
    <font>
      <sz val="9.0"/>
      <color theme="1"/>
      <name val="Calibri"/>
      <scheme val="minor"/>
    </font>
    <font>
      <sz val="9.0"/>
      <color theme="1"/>
      <name val="Calibri"/>
    </font>
    <font>
      <u/>
      <sz val="9.0"/>
      <color theme="1"/>
      <name val="Calibri"/>
    </font>
    <font>
      <b/>
      <sz val="16.0"/>
      <color theme="1"/>
      <name val="Calibri"/>
    </font>
    <font>
      <sz val="12.0"/>
      <color theme="1"/>
      <name val="Calibri"/>
    </font>
    <font>
      <b/>
      <sz val="20.0"/>
      <color rgb="FF000000"/>
      <name val="Calibri"/>
    </font>
    <font>
      <b/>
      <sz val="11.0"/>
      <color rgb="FFFA7D00"/>
      <name val="Calibri"/>
    </font>
    <font>
      <sz val="16.0"/>
      <color rgb="FFFFFFFF"/>
      <name val="Calibri"/>
    </font>
    <font>
      <b/>
      <sz val="16.0"/>
      <color rgb="FFFFFFFF"/>
      <name val="Calibri"/>
    </font>
    <font>
      <i/>
      <sz val="11.0"/>
      <color rgb="FF7F7F7F"/>
      <name val="Calibri"/>
    </font>
    <font>
      <b/>
      <sz val="12.0"/>
      <color theme="1"/>
      <name val="Calibri"/>
    </font>
    <font>
      <b/>
      <sz val="18.0"/>
      <color theme="1"/>
      <name val="Calibri"/>
    </font>
    <font>
      <b/>
      <sz val="14.0"/>
      <color rgb="FFFFFFFF"/>
      <name val="Calibri"/>
    </font>
    <font>
      <b/>
      <sz val="11.0"/>
      <color theme="0"/>
      <name val="Calibri"/>
    </font>
    <font>
      <b/>
      <sz val="14.0"/>
      <color theme="0"/>
      <name val="Calibri"/>
    </font>
    <font>
      <b/>
      <sz val="12.0"/>
      <color rgb="FFFFFFFF"/>
      <name val="Calibri"/>
    </font>
    <font>
      <color theme="1"/>
      <name val="Calibri"/>
      <scheme val="minor"/>
    </font>
    <font>
      <sz val="11.0"/>
      <color theme="1"/>
      <name val="Calibri"/>
    </font>
    <font>
      <b/>
      <i/>
      <sz val="14.0"/>
      <color theme="0"/>
      <name val="Calibri"/>
    </font>
    <font>
      <i/>
      <sz val="12.0"/>
      <color rgb="FFFF0000"/>
      <name val="Calibri"/>
    </font>
    <font>
      <b/>
      <sz val="12.0"/>
      <color rgb="FF000000"/>
      <name val="Calibri"/>
    </font>
    <font>
      <sz val="11.0"/>
      <color rgb="FF000000"/>
      <name val="Calibri"/>
    </font>
    <font>
      <sz val="11.0"/>
      <color rgb="FFFFFFFF"/>
      <name val="Calibri"/>
    </font>
  </fonts>
  <fills count="23">
    <fill>
      <patternFill patternType="none"/>
    </fill>
    <fill>
      <patternFill patternType="lightGray"/>
    </fill>
    <fill>
      <patternFill patternType="solid">
        <fgColor theme="0"/>
        <bgColor theme="0"/>
      </patternFill>
    </fill>
    <fill>
      <patternFill patternType="solid">
        <fgColor rgb="FFD8D8D8"/>
        <bgColor rgb="FFD8D8D8"/>
      </patternFill>
    </fill>
    <fill>
      <patternFill patternType="solid">
        <fgColor rgb="FFFFFFCC"/>
        <bgColor rgb="FFFFFFCC"/>
      </patternFill>
    </fill>
    <fill>
      <patternFill patternType="solid">
        <fgColor rgb="FFF2F2F2"/>
        <bgColor rgb="FFF2F2F2"/>
      </patternFill>
    </fill>
    <fill>
      <patternFill patternType="solid">
        <fgColor rgb="FFFFFF00"/>
        <bgColor rgb="FFFFFF00"/>
      </patternFill>
    </fill>
    <fill>
      <patternFill patternType="solid">
        <fgColor theme="7"/>
        <bgColor theme="7"/>
      </patternFill>
    </fill>
    <fill>
      <patternFill patternType="solid">
        <fgColor rgb="FF00B050"/>
        <bgColor rgb="FF00B050"/>
      </patternFill>
    </fill>
    <fill>
      <patternFill patternType="solid">
        <fgColor rgb="FFE40613"/>
        <bgColor rgb="FFE40613"/>
      </patternFill>
    </fill>
    <fill>
      <patternFill patternType="solid">
        <fgColor rgb="FF016DB6"/>
        <bgColor rgb="FF016DB6"/>
      </patternFill>
    </fill>
    <fill>
      <patternFill patternType="solid">
        <fgColor rgb="FF548135"/>
        <bgColor rgb="FF548135"/>
      </patternFill>
    </fill>
    <fill>
      <patternFill patternType="solid">
        <fgColor rgb="FF7030A0"/>
        <bgColor rgb="FF7030A0"/>
      </patternFill>
    </fill>
    <fill>
      <patternFill patternType="solid">
        <fgColor theme="5"/>
        <bgColor theme="5"/>
      </patternFill>
    </fill>
    <fill>
      <patternFill patternType="solid">
        <fgColor rgb="FFFF8181"/>
        <bgColor rgb="FFFF8181"/>
      </patternFill>
    </fill>
    <fill>
      <patternFill patternType="solid">
        <fgColor rgb="FF82CCFE"/>
        <bgColor rgb="FF82CCFE"/>
      </patternFill>
    </fill>
    <fill>
      <patternFill patternType="solid">
        <fgColor rgb="FFC5E0B3"/>
        <bgColor rgb="FFC5E0B3"/>
      </patternFill>
    </fill>
    <fill>
      <patternFill patternType="solid">
        <fgColor rgb="FFD890CA"/>
        <bgColor rgb="FFD890CA"/>
      </patternFill>
    </fill>
    <fill>
      <patternFill patternType="solid">
        <fgColor rgb="FFA8D08D"/>
        <bgColor rgb="FFA8D08D"/>
      </patternFill>
    </fill>
    <fill>
      <patternFill patternType="solid">
        <fgColor rgb="FFFF0000"/>
        <bgColor rgb="FFFF0000"/>
      </patternFill>
    </fill>
    <fill>
      <patternFill patternType="solid">
        <fgColor rgb="FFFC9297"/>
        <bgColor rgb="FFFC9297"/>
      </patternFill>
    </fill>
    <fill>
      <patternFill patternType="solid">
        <fgColor rgb="FF00B0F0"/>
        <bgColor rgb="FF00B0F0"/>
      </patternFill>
    </fill>
    <fill>
      <patternFill patternType="solid">
        <fgColor rgb="FF00963F"/>
        <bgColor rgb="FF00963F"/>
      </patternFill>
    </fill>
  </fills>
  <borders count="32">
    <border/>
    <border>
      <left/>
      <top/>
    </border>
    <border>
      <top/>
    </border>
    <border>
      <right/>
      <top/>
    </border>
    <border>
      <left/>
      <bottom/>
    </border>
    <border>
      <bottom/>
    </border>
    <border>
      <right/>
      <bottom/>
    </border>
    <border>
      <left/>
      <right/>
      <top/>
      <bottom/>
    </border>
    <border>
      <left/>
      <top/>
      <bottom/>
    </border>
    <border>
      <top/>
      <bottom/>
    </border>
    <border>
      <right/>
      <top/>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border>
    <border>
      <right style="medium">
        <color rgb="FF000000"/>
      </right>
      <bottom/>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top/>
    </border>
    <border>
      <right style="medium">
        <color rgb="FF000000"/>
      </right>
      <top/>
    </border>
    <border>
      <left style="thin">
        <color rgb="FF7F7F7F"/>
      </left>
      <right style="thin">
        <color rgb="FF7F7F7F"/>
      </right>
      <top style="thin">
        <color rgb="FF7F7F7F"/>
      </top>
      <bottom style="thin">
        <color rgb="FF7F7F7F"/>
      </bottom>
    </border>
    <border>
      <left style="thick">
        <color rgb="FF7030A0"/>
      </left>
      <right style="thick">
        <color rgb="FF7030A0"/>
      </right>
      <top style="thick">
        <color rgb="FF7030A0"/>
      </top>
      <bottom style="thick">
        <color rgb="FF7030A0"/>
      </bottom>
    </border>
    <border>
      <left style="thin">
        <color rgb="FF7F7F7F"/>
      </left>
      <right style="thin">
        <color rgb="FF7F7F7F"/>
      </right>
      <top style="thin">
        <color rgb="FF7F7F7F"/>
      </top>
      <bottom/>
    </border>
    <border>
      <left style="thin">
        <color rgb="FF9CC2E5"/>
      </left>
      <right style="thin">
        <color rgb="FF9CC2E5"/>
      </right>
      <top style="thin">
        <color rgb="FF7F7F7F"/>
      </top>
    </border>
    <border>
      <left style="thin">
        <color rgb="FF9CC2E5"/>
      </left>
      <right style="thin">
        <color rgb="FF9CC2E5"/>
      </right>
      <top style="thin">
        <color rgb="FF9CC2E5"/>
      </top>
    </border>
    <border>
      <left style="thin">
        <color rgb="FF9CC2E5"/>
      </left>
      <right style="thin">
        <color rgb="FF9CC2E5"/>
      </right>
      <top style="thin">
        <color rgb="FF9CC2E5"/>
      </top>
      <bottom style="thin">
        <color rgb="FF9CC2E5"/>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right/>
      <top/>
      <bottom style="thin">
        <color rgb="FF000000"/>
      </bottom>
    </border>
  </borders>
  <cellStyleXfs count="1">
    <xf borderId="0" fillId="0" fontId="0" numFmtId="0" applyAlignment="1" applyFont="1"/>
  </cellStyleXfs>
  <cellXfs count="11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2" fontId="3" numFmtId="0" xfId="0" applyAlignment="1" applyBorder="1" applyFont="1">
      <alignment horizontal="center" shrinkToFit="0" vertical="center" wrapText="1"/>
    </xf>
    <xf borderId="0" fillId="0" fontId="4" numFmtId="0" xfId="0" applyFont="1"/>
    <xf borderId="7" fillId="2" fontId="5" numFmtId="49" xfId="0" applyAlignment="1" applyBorder="1" applyFont="1" applyNumberFormat="1">
      <alignment vertical="center"/>
    </xf>
    <xf borderId="8" fillId="2" fontId="5" numFmtId="0" xfId="0" applyAlignment="1" applyBorder="1" applyFont="1">
      <alignment shrinkToFit="0" vertical="center" wrapText="1"/>
    </xf>
    <xf borderId="9" fillId="0" fontId="2" numFmtId="0" xfId="0" applyBorder="1" applyFont="1"/>
    <xf borderId="10" fillId="0" fontId="2" numFmtId="0" xfId="0" applyBorder="1" applyFont="1"/>
    <xf borderId="7" fillId="2" fontId="5" numFmtId="0" xfId="0" applyAlignment="1" applyBorder="1" applyFont="1">
      <alignment shrinkToFit="0" vertical="center" wrapText="1"/>
    </xf>
    <xf borderId="0" fillId="0" fontId="5" numFmtId="0" xfId="0" applyAlignment="1" applyFont="1">
      <alignment vertical="center"/>
    </xf>
    <xf borderId="7" fillId="2" fontId="5" numFmtId="0" xfId="0" applyAlignment="1" applyBorder="1" applyFont="1">
      <alignment vertical="center"/>
    </xf>
    <xf borderId="7" fillId="2" fontId="6" numFmtId="0" xfId="0" applyAlignment="1" applyBorder="1" applyFont="1">
      <alignment horizontal="left" vertical="center"/>
    </xf>
    <xf borderId="7" fillId="2" fontId="5" numFmtId="0" xfId="0" applyAlignment="1" applyBorder="1" applyFont="1">
      <alignment horizontal="center" vertical="center"/>
    </xf>
    <xf borderId="11" fillId="3" fontId="5" numFmtId="0" xfId="0" applyAlignment="1" applyBorder="1" applyFill="1" applyFont="1">
      <alignment horizontal="center" shrinkToFit="0" vertical="center" wrapText="1"/>
    </xf>
    <xf borderId="12" fillId="0" fontId="2" numFmtId="0" xfId="0" applyBorder="1" applyFont="1"/>
    <xf borderId="13" fillId="0" fontId="2" numFmtId="0" xfId="0" applyBorder="1" applyFont="1"/>
    <xf borderId="7" fillId="2" fontId="5" numFmtId="0" xfId="0" applyAlignment="1" applyBorder="1" applyFont="1">
      <alignment horizontal="left" vertical="center"/>
    </xf>
    <xf borderId="14" fillId="0" fontId="2" numFmtId="0" xfId="0" applyBorder="1" applyFont="1"/>
    <xf borderId="15" fillId="0" fontId="2" numFmtId="0" xfId="0" applyBorder="1" applyFont="1"/>
    <xf borderId="16" fillId="0" fontId="2" numFmtId="0" xfId="0" applyBorder="1" applyFont="1"/>
    <xf borderId="17" fillId="0" fontId="2" numFmtId="0" xfId="0" applyBorder="1" applyFont="1"/>
    <xf borderId="18" fillId="0" fontId="2" numFmtId="0" xfId="0" applyBorder="1" applyFont="1"/>
    <xf borderId="19" fillId="0" fontId="2" numFmtId="0" xfId="0" applyBorder="1" applyFont="1"/>
    <xf borderId="20" fillId="0" fontId="2" numFmtId="0" xfId="0" applyBorder="1" applyFont="1"/>
    <xf borderId="21" fillId="3" fontId="5" numFmtId="0" xfId="0" applyAlignment="1" applyBorder="1" applyFont="1">
      <alignment horizontal="center" shrinkToFit="0" vertical="center" wrapText="1"/>
    </xf>
    <xf borderId="22" fillId="0" fontId="2" numFmtId="0" xfId="0" applyBorder="1" applyFont="1"/>
    <xf borderId="0" fillId="0" fontId="7" numFmtId="0" xfId="0" applyAlignment="1" applyFont="1">
      <alignment horizontal="center" vertical="center"/>
    </xf>
    <xf borderId="0" fillId="0" fontId="8" numFmtId="0" xfId="0" applyAlignment="1" applyFont="1">
      <alignment horizontal="center" vertical="center"/>
    </xf>
    <xf borderId="8" fillId="4" fontId="9" numFmtId="0" xfId="0" applyAlignment="1" applyBorder="1" applyFill="1" applyFont="1">
      <alignment horizontal="center" vertical="center"/>
    </xf>
    <xf borderId="23" fillId="5" fontId="10" numFmtId="0" xfId="0" applyAlignment="1" applyBorder="1" applyFill="1" applyFont="1">
      <alignment horizontal="center" vertical="center"/>
    </xf>
    <xf borderId="0" fillId="0" fontId="11" numFmtId="0" xfId="0" applyAlignment="1" applyFont="1">
      <alignment horizontal="center" vertical="center"/>
    </xf>
    <xf borderId="0" fillId="0" fontId="12" numFmtId="0" xfId="0" applyAlignment="1" applyFont="1">
      <alignment horizontal="center" vertical="center"/>
    </xf>
    <xf borderId="0" fillId="0" fontId="13" numFmtId="0" xfId="0" applyAlignment="1" applyFont="1">
      <alignment horizontal="center" shrinkToFit="0" vertical="center" wrapText="1"/>
    </xf>
    <xf borderId="0" fillId="0" fontId="8" numFmtId="0" xfId="0" applyAlignment="1" applyFont="1">
      <alignment horizontal="center" vertical="center"/>
    </xf>
    <xf borderId="0" fillId="0" fontId="8" numFmtId="0" xfId="0" applyAlignment="1" applyFont="1">
      <alignment horizontal="left" shrinkToFit="0" vertical="center" wrapText="1"/>
    </xf>
    <xf borderId="0" fillId="0" fontId="13" numFmtId="0" xfId="0" applyAlignment="1" applyFont="1">
      <alignment horizontal="center" vertical="center"/>
    </xf>
    <xf borderId="0" fillId="0" fontId="14" numFmtId="0" xfId="0" applyAlignment="1" applyFont="1">
      <alignment vertical="top"/>
    </xf>
    <xf borderId="0" fillId="0" fontId="14" numFmtId="0" xfId="0" applyAlignment="1" applyFont="1">
      <alignment horizontal="left" vertical="center"/>
    </xf>
    <xf borderId="0" fillId="0" fontId="7" numFmtId="0" xfId="0" applyAlignment="1" applyFont="1">
      <alignment horizontal="center" shrinkToFit="0" vertical="center" wrapText="1"/>
    </xf>
    <xf borderId="24" fillId="6" fontId="7" numFmtId="0" xfId="0" applyAlignment="1" applyBorder="1" applyFill="1" applyFont="1">
      <alignment horizontal="center" vertical="center"/>
    </xf>
    <xf borderId="25" fillId="5" fontId="10" numFmtId="0" xfId="0" applyBorder="1" applyFont="1"/>
    <xf borderId="26" fillId="0" fontId="13" numFmtId="0" xfId="0" applyBorder="1" applyFont="1"/>
    <xf borderId="27" fillId="0" fontId="13" numFmtId="0" xfId="0" applyBorder="1" applyFont="1"/>
    <xf borderId="28" fillId="0" fontId="13" numFmtId="0" xfId="0" applyBorder="1" applyFont="1"/>
    <xf borderId="0" fillId="0" fontId="13" numFmtId="0" xfId="0" applyAlignment="1" applyFont="1">
      <alignment horizontal="center" vertical="center"/>
    </xf>
    <xf borderId="0" fillId="0" fontId="15" numFmtId="0" xfId="0" applyAlignment="1" applyFont="1">
      <alignment horizontal="center" vertical="center"/>
    </xf>
    <xf borderId="29" fillId="7" fontId="16" numFmtId="0" xfId="0" applyAlignment="1" applyBorder="1" applyFill="1" applyFont="1">
      <alignment horizontal="center" shrinkToFit="0" vertical="center" wrapText="1"/>
    </xf>
    <xf borderId="29" fillId="8" fontId="17" numFmtId="0" xfId="0" applyAlignment="1" applyBorder="1" applyFill="1" applyFont="1">
      <alignment horizontal="center" shrinkToFit="0" vertical="center" wrapText="1"/>
    </xf>
    <xf borderId="29" fillId="8" fontId="18" numFmtId="0" xfId="0" applyAlignment="1" applyBorder="1" applyFont="1">
      <alignment horizontal="center" shrinkToFit="0" vertical="center" wrapText="1"/>
    </xf>
    <xf borderId="29" fillId="9" fontId="17" numFmtId="0" xfId="0" applyAlignment="1" applyBorder="1" applyFill="1" applyFont="1">
      <alignment horizontal="center" shrinkToFit="0" vertical="center" wrapText="1"/>
    </xf>
    <xf borderId="29" fillId="10" fontId="17" numFmtId="0" xfId="0" applyAlignment="1" applyBorder="1" applyFill="1" applyFont="1">
      <alignment horizontal="center" shrinkToFit="0" vertical="center" wrapText="1"/>
    </xf>
    <xf borderId="29" fillId="11" fontId="17" numFmtId="0" xfId="0" applyAlignment="1" applyBorder="1" applyFill="1" applyFont="1">
      <alignment horizontal="center" shrinkToFit="0" vertical="center" wrapText="1"/>
    </xf>
    <xf borderId="29" fillId="12" fontId="18" numFmtId="1" xfId="0" applyAlignment="1" applyBorder="1" applyFill="1" applyFont="1" applyNumberFormat="1">
      <alignment horizontal="center" shrinkToFit="0" vertical="center" wrapText="1"/>
    </xf>
    <xf borderId="29" fillId="12" fontId="18" numFmtId="0" xfId="0" applyAlignment="1" applyBorder="1" applyFont="1">
      <alignment horizontal="center" shrinkToFit="0" vertical="center" wrapText="1"/>
    </xf>
    <xf borderId="29" fillId="13" fontId="18" numFmtId="0" xfId="0" applyAlignment="1" applyBorder="1" applyFill="1" applyFont="1">
      <alignment horizontal="center" shrinkToFit="0" textRotation="90" vertical="center" wrapText="1"/>
    </xf>
    <xf borderId="29" fillId="7" fontId="16" numFmtId="0" xfId="0" applyAlignment="1" applyBorder="1" applyFont="1">
      <alignment horizontal="center" shrinkToFit="0" textRotation="90" vertical="center" wrapText="1"/>
    </xf>
    <xf borderId="29" fillId="14" fontId="19" numFmtId="1" xfId="0" applyAlignment="1" applyBorder="1" applyFill="1" applyFont="1" applyNumberFormat="1">
      <alignment horizontal="center" shrinkToFit="0" textRotation="90" vertical="center" wrapText="1"/>
    </xf>
    <xf borderId="29" fillId="15" fontId="19" numFmtId="1" xfId="0" applyAlignment="1" applyBorder="1" applyFill="1" applyFont="1" applyNumberFormat="1">
      <alignment horizontal="center" shrinkToFit="0" textRotation="90" vertical="center" wrapText="1"/>
    </xf>
    <xf borderId="29" fillId="16" fontId="19" numFmtId="1" xfId="0" applyAlignment="1" applyBorder="1" applyFill="1" applyFont="1" applyNumberFormat="1">
      <alignment horizontal="center" shrinkToFit="0" textRotation="90" vertical="center" wrapText="1"/>
    </xf>
    <xf borderId="29" fillId="17" fontId="19" numFmtId="2" xfId="0" applyAlignment="1" applyBorder="1" applyFill="1" applyFont="1" applyNumberFormat="1">
      <alignment horizontal="center" shrinkToFit="0" textRotation="90" vertical="center" wrapText="1"/>
    </xf>
    <xf borderId="29" fillId="17" fontId="19" numFmtId="0" xfId="0" applyAlignment="1" applyBorder="1" applyFont="1">
      <alignment horizontal="center" shrinkToFit="0" textRotation="90" vertical="center" wrapText="1"/>
    </xf>
    <xf borderId="30" fillId="0" fontId="16" numFmtId="0" xfId="0" applyAlignment="1" applyBorder="1" applyFont="1">
      <alignment horizontal="center" shrinkToFit="0" vertical="center" wrapText="1"/>
    </xf>
    <xf borderId="0" fillId="0" fontId="20" numFmtId="0" xfId="0" applyFont="1"/>
    <xf borderId="0" fillId="0" fontId="8" numFmtId="0" xfId="0" applyAlignment="1" applyFont="1">
      <alignment horizontal="left" vertical="center"/>
    </xf>
    <xf borderId="0" fillId="0" fontId="8" numFmtId="1" xfId="0" applyAlignment="1" applyFont="1" applyNumberFormat="1">
      <alignment horizontal="center" vertical="center"/>
    </xf>
    <xf borderId="0" fillId="0" fontId="21" numFmtId="1" xfId="0" applyAlignment="1" applyFont="1" applyNumberFormat="1">
      <alignment horizontal="center" vertical="center"/>
    </xf>
    <xf borderId="0" fillId="0" fontId="21" numFmtId="164" xfId="0" applyAlignment="1" applyFont="1" applyNumberFormat="1">
      <alignment horizontal="center" vertical="center"/>
    </xf>
    <xf borderId="0" fillId="0" fontId="8" numFmtId="164" xfId="0" applyAlignment="1" applyFont="1" applyNumberFormat="1">
      <alignment horizontal="center" vertical="center"/>
    </xf>
    <xf borderId="0" fillId="0" fontId="8" numFmtId="2" xfId="0" applyAlignment="1" applyFont="1" applyNumberFormat="1">
      <alignment horizontal="center" vertical="center"/>
    </xf>
    <xf borderId="0" fillId="0" fontId="21" numFmtId="0" xfId="0" applyAlignment="1" applyFont="1">
      <alignment horizontal="center" vertical="center"/>
    </xf>
    <xf borderId="7" fillId="7" fontId="16" numFmtId="0" xfId="0" applyAlignment="1" applyBorder="1" applyFont="1">
      <alignment horizontal="center" shrinkToFit="0" vertical="center" wrapText="1"/>
    </xf>
    <xf borderId="7" fillId="7" fontId="16" numFmtId="0" xfId="0" applyAlignment="1" applyBorder="1" applyFont="1">
      <alignment horizontal="center" vertical="center"/>
    </xf>
    <xf borderId="7" fillId="15" fontId="16" numFmtId="0" xfId="0" applyAlignment="1" applyBorder="1" applyFont="1">
      <alignment horizontal="center" textRotation="90" vertical="center"/>
    </xf>
    <xf borderId="7" fillId="10" fontId="16" numFmtId="1" xfId="0" applyAlignment="1" applyBorder="1" applyFont="1" applyNumberFormat="1">
      <alignment horizontal="center" textRotation="90" vertical="center"/>
    </xf>
    <xf borderId="7" fillId="10" fontId="16" numFmtId="0" xfId="0" applyAlignment="1" applyBorder="1" applyFont="1">
      <alignment horizontal="center" textRotation="90" vertical="center"/>
    </xf>
    <xf borderId="0" fillId="0" fontId="14" numFmtId="0" xfId="0" applyAlignment="1" applyFont="1">
      <alignment horizontal="center" vertical="center"/>
    </xf>
    <xf borderId="0" fillId="0" fontId="21" numFmtId="0" xfId="0" applyFont="1"/>
    <xf borderId="7" fillId="18" fontId="16" numFmtId="0" xfId="0" applyAlignment="1" applyBorder="1" applyFill="1" applyFont="1">
      <alignment horizontal="center" shrinkToFit="0" textRotation="90" vertical="center" wrapText="1"/>
    </xf>
    <xf borderId="7" fillId="11" fontId="18" numFmtId="1" xfId="0" applyAlignment="1" applyBorder="1" applyFont="1" applyNumberFormat="1">
      <alignment horizontal="center" textRotation="90" vertical="center"/>
    </xf>
    <xf borderId="7" fillId="11" fontId="18" numFmtId="0" xfId="0" applyAlignment="1" applyBorder="1" applyFont="1">
      <alignment horizontal="center" textRotation="90" vertical="center"/>
    </xf>
    <xf borderId="31" fillId="8" fontId="18" numFmtId="0" xfId="0" applyAlignment="1" applyBorder="1" applyFont="1">
      <alignment horizontal="center" textRotation="90" vertical="center"/>
    </xf>
    <xf borderId="31" fillId="7" fontId="16" numFmtId="0" xfId="0" applyAlignment="1" applyBorder="1" applyFont="1">
      <alignment horizontal="center" shrinkToFit="0" vertical="center" wrapText="1"/>
    </xf>
    <xf borderId="31" fillId="7" fontId="16" numFmtId="0" xfId="0" applyAlignment="1" applyBorder="1" applyFont="1">
      <alignment horizontal="center" vertical="center"/>
    </xf>
    <xf borderId="31" fillId="18" fontId="16" numFmtId="0" xfId="0" applyAlignment="1" applyBorder="1" applyFont="1">
      <alignment horizontal="center" textRotation="90" vertical="center"/>
    </xf>
    <xf borderId="31" fillId="8" fontId="18" numFmtId="165" xfId="0" applyAlignment="1" applyBorder="1" applyFont="1" applyNumberFormat="1">
      <alignment horizontal="center" shrinkToFit="0" textRotation="90" vertical="center" wrapText="1"/>
    </xf>
    <xf borderId="0" fillId="0" fontId="14" numFmtId="0" xfId="0" applyFont="1"/>
    <xf borderId="7" fillId="19" fontId="22" numFmtId="0" xfId="0" applyAlignment="1" applyBorder="1" applyFill="1" applyFont="1">
      <alignment horizontal="center" textRotation="90" vertical="center"/>
    </xf>
    <xf borderId="7" fillId="20" fontId="16" numFmtId="0" xfId="0" applyAlignment="1" applyBorder="1" applyFill="1" applyFont="1">
      <alignment horizontal="center" textRotation="90" vertical="center"/>
    </xf>
    <xf borderId="7" fillId="20" fontId="16" numFmtId="0" xfId="0" applyAlignment="1" applyBorder="1" applyFont="1">
      <alignment horizontal="center" shrinkToFit="0" textRotation="90" vertical="center" wrapText="1"/>
    </xf>
    <xf borderId="7" fillId="9" fontId="18" numFmtId="0" xfId="0" applyAlignment="1" applyBorder="1" applyFont="1">
      <alignment horizontal="center" shrinkToFit="0" textRotation="90" vertical="center" wrapText="1"/>
    </xf>
    <xf borderId="7" fillId="9" fontId="18" numFmtId="0" xfId="0" applyAlignment="1" applyBorder="1" applyFont="1">
      <alignment horizontal="center" textRotation="90" vertical="center"/>
    </xf>
    <xf borderId="7" fillId="13" fontId="16" numFmtId="0" xfId="0" applyAlignment="1" applyBorder="1" applyFont="1">
      <alignment horizontal="center" textRotation="90" vertical="center"/>
    </xf>
    <xf borderId="0" fillId="0" fontId="23" numFmtId="0" xfId="0" applyAlignment="1" applyFont="1">
      <alignment horizontal="center" vertical="center"/>
    </xf>
    <xf borderId="0" fillId="0" fontId="14" numFmtId="166" xfId="0" applyAlignment="1" applyFont="1" applyNumberFormat="1">
      <alignment horizontal="center" vertical="center"/>
    </xf>
    <xf borderId="0" fillId="0" fontId="24" numFmtId="164" xfId="0" applyAlignment="1" applyFont="1" applyNumberFormat="1">
      <alignment horizontal="center" vertical="center"/>
    </xf>
    <xf borderId="0" fillId="0" fontId="14" numFmtId="1" xfId="0" applyAlignment="1" applyFont="1" applyNumberFormat="1">
      <alignment horizontal="center" vertical="center"/>
    </xf>
    <xf borderId="0" fillId="0" fontId="25" numFmtId="0" xfId="0" applyFont="1"/>
    <xf borderId="0" fillId="0" fontId="21" numFmtId="0" xfId="0" applyAlignment="1" applyFont="1">
      <alignment horizontal="center" vertical="center"/>
    </xf>
    <xf borderId="7" fillId="12" fontId="26" numFmtId="0" xfId="0" applyAlignment="1" applyBorder="1" applyFont="1">
      <alignment horizontal="center" vertical="center"/>
    </xf>
    <xf borderId="7" fillId="12" fontId="26" numFmtId="0" xfId="0" applyAlignment="1" applyBorder="1" applyFont="1">
      <alignment horizontal="center" shrinkToFit="0" vertical="center" wrapText="1"/>
    </xf>
    <xf borderId="7" fillId="21" fontId="26" numFmtId="0" xfId="0" applyAlignment="1" applyBorder="1" applyFill="1" applyFont="1">
      <alignment horizontal="center" vertical="center"/>
    </xf>
    <xf borderId="7" fillId="21" fontId="26" numFmtId="0" xfId="0" applyAlignment="1" applyBorder="1" applyFont="1">
      <alignment horizontal="center" shrinkToFit="0" vertical="center" wrapText="1"/>
    </xf>
    <xf borderId="7" fillId="9" fontId="26" numFmtId="0" xfId="0" applyAlignment="1" applyBorder="1" applyFont="1">
      <alignment horizontal="center" vertical="center"/>
    </xf>
    <xf borderId="7" fillId="9" fontId="26" numFmtId="0" xfId="0" applyAlignment="1" applyBorder="1" applyFont="1">
      <alignment horizontal="center" shrinkToFit="0" vertical="center" wrapText="1"/>
    </xf>
    <xf borderId="7" fillId="22" fontId="26" numFmtId="0" xfId="0" applyAlignment="1" applyBorder="1" applyFill="1" applyFont="1">
      <alignment horizontal="center" vertical="center"/>
    </xf>
    <xf borderId="7" fillId="22" fontId="26" numFmtId="0" xfId="0" applyAlignment="1" applyBorder="1" applyFont="1">
      <alignment horizontal="center" shrinkToFit="0" vertical="center" wrapText="1"/>
    </xf>
    <xf borderId="7" fillId="10" fontId="26" numFmtId="0" xfId="0" applyAlignment="1" applyBorder="1" applyFont="1">
      <alignment horizontal="center" vertical="center"/>
    </xf>
    <xf borderId="7" fillId="10" fontId="26" numFmtId="0" xfId="0" applyAlignment="1" applyBorder="1" applyFont="1">
      <alignment horizontal="center" shrinkToFit="0" vertical="center" wrapText="1"/>
    </xf>
    <xf borderId="7" fillId="13" fontId="26" numFmtId="0" xfId="0" applyAlignment="1" applyBorder="1" applyFont="1">
      <alignment horizontal="center" vertical="center"/>
    </xf>
    <xf borderId="7" fillId="13" fontId="26" numFmtId="0" xfId="0" applyAlignment="1" applyBorder="1" applyFont="1">
      <alignment horizontal="center" shrinkToFit="0" vertical="center" wrapText="1"/>
    </xf>
  </cellXfs>
  <cellStyles count="1">
    <cellStyle xfId="0" name="Normal" builtinId="0"/>
  </cellStyles>
  <dxfs count="21">
    <dxf>
      <font/>
      <fill>
        <patternFill patternType="none"/>
      </fill>
      <border/>
    </dxf>
    <dxf>
      <font/>
      <fill>
        <patternFill patternType="solid">
          <fgColor theme="1"/>
          <bgColor theme="1"/>
        </patternFill>
      </fill>
      <border/>
    </dxf>
    <dxf>
      <font/>
      <fill>
        <patternFill patternType="solid">
          <fgColor rgb="FFD8D8D8"/>
          <bgColor rgb="FFD8D8D8"/>
        </patternFill>
      </fill>
      <border/>
    </dxf>
    <dxf>
      <font/>
      <fill>
        <patternFill patternType="solid">
          <fgColor theme="0"/>
          <bgColor theme="0"/>
        </patternFill>
      </fill>
      <border/>
    </dxf>
    <dxf>
      <font/>
      <fill>
        <patternFill patternType="solid">
          <fgColor theme="4"/>
          <bgColor theme="4"/>
        </patternFill>
      </fill>
      <border/>
    </dxf>
    <dxf>
      <font/>
      <fill>
        <patternFill patternType="solid">
          <fgColor rgb="FFDEEAF6"/>
          <bgColor rgb="FFDEEAF6"/>
        </patternFill>
      </fill>
      <border/>
    </dxf>
    <dxf>
      <font/>
      <fill>
        <patternFill patternType="solid">
          <fgColor rgb="FFFFFF99"/>
          <bgColor rgb="FFFFFF99"/>
        </patternFill>
      </fill>
      <border/>
    </dxf>
    <dxf>
      <font>
        <b/>
        <i/>
        <color theme="0"/>
      </font>
      <fill>
        <patternFill patternType="solid">
          <fgColor rgb="FFAD8A56"/>
          <bgColor rgb="FFAD8A56"/>
        </patternFill>
      </fill>
      <border>
        <left style="thin">
          <color rgb="FF000000"/>
        </left>
        <right style="thin">
          <color rgb="FF000000"/>
        </right>
        <top style="thin">
          <color rgb="FF000000"/>
        </top>
        <bottom style="thin">
          <color rgb="FF000000"/>
        </bottom>
      </border>
    </dxf>
    <dxf>
      <font>
        <b/>
        <i/>
        <color theme="1"/>
      </font>
      <fill>
        <patternFill patternType="solid">
          <fgColor rgb="FFD7D7D7"/>
          <bgColor rgb="FFD7D7D7"/>
        </patternFill>
      </fill>
      <border/>
    </dxf>
    <dxf>
      <font>
        <b/>
        <i/>
        <color theme="0"/>
      </font>
      <fill>
        <patternFill patternType="solid">
          <fgColor rgb="FFC9B037"/>
          <bgColor rgb="FFC9B037"/>
        </patternFill>
      </fill>
      <border/>
    </dxf>
    <dxf>
      <font/>
      <fill>
        <patternFill patternType="solid">
          <fgColor theme="5"/>
          <bgColor theme="5"/>
        </patternFill>
      </fill>
      <border/>
    </dxf>
    <dxf>
      <font/>
      <fill>
        <patternFill patternType="solid">
          <fgColor rgb="FF00B0F0"/>
          <bgColor rgb="FF00B0F0"/>
        </patternFill>
      </fill>
      <border/>
    </dxf>
    <dxf>
      <font/>
      <fill>
        <patternFill patternType="solid">
          <fgColor theme="8"/>
          <bgColor theme="8"/>
        </patternFill>
      </fill>
      <border/>
    </dxf>
    <dxf>
      <font/>
      <fill>
        <patternFill patternType="solid">
          <fgColor rgb="FFD9E2F3"/>
          <bgColor rgb="FFD9E2F3"/>
        </patternFill>
      </fill>
      <border/>
    </dxf>
    <dxf>
      <font/>
      <fill>
        <patternFill patternType="solid">
          <fgColor theme="9"/>
          <bgColor theme="9"/>
        </patternFill>
      </fill>
      <border/>
    </dxf>
    <dxf>
      <font/>
      <fill>
        <patternFill patternType="solid">
          <fgColor rgb="FFE2EFD9"/>
          <bgColor rgb="FFE2EFD9"/>
        </patternFill>
      </fill>
      <border/>
    </dxf>
    <dxf>
      <font/>
      <fill>
        <patternFill patternType="solid">
          <fgColor rgb="FFC5E0B3"/>
          <bgColor rgb="FFC5E0B3"/>
        </patternFill>
      </fill>
      <border/>
    </dxf>
    <dxf>
      <font/>
      <fill>
        <patternFill patternType="solid">
          <fgColor theme="5"/>
          <bgColor theme="5"/>
        </patternFill>
      </fill>
      <border/>
    </dxf>
    <dxf>
      <font/>
      <fill>
        <patternFill patternType="solid">
          <fgColor rgb="FFFBE4D5"/>
          <bgColor rgb="FFFBE4D5"/>
        </patternFill>
      </fill>
      <border/>
    </dxf>
    <dxf>
      <font/>
      <fill>
        <patternFill patternType="solid">
          <fgColor theme="6"/>
          <bgColor theme="6"/>
        </patternFill>
      </fill>
      <border/>
    </dxf>
    <dxf>
      <font/>
      <fill>
        <patternFill patternType="solid">
          <fgColor rgb="FFECECEC"/>
          <bgColor rgb="FFECECEC"/>
        </patternFill>
      </fill>
      <border/>
    </dxf>
  </dxfs>
  <tableStyles count="14">
    <tableStyle count="3" pivot="0" name="Team and Program Information-style">
      <tableStyleElement dxfId="1" type="headerRow"/>
      <tableStyleElement dxfId="2" type="firstRowStripe"/>
      <tableStyleElement dxfId="3" type="secondRowStripe"/>
    </tableStyle>
    <tableStyle count="3" pivot="0" name="Results and Rankings-style">
      <tableStyleElement dxfId="4" type="headerRow"/>
      <tableStyleElement dxfId="5" type="firstRowStripe"/>
      <tableStyleElement dxfId="3" type="secondRowStripe"/>
    </tableStyle>
    <tableStyle count="3" pivot="0" name="Innovation Project Input-style">
      <tableStyleElement dxfId="12" type="headerRow"/>
      <tableStyleElement dxfId="13" type="firstRowStripe"/>
      <tableStyleElement dxfId="3" type="secondRowStripe"/>
    </tableStyle>
    <tableStyle count="3" pivot="0" name="Robot Design Input-style">
      <tableStyleElement dxfId="14" type="headerRow"/>
      <tableStyleElement dxfId="15" type="firstRowStripe"/>
      <tableStyleElement dxfId="3" type="secondRowStripe"/>
    </tableStyle>
    <tableStyle count="3" pivot="0" name="Robot Game Scores-style">
      <tableStyleElement dxfId="14" type="headerRow"/>
      <tableStyleElement dxfId="16" type="firstRowStripe"/>
      <tableStyleElement dxfId="15" type="secondRowStripe"/>
    </tableStyle>
    <tableStyle count="3" pivot="0" name="Core Values Input-style">
      <tableStyleElement dxfId="17" type="headerRow"/>
      <tableStyleElement dxfId="18" type="firstRowStripe"/>
      <tableStyleElement dxfId="3" type="secondRowStripe"/>
    </tableStyle>
    <tableStyle count="3" pivot="0" name="Area Deliberations-style">
      <tableStyleElement dxfId="19" type="headerRow"/>
      <tableStyleElement dxfId="20" type="firstRowStripe"/>
      <tableStyleElement dxfId="3" type="secondRowStripe"/>
    </tableStyle>
    <tableStyle count="3" pivot="0" name="Area Deliberations-style 2">
      <tableStyleElement dxfId="19" type="headerRow"/>
      <tableStyleElement dxfId="20" type="firstRowStripe"/>
      <tableStyleElement dxfId="3" type="secondRowStripe"/>
    </tableStyle>
    <tableStyle count="3" pivot="0" name="Area Deliberations-style 3">
      <tableStyleElement dxfId="19" type="headerRow"/>
      <tableStyleElement dxfId="20" type="firstRowStripe"/>
      <tableStyleElement dxfId="3" type="secondRowStripe"/>
    </tableStyle>
    <tableStyle count="3" pivot="0" name="Area Deliberations-style 4">
      <tableStyleElement dxfId="19" type="headerRow"/>
      <tableStyleElement dxfId="20" type="firstRowStripe"/>
      <tableStyleElement dxfId="3" type="secondRowStripe"/>
    </tableStyle>
    <tableStyle count="3" pivot="0" name="Area Deliberations-style 5">
      <tableStyleElement dxfId="19" type="headerRow"/>
      <tableStyleElement dxfId="20" type="firstRowStripe"/>
      <tableStyleElement dxfId="3" type="secondRowStripe"/>
    </tableStyle>
    <tableStyle count="3" pivot="0" name="Area Deliberations-style 6">
      <tableStyleElement dxfId="19" type="headerRow"/>
      <tableStyleElement dxfId="20" type="firstRowStripe"/>
      <tableStyleElement dxfId="3" type="secondRowStripe"/>
    </tableStyle>
    <tableStyle count="3" pivot="0" name="Area Deliberations-style 7">
      <tableStyleElement dxfId="19" type="headerRow"/>
      <tableStyleElement dxfId="20" type="firstRowStripe"/>
      <tableStyleElement dxfId="3" type="secondRowStripe"/>
    </tableStyle>
    <tableStyle count="3" pivot="0" name="Area Deliberations-style 8">
      <tableStyleElement dxfId="19" type="headerRow"/>
      <tableStyleElement dxfId="20" type="firstRowStripe"/>
      <tableStyleElement dxfId="3"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581025</xdr:colOff>
      <xdr:row>0</xdr:row>
      <xdr:rowOff>0</xdr:rowOff>
    </xdr:from>
    <xdr:ext cx="5086350" cy="923925"/>
    <xdr:grpSp>
      <xdr:nvGrpSpPr>
        <xdr:cNvPr id="2" name="Shape 2" title="Drawing"/>
        <xdr:cNvGrpSpPr/>
      </xdr:nvGrpSpPr>
      <xdr:grpSpPr>
        <a:xfrm>
          <a:off x="716850" y="2941800"/>
          <a:ext cx="9258300" cy="1676400"/>
          <a:chOff x="716850" y="2941800"/>
          <a:chExt cx="9258300" cy="1676400"/>
        </a:xfrm>
      </xdr:grpSpPr>
      <xdr:grpSp>
        <xdr:nvGrpSpPr>
          <xdr:cNvPr id="3" name="Shape 3"/>
          <xdr:cNvGrpSpPr/>
        </xdr:nvGrpSpPr>
        <xdr:grpSpPr>
          <a:xfrm>
            <a:off x="716850" y="2941800"/>
            <a:ext cx="9258300" cy="1676400"/>
            <a:chOff x="904875" y="95250"/>
            <a:chExt cx="9809393" cy="1679242"/>
          </a:xfrm>
        </xdr:grpSpPr>
        <xdr:sp>
          <xdr:nvSpPr>
            <xdr:cNvPr id="4" name="Shape 4"/>
            <xdr:cNvSpPr/>
          </xdr:nvSpPr>
          <xdr:spPr>
            <a:xfrm>
              <a:off x="904875" y="95250"/>
              <a:ext cx="9809375" cy="16792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5" name="Shape 5"/>
            <xdr:cNvPicPr preferRelativeResize="0"/>
          </xdr:nvPicPr>
          <xdr:blipFill rotWithShape="1">
            <a:blip r:embed="rId1">
              <a:alphaModFix/>
            </a:blip>
            <a:srcRect b="0" l="0" r="0" t="0"/>
            <a:stretch/>
          </xdr:blipFill>
          <xdr:spPr>
            <a:xfrm>
              <a:off x="3876039" y="326224"/>
              <a:ext cx="6838229" cy="1217295"/>
            </a:xfrm>
            <a:prstGeom prst="rect">
              <a:avLst/>
            </a:prstGeom>
            <a:noFill/>
            <a:ln>
              <a:noFill/>
            </a:ln>
          </xdr:spPr>
        </xdr:pic>
        <xdr:pic>
          <xdr:nvPicPr>
            <xdr:cNvPr id="6" name="Shape 6"/>
            <xdr:cNvPicPr preferRelativeResize="0"/>
          </xdr:nvPicPr>
          <xdr:blipFill rotWithShape="1">
            <a:blip r:embed="rId2">
              <a:alphaModFix/>
            </a:blip>
            <a:srcRect b="0" l="0" r="0" t="0"/>
            <a:stretch/>
          </xdr:blipFill>
          <xdr:spPr>
            <a:xfrm>
              <a:off x="904875" y="95250"/>
              <a:ext cx="2788919" cy="1679242"/>
            </a:xfrm>
            <a:prstGeom prst="rect">
              <a:avLst/>
            </a:prstGeom>
            <a:noFill/>
            <a:ln>
              <a:noFill/>
            </a:ln>
          </xdr:spPr>
        </xdr:pic>
      </xdr:grpSp>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2:F202" displayName="Table_1" name="Table_1" id="1">
  <tableColumns count="5">
    <tableColumn name="Row" id="1"/>
    <tableColumn name="Team Number" id="2"/>
    <tableColumn name="Team Name" id="3"/>
    <tableColumn name="Coach" id="4"/>
    <tableColumn name="Pod Number" id="5"/>
  </tableColumns>
  <tableStyleInfo name="Team and Program Information-style" showColumnStripes="0" showFirstColumn="1" showLastColumn="1" showRowStripes="1"/>
</table>
</file>

<file path=xl/tables/table2.xml><?xml version="1.0" encoding="utf-8"?>
<table xmlns="http://schemas.openxmlformats.org/spreadsheetml/2006/main" ref="A2:Z202" displayName="Table_2" name="Table_2" id="2">
  <tableColumns count="26">
    <tableColumn name="Team Number" id="1"/>
    <tableColumn name="Team Name" id="2"/>
    <tableColumn name="Robot Game Score 1" id="3"/>
    <tableColumn name="Robot Game Score 2" id="4"/>
    <tableColumn name="Robot Game Score 3" id="5"/>
    <tableColumn name="Robot Game Score 4" id="6"/>
    <tableColumn name="Robot Game Score 5" id="7"/>
    <tableColumn name="Max Robot Game Score" id="8"/>
    <tableColumn name="Robot Game Rank" id="9"/>
    <tableColumn name="Core Values Rank" id="10"/>
    <tableColumn name="Innovation Project Rank" id="11"/>
    <tableColumn name="Robot Design Rank" id="12"/>
    <tableColumn name="Champion's Score" id="13"/>
    <tableColumn name="Champion's Rank" id="14"/>
    <tableColumn name="Breakthrough" id="15"/>
    <tableColumn name="Rising All-Star" id="16"/>
    <tableColumn name="Motivate" id="17"/>
    <tableColumn name="Award" id="18"/>
    <tableColumn name="Award Place" id="19"/>
    <tableColumn name="Advance?" id="20"/>
    <tableColumn name="Core Values Score" id="21"/>
    <tableColumn name="Innovattion Project Score" id="22"/>
    <tableColumn name="Robot Design Score" id="23"/>
    <tableColumn name="Overall Score - Geometric Mean" id="24"/>
    <tableColumn name="Overall Ranking - Geometric Mean" id="25"/>
    <tableColumn name="Comments" id="26"/>
  </tableColumns>
  <tableStyleInfo name="Results and Rankings-style" showColumnStripes="0" showFirstColumn="1" showLastColumn="1" showRowStripes="1"/>
</table>
</file>

<file path=xl/tables/table3.xml><?xml version="1.0" encoding="utf-8"?>
<table xmlns="http://schemas.openxmlformats.org/spreadsheetml/2006/main" ref="A1:N201" displayName="Table_3" name="Table_3" id="3">
  <tableColumns count="14">
    <tableColumn name="Team Number" id="1"/>
    <tableColumn name="Team Name" id="2"/>
    <tableColumn name="Identify - Define" id="3"/>
    <tableColumn name="Identify - Research (CV)" id="4"/>
    <tableColumn name="Design - Plan" id="5"/>
    <tableColumn name="Design - Teamwork (CV)" id="6"/>
    <tableColumn name="Create - Innovation (CV)" id="7"/>
    <tableColumn name="Create - Model" id="8"/>
    <tableColumn name="Iterate - Sharing" id="9"/>
    <tableColumn name="Iterate - Improvement" id="10"/>
    <tableColumn name="Communicate - Impact (CV)" id="11"/>
    <tableColumn name="Communicate - Fun (CV)" id="12"/>
    <tableColumn name="Innovation Project Score" id="13"/>
    <tableColumn name="Innovation Project Rank" id="14"/>
  </tableColumns>
  <tableStyleInfo name="Innovation Project Input-style" showColumnStripes="0" showFirstColumn="1" showLastColumn="1" showRowStripes="1"/>
</table>
</file>

<file path=xl/tables/table4.xml><?xml version="1.0" encoding="utf-8"?>
<table xmlns="http://schemas.openxmlformats.org/spreadsheetml/2006/main" ref="A1:N201" displayName="Table_4" name="Table_4" id="4">
  <tableColumns count="14">
    <tableColumn name="Team Number" id="1"/>
    <tableColumn name="Team Name" id="2"/>
    <tableColumn name="Identify - Strategy" id="3"/>
    <tableColumn name="Identify - Research (CV)" id="4"/>
    <tableColumn name="Design - Ideas (CV)" id="5"/>
    <tableColumn name="Design - Building/Coding" id="6"/>
    <tableColumn name="Create - Attachments" id="7"/>
    <tableColumn name="Create - Code/ Sensors" id="8"/>
    <tableColumn name="Iterate - Testing" id="9"/>
    <tableColumn name="Iterate - Improvements (CV)" id="10"/>
    <tableColumn name="Communicate - Impact (CV)" id="11"/>
    <tableColumn name="Communicate - Fun (CV)" id="12"/>
    <tableColumn name="Robot Design Score" id="13"/>
    <tableColumn name="Robot Design Rank" id="14"/>
  </tableColumns>
  <tableStyleInfo name="Robot Design Input-style" showColumnStripes="0" showFirstColumn="1" showLastColumn="1" showRowStripes="1"/>
</table>
</file>

<file path=xl/tables/table5.xml><?xml version="1.0" encoding="utf-8"?>
<table xmlns="http://schemas.openxmlformats.org/spreadsheetml/2006/main" ref="A1:I201" displayName="Table_5" name="Table_5" id="5">
  <tableColumns count="9">
    <tableColumn name="Robot Game Rank" id="1"/>
    <tableColumn name="Team Number" id="2"/>
    <tableColumn name="Team Name" id="3"/>
    <tableColumn name="Robot Game 1 Score" id="4"/>
    <tableColumn name="Robot Game 2 Score" id="5"/>
    <tableColumn name="Robot Game 3 Score" id="6"/>
    <tableColumn name="Robot Game 4 Score" id="7"/>
    <tableColumn name="Robot Game 5 Score" id="8"/>
    <tableColumn name="Highest Robot Game Score" id="9"/>
  </tableColumns>
  <tableStyleInfo name="Robot Game Scores-style" showColumnStripes="0" showFirstColumn="1" showLastColumn="1" showRowStripes="1"/>
</table>
</file>

<file path=xl/tables/table6.xml><?xml version="1.0" encoding="utf-8"?>
<table xmlns="http://schemas.openxmlformats.org/spreadsheetml/2006/main" ref="A1:Y201" displayName="Table_6" name="Table_6" id="6">
  <tableColumns count="25">
    <tableColumn name="Team Number" id="1"/>
    <tableColumn name="Team Name" id="2"/>
    <tableColumn name="Discovery (IP)" id="3"/>
    <tableColumn name="Teamwork (IP)" id="4"/>
    <tableColumn name="Innovation (IP)" id="5"/>
    <tableColumn name="Impact (IP)" id="6"/>
    <tableColumn name="Fun (IP)" id="7"/>
    <tableColumn name="Discovery (RD)" id="8"/>
    <tableColumn name="Inclusion (RD)" id="9"/>
    <tableColumn name="Innovation (RD)" id="10"/>
    <tableColumn name="Impact (RD)" id="11"/>
    <tableColumn name="Fun (RD)" id="12"/>
    <tableColumn name="Gracious Professionalism 1" id="13"/>
    <tableColumn name="Gracious Professionalism 2" id="14"/>
    <tableColumn name="Gracious Professionalism 3" id="15"/>
    <tableColumn name="Gracious Professionalism 4" id="16"/>
    <tableColumn name="Gracious Professionalism 5" id="17"/>
    <tableColumn name="Gracious Professionalism Empty Count" id="18"/>
    <tableColumn name="Gracious Professionalism Total" id="19"/>
    <tableColumn name="Gracious Professionalism Score" id="20"/>
    <tableColumn name="Core Values Score" id="21"/>
    <tableColumn name="Core Values Rank" id="22"/>
    <tableColumn name="Breakthrough Selection" id="23"/>
    <tableColumn name="Rising All-Star Selection" id="24"/>
    <tableColumn name="Motivate Selection" id="25"/>
  </tableColumns>
  <tableStyleInfo name="Core Values Input-style" showColumnStripes="0" showFirstColumn="1" showLastColumn="1" showRowStripes="1"/>
</table>
</file>

<file path=xl/tables/table7.xml><?xml version="1.0" encoding="utf-8"?>
<table xmlns="http://schemas.openxmlformats.org/spreadsheetml/2006/main" ref="B3:E18" displayName="Table_7" name="Table_7" id="7">
  <tableColumns count="4">
    <tableColumn name="Team Number" id="1"/>
    <tableColumn name="Team Name" id="2"/>
    <tableColumn name="Champion's Rank" id="3"/>
    <tableColumn name="Deliberated Rank" id="4"/>
  </tableColumns>
  <tableStyleInfo name="Area Deliberations-style" showColumnStripes="0" showFirstColumn="1" showLastColumn="1" showRowStripes="1"/>
</table>
</file>

<file path=xl/tables/table8.xml><?xml version="1.0" encoding="utf-8"?>
<table xmlns="http://schemas.openxmlformats.org/spreadsheetml/2006/main" ref="G3:J18" displayName="Table_8" name="Table_8" id="8">
  <tableColumns count="4">
    <tableColumn name="Team Number" id="1"/>
    <tableColumn name="Team Name" id="2"/>
    <tableColumn name="Champion's Rank" id="3"/>
    <tableColumn name="Deliberated Rank" id="4"/>
  </tableColumns>
  <tableStyleInfo name="Area Deliberations-style 2" showColumnStripes="0" showFirstColumn="1" showLastColumn="1" showRowStripes="1"/>
</table>
</file>

<file path=xl/tables/table9.xml><?xml version="1.0" encoding="utf-8"?>
<table xmlns="http://schemas.openxmlformats.org/spreadsheetml/2006/main" ref="B21:E36" displayName="Table_9" name="Table_9" id="9">
  <tableColumns count="4">
    <tableColumn name="Team Number" id="1"/>
    <tableColumn name="Team Name" id="2"/>
    <tableColumn name="Core Values Rank" id="3"/>
    <tableColumn name="Deliberated Rank" id="4"/>
  </tableColumns>
  <tableStyleInfo name="Area Deliberations-style 3" showColumnStripes="0" showFirstColumn="1" showLastColumn="1" showRowStripes="1"/>
</table>
</file>

<file path=xl/tables/table10.xml><?xml version="1.0" encoding="utf-8"?>
<table xmlns="http://schemas.openxmlformats.org/spreadsheetml/2006/main" ref="G21:J36" displayName="Table_10" name="Table_10" id="10">
  <tableColumns count="4">
    <tableColumn name="Team Number" id="1"/>
    <tableColumn name="Team Name" id="2"/>
    <tableColumn name="Robot Design Rank" id="3"/>
    <tableColumn name="Deliberated Rank" id="4"/>
  </tableColumns>
  <tableStyleInfo name="Area Deliberations-style 4" showColumnStripes="0" showFirstColumn="1" showLastColumn="1" showRowStripes="1"/>
</table>
</file>

<file path=xl/tables/table11.xml><?xml version="1.0" encoding="utf-8"?>
<table xmlns="http://schemas.openxmlformats.org/spreadsheetml/2006/main" ref="L21:O36" displayName="Table_11" name="Table_11" id="11">
  <tableColumns count="4">
    <tableColumn name="Team Number" id="1"/>
    <tableColumn name="Team Name" id="2"/>
    <tableColumn name="Innovation Project Rank" id="3"/>
    <tableColumn name="Deliberated Rank" id="4"/>
  </tableColumns>
  <tableStyleInfo name="Area Deliberations-style 5" showColumnStripes="0" showFirstColumn="1" showLastColumn="1" showRowStripes="1"/>
</table>
</file>

<file path=xl/tables/table12.xml><?xml version="1.0" encoding="utf-8"?>
<table xmlns="http://schemas.openxmlformats.org/spreadsheetml/2006/main" ref="B39:E54" displayName="Table_12" name="Table_12" id="12">
  <tableColumns count="4">
    <tableColumn name="Team Number" id="1"/>
    <tableColumn name="Team Name" id="2"/>
    <tableColumn name="Champion's Rank" id="3"/>
    <tableColumn name="Deliberated Rank" id="4"/>
  </tableColumns>
  <tableStyleInfo name="Area Deliberations-style 6" showColumnStripes="0" showFirstColumn="1" showLastColumn="1" showRowStripes="1"/>
</table>
</file>

<file path=xl/tables/table13.xml><?xml version="1.0" encoding="utf-8"?>
<table xmlns="http://schemas.openxmlformats.org/spreadsheetml/2006/main" ref="G39:J54" displayName="Table_13" name="Table_13" id="13">
  <tableColumns count="4">
    <tableColumn name="Team Number" id="1"/>
    <tableColumn name="Team Name" id="2"/>
    <tableColumn name="Champion's Rank" id="3"/>
    <tableColumn name="Deliberated Rank" id="4"/>
  </tableColumns>
  <tableStyleInfo name="Area Deliberations-style 7" showColumnStripes="0" showFirstColumn="1" showLastColumn="1" showRowStripes="1"/>
</table>
</file>

<file path=xl/tables/table14.xml><?xml version="1.0" encoding="utf-8"?>
<table xmlns="http://schemas.openxmlformats.org/spreadsheetml/2006/main" ref="L39:O54" displayName="Table_14" name="Table_14" id="14">
  <tableColumns count="4">
    <tableColumn name="Team Number" id="1"/>
    <tableColumn name="Team Name" id="2"/>
    <tableColumn name="Champion's Rank" id="3"/>
    <tableColumn name="Deliberated Rank" id="4"/>
  </tableColumns>
  <tableStyleInfo name="Area Deliberations-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11" Type="http://schemas.openxmlformats.org/officeDocument/2006/relationships/table" Target="../tables/table8.xml"/><Relationship Id="rId10" Type="http://schemas.openxmlformats.org/officeDocument/2006/relationships/table" Target="../tables/table7.xml"/><Relationship Id="rId13" Type="http://schemas.openxmlformats.org/officeDocument/2006/relationships/table" Target="../tables/table10.xml"/><Relationship Id="rId12" Type="http://schemas.openxmlformats.org/officeDocument/2006/relationships/table" Target="../tables/table9.xml"/><Relationship Id="rId15" Type="http://schemas.openxmlformats.org/officeDocument/2006/relationships/table" Target="../tables/table12.xml"/><Relationship Id="rId14" Type="http://schemas.openxmlformats.org/officeDocument/2006/relationships/table" Target="../tables/table11.xml"/><Relationship Id="rId17" Type="http://schemas.openxmlformats.org/officeDocument/2006/relationships/table" Target="../tables/table14.xml"/><Relationship Id="rId16"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pageSetUpPr/>
  </sheetPr>
  <sheetViews>
    <sheetView showGridLines="0" workbookViewId="0"/>
  </sheetViews>
  <sheetFormatPr customHeight="1" defaultColWidth="14.43" defaultRowHeight="15.0"/>
  <cols>
    <col customWidth="1" min="1" max="5" width="8.71"/>
    <col customWidth="1" min="6" max="6" width="9.14"/>
    <col customWidth="1" min="7" max="45" width="8.71"/>
  </cols>
  <sheetData>
    <row r="1" ht="45.0" customHeight="1">
      <c r="W1" s="1" t="s">
        <v>0</v>
      </c>
      <c r="X1" s="2"/>
      <c r="Y1" s="2"/>
      <c r="Z1" s="2"/>
      <c r="AA1" s="2"/>
      <c r="AB1" s="2"/>
      <c r="AC1" s="2"/>
      <c r="AD1" s="2"/>
      <c r="AE1" s="2"/>
      <c r="AF1" s="2"/>
      <c r="AG1" s="2"/>
      <c r="AH1" s="2"/>
      <c r="AI1" s="2"/>
      <c r="AJ1" s="2"/>
      <c r="AK1" s="2"/>
      <c r="AL1" s="2"/>
      <c r="AM1" s="2"/>
      <c r="AN1" s="2"/>
      <c r="AO1" s="2"/>
      <c r="AP1" s="3"/>
    </row>
    <row r="2" ht="45.0" customHeight="1">
      <c r="W2" s="4"/>
      <c r="X2" s="5"/>
      <c r="Y2" s="5"/>
      <c r="Z2" s="5"/>
      <c r="AA2" s="5"/>
      <c r="AB2" s="5"/>
      <c r="AC2" s="5"/>
      <c r="AD2" s="5"/>
      <c r="AE2" s="5"/>
      <c r="AF2" s="5"/>
      <c r="AG2" s="5"/>
      <c r="AH2" s="5"/>
      <c r="AI2" s="5"/>
      <c r="AJ2" s="5"/>
      <c r="AK2" s="5"/>
      <c r="AL2" s="5"/>
      <c r="AM2" s="5"/>
      <c r="AN2" s="5"/>
      <c r="AO2" s="5"/>
      <c r="AP2" s="6"/>
    </row>
    <row r="3" ht="45.0" customHeight="1">
      <c r="W3" s="7"/>
      <c r="X3" s="7"/>
      <c r="Y3" s="7"/>
      <c r="Z3" s="7"/>
      <c r="AA3" s="7"/>
      <c r="AB3" s="7"/>
      <c r="AC3" s="7"/>
      <c r="AD3" s="7"/>
      <c r="AE3" s="7"/>
      <c r="AF3" s="7"/>
      <c r="AG3" s="7"/>
      <c r="AH3" s="7"/>
      <c r="AI3" s="7"/>
      <c r="AJ3" s="7"/>
      <c r="AK3" s="7"/>
      <c r="AL3" s="7"/>
      <c r="AM3" s="7"/>
      <c r="AN3" s="7"/>
    </row>
    <row r="4" ht="90.75" customHeight="1">
      <c r="A4" s="8"/>
      <c r="B4" s="8"/>
      <c r="C4" s="8"/>
      <c r="D4" s="9" t="s">
        <v>1</v>
      </c>
      <c r="E4" s="10" t="s">
        <v>2</v>
      </c>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2"/>
    </row>
    <row r="5" ht="90.75" customHeight="1">
      <c r="A5" s="8"/>
      <c r="B5" s="8"/>
      <c r="C5" s="8"/>
      <c r="D5" s="13"/>
      <c r="E5" s="14"/>
      <c r="F5" s="10" t="s">
        <v>3</v>
      </c>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2"/>
      <c r="AS5" s="13"/>
    </row>
    <row r="6" ht="90.75" customHeight="1">
      <c r="A6" s="8"/>
      <c r="B6" s="8"/>
      <c r="C6" s="8"/>
      <c r="D6" s="9" t="s">
        <v>4</v>
      </c>
      <c r="E6" s="10" t="s">
        <v>5</v>
      </c>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2"/>
    </row>
    <row r="7" ht="90.75" customHeight="1">
      <c r="A7" s="8"/>
      <c r="B7" s="8"/>
      <c r="C7" s="8"/>
      <c r="D7" s="9" t="s">
        <v>6</v>
      </c>
      <c r="E7" s="10" t="s">
        <v>7</v>
      </c>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2"/>
    </row>
    <row r="8" ht="90.75" customHeight="1">
      <c r="A8" s="8"/>
      <c r="B8" s="8"/>
      <c r="C8" s="8"/>
      <c r="D8" s="15"/>
      <c r="E8" s="14"/>
      <c r="F8" s="10" t="s">
        <v>8</v>
      </c>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2"/>
      <c r="AS8" s="14"/>
    </row>
    <row r="9" ht="90.75" customHeight="1">
      <c r="A9" s="8"/>
      <c r="B9" s="8"/>
      <c r="C9" s="8"/>
      <c r="D9" s="9" t="s">
        <v>9</v>
      </c>
      <c r="E9" s="10" t="s">
        <v>10</v>
      </c>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2"/>
    </row>
    <row r="10" ht="90.75" customHeight="1">
      <c r="A10" s="8"/>
      <c r="B10" s="8"/>
      <c r="C10" s="8"/>
      <c r="D10" s="9" t="s">
        <v>11</v>
      </c>
      <c r="E10" s="10" t="s">
        <v>12</v>
      </c>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2"/>
    </row>
    <row r="11" ht="14.25" customHeight="1">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row>
    <row r="12" ht="14.25" customHeight="1">
      <c r="A12" s="8"/>
      <c r="B12" s="16" t="s">
        <v>13</v>
      </c>
      <c r="C12" s="17"/>
      <c r="D12" s="17"/>
      <c r="E12" s="17"/>
      <c r="F12" s="18" t="s">
        <v>14</v>
      </c>
      <c r="G12" s="19"/>
      <c r="H12" s="19"/>
      <c r="I12" s="19"/>
      <c r="J12" s="19"/>
      <c r="K12" s="19"/>
      <c r="L12" s="19"/>
      <c r="M12" s="20"/>
      <c r="N12" s="13"/>
      <c r="O12" s="18" t="s">
        <v>15</v>
      </c>
      <c r="P12" s="19"/>
      <c r="Q12" s="19"/>
      <c r="R12" s="19"/>
      <c r="S12" s="19"/>
      <c r="T12" s="19"/>
      <c r="U12" s="19"/>
      <c r="V12" s="20"/>
      <c r="W12" s="13"/>
      <c r="X12" s="18" t="s">
        <v>16</v>
      </c>
      <c r="Y12" s="19"/>
      <c r="Z12" s="19"/>
      <c r="AA12" s="19"/>
      <c r="AB12" s="19"/>
      <c r="AC12" s="20"/>
      <c r="AD12" s="13"/>
      <c r="AE12" s="18" t="s">
        <v>17</v>
      </c>
      <c r="AF12" s="19"/>
      <c r="AG12" s="19"/>
      <c r="AH12" s="19"/>
      <c r="AI12" s="19"/>
      <c r="AJ12" s="19"/>
      <c r="AK12" s="19"/>
      <c r="AL12" s="19"/>
      <c r="AM12" s="19"/>
      <c r="AN12" s="19"/>
      <c r="AO12" s="19"/>
      <c r="AP12" s="19"/>
      <c r="AQ12" s="19"/>
      <c r="AR12" s="20"/>
      <c r="AS12" s="8"/>
    </row>
    <row r="13" ht="14.25" customHeight="1">
      <c r="A13" s="8"/>
      <c r="B13" s="17"/>
      <c r="C13" s="17"/>
      <c r="D13" s="21"/>
      <c r="E13" s="17"/>
      <c r="F13" s="22"/>
      <c r="G13" s="5"/>
      <c r="H13" s="5"/>
      <c r="I13" s="5"/>
      <c r="J13" s="5"/>
      <c r="K13" s="5"/>
      <c r="L13" s="5"/>
      <c r="M13" s="23"/>
      <c r="N13" s="13"/>
      <c r="O13" s="24"/>
      <c r="V13" s="25"/>
      <c r="W13" s="13"/>
      <c r="X13" s="24"/>
      <c r="AC13" s="25"/>
      <c r="AD13" s="13"/>
      <c r="AE13" s="26"/>
      <c r="AF13" s="27"/>
      <c r="AG13" s="27"/>
      <c r="AH13" s="27"/>
      <c r="AI13" s="27"/>
      <c r="AJ13" s="27"/>
      <c r="AK13" s="27"/>
      <c r="AL13" s="27"/>
      <c r="AM13" s="27"/>
      <c r="AN13" s="27"/>
      <c r="AO13" s="27"/>
      <c r="AP13" s="27"/>
      <c r="AQ13" s="27"/>
      <c r="AR13" s="28"/>
      <c r="AS13" s="8"/>
    </row>
    <row r="14" ht="14.25" customHeight="1">
      <c r="A14" s="8"/>
      <c r="B14" s="17"/>
      <c r="C14" s="17"/>
      <c r="D14" s="17"/>
      <c r="E14" s="17"/>
      <c r="F14" s="29" t="s">
        <v>18</v>
      </c>
      <c r="G14" s="2"/>
      <c r="H14" s="2"/>
      <c r="I14" s="2"/>
      <c r="J14" s="2"/>
      <c r="K14" s="2"/>
      <c r="L14" s="2"/>
      <c r="M14" s="30"/>
      <c r="N14" s="13"/>
      <c r="O14" s="24"/>
      <c r="V14" s="25"/>
      <c r="W14" s="13"/>
      <c r="X14" s="24"/>
      <c r="AC14" s="25"/>
      <c r="AD14" s="13"/>
      <c r="AE14" s="29" t="s">
        <v>19</v>
      </c>
      <c r="AF14" s="2"/>
      <c r="AG14" s="2"/>
      <c r="AH14" s="2"/>
      <c r="AI14" s="2"/>
      <c r="AJ14" s="2"/>
      <c r="AK14" s="2"/>
      <c r="AL14" s="2"/>
      <c r="AM14" s="2"/>
      <c r="AN14" s="2"/>
      <c r="AO14" s="2"/>
      <c r="AP14" s="2"/>
      <c r="AQ14" s="2"/>
      <c r="AR14" s="30"/>
      <c r="AS14" s="8"/>
    </row>
    <row r="15" ht="14.25" customHeight="1">
      <c r="A15" s="8"/>
      <c r="B15" s="17"/>
      <c r="C15" s="17"/>
      <c r="D15" s="17"/>
      <c r="E15" s="17"/>
      <c r="F15" s="26"/>
      <c r="G15" s="27"/>
      <c r="H15" s="27"/>
      <c r="I15" s="27"/>
      <c r="J15" s="27"/>
      <c r="K15" s="27"/>
      <c r="L15" s="27"/>
      <c r="M15" s="28"/>
      <c r="N15" s="13"/>
      <c r="O15" s="26"/>
      <c r="P15" s="27"/>
      <c r="Q15" s="27"/>
      <c r="R15" s="27"/>
      <c r="S15" s="27"/>
      <c r="T15" s="27"/>
      <c r="U15" s="27"/>
      <c r="V15" s="28"/>
      <c r="W15" s="13"/>
      <c r="X15" s="26"/>
      <c r="Y15" s="27"/>
      <c r="Z15" s="27"/>
      <c r="AA15" s="27"/>
      <c r="AB15" s="27"/>
      <c r="AC15" s="28"/>
      <c r="AD15" s="13"/>
      <c r="AE15" s="26"/>
      <c r="AF15" s="27"/>
      <c r="AG15" s="27"/>
      <c r="AH15" s="27"/>
      <c r="AI15" s="27"/>
      <c r="AJ15" s="27"/>
      <c r="AK15" s="27"/>
      <c r="AL15" s="27"/>
      <c r="AM15" s="27"/>
      <c r="AN15" s="27"/>
      <c r="AO15" s="27"/>
      <c r="AP15" s="27"/>
      <c r="AQ15" s="27"/>
      <c r="AR15" s="28"/>
      <c r="AS15" s="8"/>
    </row>
    <row r="16" ht="14.25" customHeight="1">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row>
    <row r="17" ht="14.25" customHeight="1">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row>
    <row r="18" ht="14.25" customHeight="1">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row>
    <row r="19" ht="14.25" customHeight="1">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row>
    <row r="20" ht="14.25" customHeight="1">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row>
    <row r="21" ht="14.25" customHeight="1">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row>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4">
    <mergeCell ref="E10:AS10"/>
    <mergeCell ref="F12:M13"/>
    <mergeCell ref="O12:V15"/>
    <mergeCell ref="X12:AC15"/>
    <mergeCell ref="AE12:AR13"/>
    <mergeCell ref="F14:M15"/>
    <mergeCell ref="AE14:AR15"/>
    <mergeCell ref="W1:AP2"/>
    <mergeCell ref="E4:AS4"/>
    <mergeCell ref="F5:AR5"/>
    <mergeCell ref="E6:AS6"/>
    <mergeCell ref="E7:AS7"/>
    <mergeCell ref="F8:AR8"/>
    <mergeCell ref="E9:AS9"/>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pageSetUpPr/>
  </sheetPr>
  <sheetViews>
    <sheetView showGridLines="0" workbookViewId="0"/>
  </sheetViews>
  <sheetFormatPr customHeight="1" defaultColWidth="14.43" defaultRowHeight="15.0"/>
  <cols>
    <col customWidth="1" min="1" max="1" width="23.86"/>
    <col customWidth="1" min="2" max="2" width="9.43"/>
    <col customWidth="1" min="3" max="3" width="23.86"/>
    <col customWidth="1" min="4" max="4" width="68.57"/>
    <col customWidth="1" min="5" max="5" width="13.29"/>
    <col customWidth="1" min="6" max="6" width="21.57"/>
    <col customWidth="1" min="7" max="26" width="8.71"/>
  </cols>
  <sheetData>
    <row r="1" ht="39.75" customHeight="1">
      <c r="A1" s="31" t="s">
        <v>20</v>
      </c>
      <c r="B1" s="32"/>
      <c r="C1" s="33" t="s">
        <v>21</v>
      </c>
      <c r="D1" s="11"/>
      <c r="E1" s="11"/>
      <c r="F1" s="12"/>
    </row>
    <row r="2" ht="39.75" customHeight="1">
      <c r="A2" s="31" t="s">
        <v>22</v>
      </c>
      <c r="B2" s="34" t="s">
        <v>23</v>
      </c>
      <c r="C2" s="35" t="s">
        <v>24</v>
      </c>
      <c r="D2" s="35" t="s">
        <v>25</v>
      </c>
      <c r="E2" s="36" t="s">
        <v>26</v>
      </c>
      <c r="F2" s="36" t="s">
        <v>27</v>
      </c>
    </row>
    <row r="3" ht="39.75" customHeight="1">
      <c r="A3" s="32"/>
      <c r="B3" s="37">
        <v>1.0</v>
      </c>
      <c r="C3" s="38"/>
      <c r="D3" s="39"/>
      <c r="E3" s="38"/>
      <c r="F3" s="38"/>
    </row>
    <row r="4" ht="39.75" customHeight="1">
      <c r="A4" s="31" t="s">
        <v>28</v>
      </c>
      <c r="B4" s="40">
        <v>2.0</v>
      </c>
      <c r="C4" s="38"/>
      <c r="D4" s="39"/>
      <c r="E4" s="38"/>
      <c r="F4" s="38"/>
    </row>
    <row r="5" ht="39.75" customHeight="1">
      <c r="A5" s="31">
        <f>COUNTA('Team and Program Information'!$C$3:$C$202)</f>
        <v>0</v>
      </c>
      <c r="B5" s="40">
        <v>3.0</v>
      </c>
      <c r="C5" s="38"/>
      <c r="D5" s="39"/>
      <c r="E5" s="41"/>
      <c r="F5" s="42"/>
    </row>
    <row r="6" ht="39.75" customHeight="1">
      <c r="A6" s="31"/>
      <c r="B6" s="40">
        <v>4.0</v>
      </c>
      <c r="C6" s="38"/>
      <c r="D6" s="39"/>
      <c r="E6" s="38"/>
      <c r="F6" s="38"/>
    </row>
    <row r="7" ht="39.75" customHeight="1">
      <c r="A7" s="43" t="s">
        <v>29</v>
      </c>
      <c r="B7" s="40">
        <v>5.0</v>
      </c>
      <c r="C7" s="38"/>
      <c r="D7" s="39"/>
      <c r="E7" s="38"/>
      <c r="F7" s="38"/>
    </row>
    <row r="8" ht="39.75" customHeight="1">
      <c r="A8" s="44">
        <v>1.0</v>
      </c>
      <c r="B8" s="40">
        <v>6.0</v>
      </c>
      <c r="C8" s="38"/>
      <c r="D8" s="39"/>
      <c r="E8" s="38"/>
      <c r="F8" s="38"/>
    </row>
    <row r="9" ht="39.75" customHeight="1">
      <c r="A9" s="31"/>
      <c r="B9" s="40">
        <v>7.0</v>
      </c>
      <c r="C9" s="38"/>
      <c r="D9" s="39"/>
      <c r="E9" s="38"/>
      <c r="F9" s="38"/>
    </row>
    <row r="10" ht="39.75" customHeight="1">
      <c r="A10" s="45" t="s">
        <v>30</v>
      </c>
      <c r="B10" s="40">
        <v>8.0</v>
      </c>
      <c r="C10" s="38"/>
      <c r="D10" s="39"/>
      <c r="E10" s="38"/>
      <c r="F10" s="38"/>
    </row>
    <row r="11" ht="39.75" customHeight="1">
      <c r="A11" s="46" t="s">
        <v>31</v>
      </c>
      <c r="B11" s="40">
        <v>9.0</v>
      </c>
      <c r="C11" s="38"/>
      <c r="D11" s="39"/>
      <c r="E11" s="38"/>
      <c r="F11" s="38"/>
    </row>
    <row r="12" ht="39.75" customHeight="1">
      <c r="A12" s="47" t="s">
        <v>32</v>
      </c>
      <c r="B12" s="40">
        <v>10.0</v>
      </c>
      <c r="C12" s="38"/>
      <c r="D12" s="39"/>
      <c r="E12" s="38"/>
      <c r="F12" s="38"/>
    </row>
    <row r="13" ht="39.75" customHeight="1">
      <c r="A13" s="47" t="s">
        <v>33</v>
      </c>
      <c r="B13" s="40">
        <v>11.0</v>
      </c>
      <c r="C13" s="38"/>
      <c r="D13" s="39"/>
      <c r="E13" s="38"/>
      <c r="F13" s="38"/>
    </row>
    <row r="14" ht="39.75" customHeight="1">
      <c r="A14" s="47" t="s">
        <v>34</v>
      </c>
      <c r="B14" s="40">
        <v>12.0</v>
      </c>
      <c r="C14" s="38"/>
      <c r="D14" s="39"/>
      <c r="E14" s="38"/>
      <c r="F14" s="38"/>
    </row>
    <row r="15" ht="39.75" customHeight="1">
      <c r="A15" s="47" t="s">
        <v>35</v>
      </c>
      <c r="B15" s="40">
        <v>13.0</v>
      </c>
      <c r="C15" s="38"/>
      <c r="D15" s="39"/>
      <c r="E15" s="38"/>
      <c r="F15" s="38"/>
    </row>
    <row r="16" ht="39.75" customHeight="1">
      <c r="A16" s="47" t="s">
        <v>36</v>
      </c>
      <c r="B16" s="40">
        <v>14.0</v>
      </c>
      <c r="C16" s="38"/>
      <c r="D16" s="39"/>
      <c r="E16" s="38"/>
      <c r="F16" s="38"/>
    </row>
    <row r="17" ht="39.75" customHeight="1">
      <c r="A17" s="47" t="s">
        <v>37</v>
      </c>
      <c r="B17" s="40">
        <v>15.0</v>
      </c>
      <c r="C17" s="38"/>
      <c r="D17" s="39"/>
      <c r="E17" s="38"/>
      <c r="F17" s="38"/>
    </row>
    <row r="18" ht="39.75" customHeight="1">
      <c r="A18" s="48" t="s">
        <v>38</v>
      </c>
      <c r="B18" s="40">
        <v>16.0</v>
      </c>
      <c r="C18" s="38"/>
      <c r="D18" s="39"/>
      <c r="E18" s="38"/>
      <c r="F18" s="38"/>
    </row>
    <row r="19" ht="39.75" customHeight="1">
      <c r="A19" s="48"/>
      <c r="B19" s="40">
        <v>17.0</v>
      </c>
      <c r="C19" s="38"/>
      <c r="D19" s="39"/>
      <c r="E19" s="38"/>
      <c r="F19" s="38"/>
    </row>
    <row r="20" ht="39.75" customHeight="1">
      <c r="A20" s="48"/>
      <c r="B20" s="40">
        <v>18.0</v>
      </c>
      <c r="C20" s="38"/>
      <c r="D20" s="39"/>
      <c r="E20" s="38"/>
      <c r="F20" s="38"/>
    </row>
    <row r="21" ht="39.75" customHeight="1">
      <c r="A21" s="49"/>
      <c r="B21" s="40">
        <v>19.0</v>
      </c>
      <c r="C21" s="38"/>
      <c r="D21" s="39"/>
      <c r="E21" s="38"/>
      <c r="F21" s="38"/>
    </row>
    <row r="22" ht="39.75" customHeight="1">
      <c r="A22" s="49"/>
      <c r="B22" s="40">
        <v>20.0</v>
      </c>
      <c r="C22" s="38"/>
      <c r="D22" s="39"/>
      <c r="E22" s="38"/>
      <c r="F22" s="38"/>
    </row>
    <row r="23" ht="39.75" customHeight="1">
      <c r="A23" s="49"/>
      <c r="B23" s="40">
        <v>21.0</v>
      </c>
      <c r="C23" s="38"/>
      <c r="D23" s="39"/>
      <c r="E23" s="38"/>
      <c r="F23" s="38"/>
    </row>
    <row r="24" ht="39.75" customHeight="1">
      <c r="A24" s="49"/>
      <c r="B24" s="40">
        <v>22.0</v>
      </c>
      <c r="C24" s="38"/>
      <c r="D24" s="39"/>
      <c r="E24" s="38"/>
      <c r="F24" s="38"/>
    </row>
    <row r="25" ht="39.75" customHeight="1">
      <c r="A25" s="49"/>
      <c r="B25" s="40">
        <v>23.0</v>
      </c>
      <c r="C25" s="38"/>
      <c r="D25" s="39"/>
      <c r="E25" s="38"/>
      <c r="F25" s="38"/>
    </row>
    <row r="26" ht="39.75" customHeight="1">
      <c r="A26" s="31"/>
      <c r="B26" s="40">
        <v>24.0</v>
      </c>
      <c r="C26" s="38"/>
      <c r="D26" s="39"/>
      <c r="E26" s="38"/>
      <c r="F26" s="38"/>
    </row>
    <row r="27" ht="39.75" customHeight="1">
      <c r="A27" s="31"/>
      <c r="B27" s="40">
        <v>25.0</v>
      </c>
      <c r="C27" s="38"/>
      <c r="D27" s="39"/>
      <c r="E27" s="38"/>
      <c r="F27" s="38"/>
    </row>
    <row r="28" ht="39.75" customHeight="1">
      <c r="A28" s="31"/>
      <c r="B28" s="40">
        <v>26.0</v>
      </c>
      <c r="C28" s="38"/>
      <c r="D28" s="39"/>
      <c r="E28" s="38"/>
      <c r="F28" s="38"/>
    </row>
    <row r="29" ht="39.75" customHeight="1">
      <c r="A29" s="31"/>
      <c r="B29" s="40">
        <v>27.0</v>
      </c>
      <c r="C29" s="38"/>
      <c r="D29" s="39"/>
      <c r="E29" s="38"/>
      <c r="F29" s="38"/>
    </row>
    <row r="30" ht="39.75" customHeight="1">
      <c r="A30" s="31"/>
      <c r="B30" s="40">
        <v>28.0</v>
      </c>
      <c r="C30" s="38"/>
      <c r="D30" s="39"/>
      <c r="E30" s="38"/>
      <c r="F30" s="38"/>
    </row>
    <row r="31" ht="39.75" customHeight="1">
      <c r="A31" s="31"/>
      <c r="B31" s="40">
        <v>29.0</v>
      </c>
      <c r="C31" s="38"/>
      <c r="D31" s="39"/>
      <c r="E31" s="38"/>
      <c r="F31" s="38"/>
    </row>
    <row r="32" ht="39.75" customHeight="1">
      <c r="A32" s="31"/>
      <c r="B32" s="40">
        <v>30.0</v>
      </c>
      <c r="C32" s="38"/>
      <c r="D32" s="39"/>
      <c r="E32" s="38"/>
      <c r="F32" s="38"/>
    </row>
    <row r="33" ht="39.75" customHeight="1">
      <c r="A33" s="31"/>
      <c r="B33" s="40">
        <v>31.0</v>
      </c>
      <c r="C33" s="38"/>
      <c r="D33" s="39"/>
      <c r="E33" s="38"/>
      <c r="F33" s="38"/>
    </row>
    <row r="34" ht="39.75" customHeight="1">
      <c r="A34" s="31"/>
      <c r="B34" s="40">
        <v>32.0</v>
      </c>
      <c r="C34" s="38"/>
      <c r="D34" s="39"/>
      <c r="E34" s="38"/>
      <c r="F34" s="38"/>
    </row>
    <row r="35" ht="39.75" customHeight="1">
      <c r="A35" s="31"/>
      <c r="B35" s="40">
        <v>33.0</v>
      </c>
      <c r="C35" s="38"/>
      <c r="D35" s="39"/>
      <c r="E35" s="38"/>
      <c r="F35" s="38"/>
    </row>
    <row r="36" ht="39.75" customHeight="1">
      <c r="A36" s="31"/>
      <c r="B36" s="40">
        <v>34.0</v>
      </c>
      <c r="C36" s="38"/>
      <c r="D36" s="39"/>
      <c r="E36" s="38"/>
      <c r="F36" s="38"/>
    </row>
    <row r="37" ht="39.75" customHeight="1">
      <c r="A37" s="31"/>
      <c r="B37" s="40">
        <v>35.0</v>
      </c>
      <c r="C37" s="38"/>
      <c r="D37" s="39"/>
      <c r="E37" s="38"/>
      <c r="F37" s="38"/>
    </row>
    <row r="38" ht="39.75" customHeight="1">
      <c r="A38" s="31"/>
      <c r="B38" s="40">
        <v>36.0</v>
      </c>
      <c r="C38" s="38"/>
      <c r="D38" s="39"/>
      <c r="E38" s="38"/>
      <c r="F38" s="38"/>
    </row>
    <row r="39" ht="39.75" customHeight="1">
      <c r="A39" s="31"/>
      <c r="B39" s="40">
        <v>37.0</v>
      </c>
      <c r="C39" s="38"/>
      <c r="D39" s="39"/>
      <c r="E39" s="38"/>
      <c r="F39" s="38"/>
    </row>
    <row r="40" ht="39.75" customHeight="1">
      <c r="A40" s="31"/>
      <c r="B40" s="40">
        <v>38.0</v>
      </c>
      <c r="C40" s="38"/>
      <c r="D40" s="39"/>
      <c r="E40" s="38"/>
      <c r="F40" s="38"/>
    </row>
    <row r="41" ht="39.75" customHeight="1">
      <c r="A41" s="31"/>
      <c r="B41" s="40">
        <v>39.0</v>
      </c>
      <c r="C41" s="38"/>
      <c r="D41" s="39"/>
      <c r="E41" s="38"/>
      <c r="F41" s="38"/>
    </row>
    <row r="42" ht="39.75" customHeight="1">
      <c r="A42" s="31"/>
      <c r="B42" s="40">
        <v>40.0</v>
      </c>
      <c r="C42" s="38"/>
      <c r="D42" s="39"/>
      <c r="E42" s="38"/>
      <c r="F42" s="38"/>
    </row>
    <row r="43" ht="39.75" customHeight="1">
      <c r="A43" s="31"/>
      <c r="B43" s="40">
        <v>41.0</v>
      </c>
      <c r="C43" s="38"/>
      <c r="D43" s="39"/>
      <c r="E43" s="38"/>
      <c r="F43" s="38"/>
    </row>
    <row r="44" ht="39.75" customHeight="1">
      <c r="A44" s="31"/>
      <c r="B44" s="40">
        <v>42.0</v>
      </c>
      <c r="C44" s="38"/>
      <c r="D44" s="39"/>
      <c r="E44" s="38"/>
      <c r="F44" s="38"/>
    </row>
    <row r="45" ht="39.75" customHeight="1">
      <c r="A45" s="31"/>
      <c r="B45" s="40">
        <v>43.0</v>
      </c>
      <c r="C45" s="38"/>
      <c r="D45" s="39"/>
      <c r="E45" s="38"/>
      <c r="F45" s="38"/>
    </row>
    <row r="46" ht="39.75" customHeight="1">
      <c r="A46" s="31"/>
      <c r="B46" s="40">
        <v>44.0</v>
      </c>
      <c r="C46" s="38"/>
      <c r="D46" s="39"/>
      <c r="E46" s="38"/>
      <c r="F46" s="38"/>
    </row>
    <row r="47" ht="39.75" customHeight="1">
      <c r="A47" s="31"/>
      <c r="B47" s="40">
        <v>45.0</v>
      </c>
      <c r="C47" s="38"/>
      <c r="D47" s="39"/>
      <c r="E47" s="38"/>
      <c r="F47" s="38"/>
    </row>
    <row r="48" ht="39.75" customHeight="1">
      <c r="A48" s="31"/>
      <c r="B48" s="40">
        <v>46.0</v>
      </c>
      <c r="C48" s="38"/>
      <c r="D48" s="39"/>
      <c r="E48" s="38"/>
      <c r="F48" s="38"/>
    </row>
    <row r="49" ht="39.75" customHeight="1">
      <c r="A49" s="31"/>
      <c r="B49" s="40">
        <v>47.0</v>
      </c>
      <c r="C49" s="38"/>
      <c r="D49" s="39"/>
      <c r="E49" s="38"/>
      <c r="F49" s="38"/>
    </row>
    <row r="50" ht="39.75" customHeight="1">
      <c r="A50" s="31"/>
      <c r="B50" s="40">
        <v>48.0</v>
      </c>
      <c r="C50" s="38"/>
      <c r="D50" s="39"/>
      <c r="E50" s="38"/>
      <c r="F50" s="38"/>
    </row>
    <row r="51" ht="39.75" customHeight="1">
      <c r="A51" s="31"/>
      <c r="B51" s="40">
        <v>49.0</v>
      </c>
      <c r="C51" s="38"/>
      <c r="D51" s="39"/>
      <c r="E51" s="38"/>
      <c r="F51" s="38"/>
    </row>
    <row r="52" ht="39.75" customHeight="1">
      <c r="A52" s="31"/>
      <c r="B52" s="40">
        <v>50.0</v>
      </c>
      <c r="C52" s="38"/>
      <c r="D52" s="39"/>
      <c r="E52" s="38"/>
      <c r="F52" s="38"/>
    </row>
    <row r="53" ht="39.75" customHeight="1">
      <c r="A53" s="31"/>
      <c r="B53" s="40">
        <v>51.0</v>
      </c>
      <c r="C53" s="38"/>
      <c r="D53" s="39"/>
      <c r="E53" s="38"/>
      <c r="F53" s="38"/>
    </row>
    <row r="54" ht="39.75" customHeight="1">
      <c r="A54" s="31"/>
      <c r="B54" s="40">
        <v>52.0</v>
      </c>
      <c r="C54" s="38"/>
      <c r="D54" s="39"/>
      <c r="E54" s="38"/>
      <c r="F54" s="38"/>
    </row>
    <row r="55" ht="39.75" customHeight="1">
      <c r="A55" s="31"/>
      <c r="B55" s="40">
        <v>53.0</v>
      </c>
      <c r="C55" s="38"/>
      <c r="D55" s="39"/>
      <c r="E55" s="38"/>
      <c r="F55" s="38"/>
    </row>
    <row r="56" ht="39.75" customHeight="1">
      <c r="A56" s="31"/>
      <c r="B56" s="40">
        <v>54.0</v>
      </c>
      <c r="C56" s="38"/>
      <c r="D56" s="39"/>
      <c r="E56" s="38"/>
      <c r="F56" s="38"/>
    </row>
    <row r="57" ht="39.75" customHeight="1">
      <c r="A57" s="31"/>
      <c r="B57" s="40">
        <v>55.0</v>
      </c>
      <c r="C57" s="38"/>
      <c r="D57" s="39"/>
      <c r="E57" s="38"/>
      <c r="F57" s="38"/>
    </row>
    <row r="58" ht="39.75" customHeight="1">
      <c r="A58" s="31"/>
      <c r="B58" s="40">
        <v>56.0</v>
      </c>
      <c r="C58" s="38"/>
      <c r="D58" s="39"/>
      <c r="E58" s="38"/>
      <c r="F58" s="38"/>
    </row>
    <row r="59" ht="39.75" customHeight="1">
      <c r="A59" s="31"/>
      <c r="B59" s="40">
        <v>57.0</v>
      </c>
      <c r="C59" s="38"/>
      <c r="D59" s="39"/>
      <c r="E59" s="38"/>
      <c r="F59" s="38"/>
    </row>
    <row r="60" ht="39.75" customHeight="1">
      <c r="A60" s="31"/>
      <c r="B60" s="40">
        <v>58.0</v>
      </c>
      <c r="C60" s="38"/>
      <c r="D60" s="39"/>
      <c r="E60" s="38"/>
      <c r="F60" s="38"/>
    </row>
    <row r="61" ht="39.75" customHeight="1">
      <c r="A61" s="31"/>
      <c r="B61" s="40">
        <v>59.0</v>
      </c>
      <c r="C61" s="38"/>
      <c r="D61" s="39"/>
      <c r="E61" s="38"/>
      <c r="F61" s="38"/>
    </row>
    <row r="62" ht="39.75" customHeight="1">
      <c r="A62" s="31"/>
      <c r="B62" s="40">
        <v>60.0</v>
      </c>
      <c r="C62" s="38"/>
      <c r="D62" s="39"/>
      <c r="E62" s="38"/>
      <c r="F62" s="38"/>
    </row>
    <row r="63" ht="39.75" customHeight="1">
      <c r="A63" s="31"/>
      <c r="B63" s="40">
        <v>61.0</v>
      </c>
      <c r="C63" s="38"/>
      <c r="D63" s="39"/>
      <c r="E63" s="38"/>
      <c r="F63" s="38"/>
    </row>
    <row r="64" ht="39.75" customHeight="1">
      <c r="A64" s="31"/>
      <c r="B64" s="40">
        <v>62.0</v>
      </c>
      <c r="C64" s="38"/>
      <c r="D64" s="39"/>
      <c r="E64" s="38"/>
      <c r="F64" s="38"/>
    </row>
    <row r="65" ht="39.75" customHeight="1">
      <c r="A65" s="31"/>
      <c r="B65" s="40">
        <v>63.0</v>
      </c>
      <c r="C65" s="38"/>
      <c r="D65" s="39"/>
      <c r="E65" s="38"/>
      <c r="F65" s="38"/>
    </row>
    <row r="66" ht="39.75" customHeight="1">
      <c r="A66" s="31"/>
      <c r="B66" s="40">
        <v>64.0</v>
      </c>
      <c r="C66" s="38"/>
      <c r="D66" s="39"/>
      <c r="E66" s="38"/>
      <c r="F66" s="38"/>
    </row>
    <row r="67" ht="39.75" customHeight="1">
      <c r="A67" s="31"/>
      <c r="B67" s="40">
        <v>65.0</v>
      </c>
      <c r="C67" s="38"/>
      <c r="D67" s="39"/>
      <c r="E67" s="38"/>
      <c r="F67" s="38"/>
    </row>
    <row r="68" ht="39.75" customHeight="1">
      <c r="A68" s="31"/>
      <c r="B68" s="40">
        <v>66.0</v>
      </c>
      <c r="C68" s="38"/>
      <c r="D68" s="39"/>
      <c r="E68" s="38"/>
      <c r="F68" s="38"/>
    </row>
    <row r="69" ht="39.75" customHeight="1">
      <c r="A69" s="31"/>
      <c r="B69" s="40">
        <v>67.0</v>
      </c>
      <c r="C69" s="38"/>
      <c r="D69" s="39"/>
      <c r="E69" s="38"/>
      <c r="F69" s="38"/>
    </row>
    <row r="70" ht="39.75" customHeight="1">
      <c r="A70" s="31"/>
      <c r="B70" s="40">
        <v>68.0</v>
      </c>
      <c r="C70" s="38"/>
      <c r="D70" s="39"/>
      <c r="E70" s="38"/>
      <c r="F70" s="38"/>
    </row>
    <row r="71" ht="39.75" customHeight="1">
      <c r="A71" s="31"/>
      <c r="B71" s="40">
        <v>69.0</v>
      </c>
      <c r="C71" s="38"/>
      <c r="D71" s="39"/>
      <c r="E71" s="38"/>
      <c r="F71" s="38"/>
    </row>
    <row r="72" ht="39.75" customHeight="1">
      <c r="A72" s="31"/>
      <c r="B72" s="40">
        <v>70.0</v>
      </c>
      <c r="C72" s="38"/>
      <c r="D72" s="39"/>
      <c r="E72" s="38"/>
      <c r="F72" s="38"/>
    </row>
    <row r="73" ht="39.75" customHeight="1">
      <c r="A73" s="31"/>
      <c r="B73" s="40">
        <v>71.0</v>
      </c>
      <c r="C73" s="38"/>
      <c r="D73" s="39"/>
      <c r="E73" s="38"/>
      <c r="F73" s="38"/>
    </row>
    <row r="74" ht="39.75" customHeight="1">
      <c r="A74" s="31"/>
      <c r="B74" s="40">
        <v>72.0</v>
      </c>
      <c r="C74" s="38"/>
      <c r="D74" s="39"/>
      <c r="E74" s="38"/>
      <c r="F74" s="38"/>
    </row>
    <row r="75" ht="39.75" customHeight="1">
      <c r="A75" s="31"/>
      <c r="B75" s="40">
        <v>73.0</v>
      </c>
      <c r="C75" s="38"/>
      <c r="D75" s="39"/>
      <c r="E75" s="38"/>
      <c r="F75" s="38"/>
    </row>
    <row r="76" ht="39.75" customHeight="1">
      <c r="A76" s="31"/>
      <c r="B76" s="40">
        <v>74.0</v>
      </c>
      <c r="C76" s="38"/>
      <c r="D76" s="39"/>
      <c r="E76" s="38"/>
      <c r="F76" s="38"/>
    </row>
    <row r="77" ht="39.75" customHeight="1">
      <c r="A77" s="31"/>
      <c r="B77" s="40">
        <v>75.0</v>
      </c>
      <c r="C77" s="38"/>
      <c r="D77" s="39"/>
      <c r="E77" s="38"/>
      <c r="F77" s="38"/>
    </row>
    <row r="78" ht="39.75" customHeight="1">
      <c r="A78" s="31"/>
      <c r="B78" s="40">
        <v>76.0</v>
      </c>
      <c r="C78" s="38"/>
      <c r="D78" s="39"/>
      <c r="E78" s="38"/>
      <c r="F78" s="38"/>
    </row>
    <row r="79" ht="39.75" customHeight="1">
      <c r="A79" s="31"/>
      <c r="B79" s="40">
        <v>77.0</v>
      </c>
      <c r="C79" s="38"/>
      <c r="D79" s="39"/>
      <c r="E79" s="38"/>
      <c r="F79" s="38"/>
    </row>
    <row r="80" ht="39.75" customHeight="1">
      <c r="A80" s="31"/>
      <c r="B80" s="40">
        <v>78.0</v>
      </c>
      <c r="C80" s="38"/>
      <c r="D80" s="39"/>
      <c r="E80" s="38"/>
      <c r="F80" s="38"/>
    </row>
    <row r="81" ht="39.75" customHeight="1">
      <c r="A81" s="31"/>
      <c r="B81" s="40">
        <v>79.0</v>
      </c>
      <c r="C81" s="38"/>
      <c r="D81" s="39"/>
      <c r="E81" s="38"/>
      <c r="F81" s="38"/>
    </row>
    <row r="82" ht="39.75" customHeight="1">
      <c r="A82" s="31"/>
      <c r="B82" s="40">
        <v>80.0</v>
      </c>
      <c r="C82" s="38"/>
      <c r="D82" s="39"/>
      <c r="E82" s="38"/>
      <c r="F82" s="38"/>
    </row>
    <row r="83" ht="39.75" customHeight="1">
      <c r="A83" s="31"/>
      <c r="B83" s="40">
        <v>81.0</v>
      </c>
      <c r="C83" s="38"/>
      <c r="D83" s="39"/>
      <c r="E83" s="38"/>
      <c r="F83" s="38"/>
    </row>
    <row r="84" ht="39.75" customHeight="1">
      <c r="A84" s="31"/>
      <c r="B84" s="40">
        <v>82.0</v>
      </c>
      <c r="C84" s="38"/>
      <c r="D84" s="39"/>
      <c r="E84" s="38"/>
      <c r="F84" s="38"/>
    </row>
    <row r="85" ht="39.75" customHeight="1">
      <c r="A85" s="31"/>
      <c r="B85" s="40">
        <v>83.0</v>
      </c>
      <c r="C85" s="38"/>
      <c r="D85" s="39"/>
      <c r="E85" s="38"/>
      <c r="F85" s="38"/>
    </row>
    <row r="86" ht="39.75" customHeight="1">
      <c r="A86" s="31"/>
      <c r="B86" s="40">
        <v>84.0</v>
      </c>
      <c r="C86" s="38"/>
      <c r="D86" s="39"/>
      <c r="E86" s="38"/>
      <c r="F86" s="38"/>
    </row>
    <row r="87" ht="39.75" customHeight="1">
      <c r="A87" s="31"/>
      <c r="B87" s="40">
        <v>85.0</v>
      </c>
      <c r="C87" s="38"/>
      <c r="D87" s="39"/>
      <c r="E87" s="38"/>
      <c r="F87" s="38"/>
    </row>
    <row r="88" ht="39.75" customHeight="1">
      <c r="A88" s="31"/>
      <c r="B88" s="40">
        <v>86.0</v>
      </c>
      <c r="C88" s="38"/>
      <c r="D88" s="39"/>
      <c r="E88" s="38"/>
      <c r="F88" s="38"/>
    </row>
    <row r="89" ht="39.75" customHeight="1">
      <c r="A89" s="31"/>
      <c r="B89" s="40">
        <v>87.0</v>
      </c>
      <c r="C89" s="38"/>
      <c r="D89" s="39"/>
      <c r="E89" s="38"/>
      <c r="F89" s="38"/>
    </row>
    <row r="90" ht="39.75" customHeight="1">
      <c r="A90" s="31"/>
      <c r="B90" s="40">
        <v>88.0</v>
      </c>
      <c r="C90" s="38"/>
      <c r="D90" s="39"/>
      <c r="E90" s="38"/>
      <c r="F90" s="38"/>
    </row>
    <row r="91" ht="39.75" customHeight="1">
      <c r="A91" s="31"/>
      <c r="B91" s="40">
        <v>89.0</v>
      </c>
      <c r="C91" s="38"/>
      <c r="D91" s="39"/>
      <c r="E91" s="38"/>
      <c r="F91" s="38"/>
    </row>
    <row r="92" ht="39.75" customHeight="1">
      <c r="A92" s="31"/>
      <c r="B92" s="40">
        <v>90.0</v>
      </c>
      <c r="C92" s="38"/>
      <c r="D92" s="39"/>
      <c r="E92" s="38"/>
      <c r="F92" s="38"/>
    </row>
    <row r="93" ht="39.75" customHeight="1">
      <c r="A93" s="31"/>
      <c r="B93" s="40">
        <v>91.0</v>
      </c>
      <c r="C93" s="38"/>
      <c r="D93" s="39"/>
      <c r="E93" s="38"/>
      <c r="F93" s="38"/>
    </row>
    <row r="94" ht="39.75" customHeight="1">
      <c r="A94" s="31"/>
      <c r="B94" s="40">
        <v>92.0</v>
      </c>
      <c r="C94" s="38"/>
      <c r="D94" s="39"/>
      <c r="E94" s="38"/>
      <c r="F94" s="38"/>
    </row>
    <row r="95" ht="39.75" customHeight="1">
      <c r="A95" s="31"/>
      <c r="B95" s="40">
        <v>93.0</v>
      </c>
      <c r="C95" s="38"/>
      <c r="D95" s="39"/>
      <c r="E95" s="38"/>
      <c r="F95" s="38"/>
    </row>
    <row r="96" ht="39.75" customHeight="1">
      <c r="A96" s="31"/>
      <c r="B96" s="40">
        <v>94.0</v>
      </c>
      <c r="C96" s="38"/>
      <c r="D96" s="39"/>
      <c r="E96" s="38"/>
      <c r="F96" s="38"/>
    </row>
    <row r="97" ht="39.75" customHeight="1">
      <c r="A97" s="31"/>
      <c r="B97" s="40">
        <v>95.0</v>
      </c>
      <c r="C97" s="38"/>
      <c r="D97" s="39"/>
      <c r="E97" s="38"/>
      <c r="F97" s="38"/>
    </row>
    <row r="98" ht="39.75" customHeight="1">
      <c r="A98" s="31"/>
      <c r="B98" s="40">
        <v>96.0</v>
      </c>
      <c r="C98" s="38"/>
      <c r="D98" s="39"/>
      <c r="E98" s="38"/>
      <c r="F98" s="38"/>
    </row>
    <row r="99" ht="39.75" customHeight="1">
      <c r="A99" s="31"/>
      <c r="B99" s="40">
        <v>97.0</v>
      </c>
      <c r="C99" s="38"/>
      <c r="D99" s="39"/>
      <c r="E99" s="38"/>
      <c r="F99" s="38"/>
    </row>
    <row r="100" ht="39.75" customHeight="1">
      <c r="A100" s="31"/>
      <c r="B100" s="40">
        <v>98.0</v>
      </c>
      <c r="C100" s="38"/>
      <c r="D100" s="39"/>
      <c r="E100" s="38"/>
      <c r="F100" s="38"/>
    </row>
    <row r="101" ht="39.75" customHeight="1">
      <c r="A101" s="31"/>
      <c r="B101" s="40">
        <v>99.0</v>
      </c>
      <c r="C101" s="38"/>
      <c r="D101" s="39"/>
      <c r="E101" s="38"/>
      <c r="F101" s="38"/>
    </row>
    <row r="102" ht="39.75" customHeight="1">
      <c r="A102" s="31"/>
      <c r="B102" s="40">
        <v>100.0</v>
      </c>
      <c r="C102" s="38"/>
      <c r="D102" s="39"/>
      <c r="E102" s="38"/>
      <c r="F102" s="38"/>
    </row>
    <row r="103" ht="39.75" customHeight="1">
      <c r="A103" s="31"/>
      <c r="B103" s="40">
        <v>101.0</v>
      </c>
      <c r="C103" s="38"/>
      <c r="D103" s="39"/>
      <c r="E103" s="38"/>
      <c r="F103" s="38"/>
    </row>
    <row r="104" ht="39.75" customHeight="1">
      <c r="A104" s="31"/>
      <c r="B104" s="40">
        <v>102.0</v>
      </c>
      <c r="C104" s="38"/>
      <c r="D104" s="39"/>
      <c r="E104" s="38"/>
      <c r="F104" s="38"/>
    </row>
    <row r="105" ht="39.75" customHeight="1">
      <c r="A105" s="31"/>
      <c r="B105" s="40">
        <v>103.0</v>
      </c>
      <c r="C105" s="38"/>
      <c r="D105" s="39"/>
      <c r="E105" s="38"/>
      <c r="F105" s="38"/>
    </row>
    <row r="106" ht="39.75" customHeight="1">
      <c r="A106" s="31"/>
      <c r="B106" s="40">
        <v>104.0</v>
      </c>
      <c r="C106" s="38"/>
      <c r="D106" s="39"/>
      <c r="E106" s="38"/>
      <c r="F106" s="38"/>
    </row>
    <row r="107" ht="39.75" customHeight="1">
      <c r="A107" s="31"/>
      <c r="B107" s="40">
        <v>105.0</v>
      </c>
      <c r="C107" s="38"/>
      <c r="D107" s="39"/>
      <c r="E107" s="38"/>
      <c r="F107" s="38"/>
    </row>
    <row r="108" ht="39.75" customHeight="1">
      <c r="A108" s="31"/>
      <c r="B108" s="40">
        <v>106.0</v>
      </c>
      <c r="C108" s="38"/>
      <c r="D108" s="39"/>
      <c r="E108" s="38"/>
      <c r="F108" s="38"/>
    </row>
    <row r="109" ht="39.75" customHeight="1">
      <c r="A109" s="31"/>
      <c r="B109" s="40">
        <v>107.0</v>
      </c>
      <c r="C109" s="38"/>
      <c r="D109" s="39"/>
      <c r="E109" s="38"/>
      <c r="F109" s="38"/>
    </row>
    <row r="110" ht="39.75" customHeight="1">
      <c r="A110" s="31"/>
      <c r="B110" s="40">
        <v>108.0</v>
      </c>
      <c r="C110" s="38"/>
      <c r="D110" s="39"/>
      <c r="E110" s="38"/>
      <c r="F110" s="38"/>
    </row>
    <row r="111" ht="39.75" customHeight="1">
      <c r="A111" s="31"/>
      <c r="B111" s="40">
        <v>109.0</v>
      </c>
      <c r="C111" s="38"/>
      <c r="D111" s="39"/>
      <c r="E111" s="38"/>
      <c r="F111" s="38"/>
    </row>
    <row r="112" ht="39.75" customHeight="1">
      <c r="A112" s="31"/>
      <c r="B112" s="40">
        <v>110.0</v>
      </c>
      <c r="C112" s="38"/>
      <c r="D112" s="39"/>
      <c r="E112" s="38"/>
      <c r="F112" s="38"/>
    </row>
    <row r="113" ht="39.75" customHeight="1">
      <c r="A113" s="31"/>
      <c r="B113" s="40">
        <v>111.0</v>
      </c>
      <c r="C113" s="38"/>
      <c r="D113" s="39"/>
      <c r="E113" s="38"/>
      <c r="F113" s="38"/>
    </row>
    <row r="114" ht="39.75" customHeight="1">
      <c r="A114" s="31"/>
      <c r="B114" s="40">
        <v>112.0</v>
      </c>
      <c r="C114" s="38"/>
      <c r="D114" s="39"/>
      <c r="E114" s="38"/>
      <c r="F114" s="38"/>
    </row>
    <row r="115" ht="39.75" customHeight="1">
      <c r="A115" s="31"/>
      <c r="B115" s="40">
        <v>113.0</v>
      </c>
      <c r="C115" s="38"/>
      <c r="D115" s="39"/>
      <c r="E115" s="38"/>
      <c r="F115" s="38"/>
    </row>
    <row r="116" ht="39.75" customHeight="1">
      <c r="A116" s="31"/>
      <c r="B116" s="40">
        <v>114.0</v>
      </c>
      <c r="C116" s="38"/>
      <c r="D116" s="39"/>
      <c r="E116" s="38"/>
      <c r="F116" s="38"/>
    </row>
    <row r="117" ht="39.75" customHeight="1">
      <c r="A117" s="31"/>
      <c r="B117" s="40">
        <v>115.0</v>
      </c>
      <c r="C117" s="38"/>
      <c r="D117" s="39"/>
      <c r="E117" s="38"/>
      <c r="F117" s="38"/>
    </row>
    <row r="118" ht="39.75" customHeight="1">
      <c r="A118" s="31"/>
      <c r="B118" s="40">
        <v>116.0</v>
      </c>
      <c r="C118" s="38"/>
      <c r="D118" s="39"/>
      <c r="E118" s="38"/>
      <c r="F118" s="38"/>
    </row>
    <row r="119" ht="39.75" customHeight="1">
      <c r="A119" s="31"/>
      <c r="B119" s="40">
        <v>117.0</v>
      </c>
      <c r="C119" s="38"/>
      <c r="D119" s="39"/>
      <c r="E119" s="38"/>
      <c r="F119" s="38"/>
    </row>
    <row r="120" ht="39.75" customHeight="1">
      <c r="A120" s="31"/>
      <c r="B120" s="40">
        <v>118.0</v>
      </c>
      <c r="C120" s="38"/>
      <c r="D120" s="39"/>
      <c r="E120" s="38"/>
      <c r="F120" s="38"/>
    </row>
    <row r="121" ht="39.75" customHeight="1">
      <c r="A121" s="31"/>
      <c r="B121" s="40">
        <v>119.0</v>
      </c>
      <c r="C121" s="38"/>
      <c r="D121" s="39"/>
      <c r="E121" s="38"/>
      <c r="F121" s="38"/>
    </row>
    <row r="122" ht="39.75" customHeight="1">
      <c r="A122" s="31"/>
      <c r="B122" s="40">
        <v>120.0</v>
      </c>
      <c r="C122" s="38"/>
      <c r="D122" s="39"/>
      <c r="E122" s="38"/>
      <c r="F122" s="38"/>
    </row>
    <row r="123" ht="39.75" customHeight="1">
      <c r="A123" s="31"/>
      <c r="B123" s="40">
        <v>121.0</v>
      </c>
      <c r="C123" s="38"/>
      <c r="D123" s="39"/>
      <c r="E123" s="38"/>
      <c r="F123" s="38"/>
    </row>
    <row r="124" ht="39.75" customHeight="1">
      <c r="A124" s="31"/>
      <c r="B124" s="40">
        <v>122.0</v>
      </c>
      <c r="C124" s="38"/>
      <c r="D124" s="39"/>
      <c r="E124" s="38"/>
      <c r="F124" s="38"/>
    </row>
    <row r="125" ht="39.75" customHeight="1">
      <c r="A125" s="31"/>
      <c r="B125" s="40">
        <v>123.0</v>
      </c>
      <c r="C125" s="38"/>
      <c r="D125" s="39"/>
      <c r="E125" s="38"/>
      <c r="F125" s="38"/>
    </row>
    <row r="126" ht="39.75" customHeight="1">
      <c r="A126" s="31"/>
      <c r="B126" s="40">
        <v>124.0</v>
      </c>
      <c r="C126" s="38"/>
      <c r="D126" s="39"/>
      <c r="E126" s="38"/>
      <c r="F126" s="38"/>
    </row>
    <row r="127" ht="39.75" customHeight="1">
      <c r="A127" s="31"/>
      <c r="B127" s="40">
        <v>125.0</v>
      </c>
      <c r="C127" s="38"/>
      <c r="D127" s="39"/>
      <c r="E127" s="38"/>
      <c r="F127" s="38"/>
    </row>
    <row r="128" ht="39.75" customHeight="1">
      <c r="A128" s="31"/>
      <c r="B128" s="40">
        <v>126.0</v>
      </c>
      <c r="C128" s="38"/>
      <c r="D128" s="39"/>
      <c r="E128" s="38"/>
      <c r="F128" s="38"/>
    </row>
    <row r="129" ht="39.75" customHeight="1">
      <c r="A129" s="31"/>
      <c r="B129" s="40">
        <v>127.0</v>
      </c>
      <c r="C129" s="38"/>
      <c r="D129" s="39"/>
      <c r="E129" s="38"/>
      <c r="F129" s="38"/>
    </row>
    <row r="130" ht="39.75" customHeight="1">
      <c r="A130" s="31"/>
      <c r="B130" s="40">
        <v>128.0</v>
      </c>
      <c r="C130" s="38"/>
      <c r="D130" s="39"/>
      <c r="E130" s="38"/>
      <c r="F130" s="38"/>
    </row>
    <row r="131" ht="39.75" customHeight="1">
      <c r="A131" s="31"/>
      <c r="B131" s="40">
        <v>129.0</v>
      </c>
      <c r="C131" s="38"/>
      <c r="D131" s="39"/>
      <c r="E131" s="38"/>
      <c r="F131" s="38"/>
    </row>
    <row r="132" ht="39.75" customHeight="1">
      <c r="A132" s="31"/>
      <c r="B132" s="40">
        <v>130.0</v>
      </c>
      <c r="C132" s="38"/>
      <c r="D132" s="39"/>
      <c r="E132" s="38"/>
      <c r="F132" s="38"/>
    </row>
    <row r="133" ht="39.75" customHeight="1">
      <c r="A133" s="31"/>
      <c r="B133" s="40">
        <v>131.0</v>
      </c>
      <c r="C133" s="38"/>
      <c r="D133" s="39"/>
      <c r="E133" s="38"/>
      <c r="F133" s="38"/>
    </row>
    <row r="134" ht="39.75" customHeight="1">
      <c r="A134" s="31"/>
      <c r="B134" s="40">
        <v>132.0</v>
      </c>
      <c r="C134" s="38"/>
      <c r="D134" s="39"/>
      <c r="E134" s="38"/>
      <c r="F134" s="38"/>
    </row>
    <row r="135" ht="39.75" customHeight="1">
      <c r="A135" s="31"/>
      <c r="B135" s="40">
        <v>133.0</v>
      </c>
      <c r="C135" s="38"/>
      <c r="D135" s="39"/>
      <c r="E135" s="38"/>
      <c r="F135" s="38"/>
    </row>
    <row r="136" ht="39.75" customHeight="1">
      <c r="A136" s="31"/>
      <c r="B136" s="40">
        <v>134.0</v>
      </c>
      <c r="C136" s="38"/>
      <c r="D136" s="39"/>
      <c r="E136" s="38"/>
      <c r="F136" s="38"/>
    </row>
    <row r="137" ht="39.75" customHeight="1">
      <c r="A137" s="31"/>
      <c r="B137" s="40">
        <v>135.0</v>
      </c>
      <c r="C137" s="38"/>
      <c r="D137" s="39"/>
      <c r="E137" s="38"/>
      <c r="F137" s="38"/>
    </row>
    <row r="138" ht="39.75" customHeight="1">
      <c r="A138" s="31"/>
      <c r="B138" s="40">
        <v>136.0</v>
      </c>
      <c r="C138" s="38"/>
      <c r="D138" s="39"/>
      <c r="E138" s="38"/>
      <c r="F138" s="38"/>
    </row>
    <row r="139" ht="39.75" customHeight="1">
      <c r="A139" s="31"/>
      <c r="B139" s="40">
        <v>137.0</v>
      </c>
      <c r="C139" s="38"/>
      <c r="D139" s="39"/>
      <c r="E139" s="38"/>
      <c r="F139" s="38"/>
    </row>
    <row r="140" ht="39.75" customHeight="1">
      <c r="A140" s="31"/>
      <c r="B140" s="40">
        <v>138.0</v>
      </c>
      <c r="C140" s="38"/>
      <c r="D140" s="39"/>
      <c r="E140" s="38"/>
      <c r="F140" s="38"/>
    </row>
    <row r="141" ht="39.75" customHeight="1">
      <c r="A141" s="31"/>
      <c r="B141" s="40">
        <v>139.0</v>
      </c>
      <c r="C141" s="38"/>
      <c r="D141" s="39"/>
      <c r="E141" s="38"/>
      <c r="F141" s="38"/>
    </row>
    <row r="142" ht="39.75" customHeight="1">
      <c r="A142" s="31"/>
      <c r="B142" s="40">
        <v>140.0</v>
      </c>
      <c r="C142" s="38"/>
      <c r="D142" s="39"/>
      <c r="E142" s="38"/>
      <c r="F142" s="38"/>
    </row>
    <row r="143" ht="39.75" customHeight="1">
      <c r="A143" s="31"/>
      <c r="B143" s="40">
        <v>141.0</v>
      </c>
      <c r="C143" s="38"/>
      <c r="D143" s="39"/>
      <c r="E143" s="38"/>
      <c r="F143" s="38"/>
    </row>
    <row r="144" ht="39.75" customHeight="1">
      <c r="A144" s="31"/>
      <c r="B144" s="40">
        <v>142.0</v>
      </c>
      <c r="C144" s="38"/>
      <c r="D144" s="39"/>
      <c r="E144" s="38"/>
      <c r="F144" s="38"/>
    </row>
    <row r="145" ht="39.75" customHeight="1">
      <c r="A145" s="31"/>
      <c r="B145" s="40">
        <v>143.0</v>
      </c>
      <c r="C145" s="38"/>
      <c r="D145" s="39"/>
      <c r="E145" s="38"/>
      <c r="F145" s="38"/>
    </row>
    <row r="146" ht="39.75" customHeight="1">
      <c r="A146" s="31"/>
      <c r="B146" s="40">
        <v>144.0</v>
      </c>
      <c r="C146" s="38"/>
      <c r="D146" s="39"/>
      <c r="E146" s="38"/>
      <c r="F146" s="38"/>
    </row>
    <row r="147" ht="39.75" customHeight="1">
      <c r="A147" s="31"/>
      <c r="B147" s="40">
        <v>145.0</v>
      </c>
      <c r="C147" s="38"/>
      <c r="D147" s="39"/>
      <c r="E147" s="38"/>
      <c r="F147" s="38"/>
    </row>
    <row r="148" ht="39.75" customHeight="1">
      <c r="A148" s="31"/>
      <c r="B148" s="40">
        <v>146.0</v>
      </c>
      <c r="C148" s="38"/>
      <c r="D148" s="39"/>
      <c r="E148" s="38"/>
      <c r="F148" s="38"/>
    </row>
    <row r="149" ht="39.75" customHeight="1">
      <c r="A149" s="31"/>
      <c r="B149" s="40">
        <v>147.0</v>
      </c>
      <c r="C149" s="38"/>
      <c r="D149" s="39"/>
      <c r="E149" s="38"/>
      <c r="F149" s="38"/>
    </row>
    <row r="150" ht="39.75" customHeight="1">
      <c r="A150" s="31"/>
      <c r="B150" s="40">
        <v>148.0</v>
      </c>
      <c r="C150" s="38"/>
      <c r="D150" s="39"/>
      <c r="E150" s="38"/>
      <c r="F150" s="38"/>
    </row>
    <row r="151" ht="39.75" customHeight="1">
      <c r="A151" s="31"/>
      <c r="B151" s="40">
        <v>149.0</v>
      </c>
      <c r="C151" s="38"/>
      <c r="D151" s="39"/>
      <c r="E151" s="38"/>
      <c r="F151" s="38"/>
    </row>
    <row r="152" ht="39.75" customHeight="1">
      <c r="A152" s="31"/>
      <c r="B152" s="40">
        <v>150.0</v>
      </c>
      <c r="C152" s="38"/>
      <c r="D152" s="39"/>
      <c r="E152" s="38"/>
      <c r="F152" s="38"/>
    </row>
    <row r="153" ht="39.75" customHeight="1">
      <c r="A153" s="31"/>
      <c r="B153" s="40">
        <v>151.0</v>
      </c>
      <c r="C153" s="38"/>
      <c r="D153" s="39"/>
      <c r="E153" s="38"/>
      <c r="F153" s="38"/>
    </row>
    <row r="154" ht="39.75" customHeight="1">
      <c r="A154" s="31"/>
      <c r="B154" s="40">
        <v>152.0</v>
      </c>
      <c r="C154" s="38"/>
      <c r="D154" s="39"/>
      <c r="E154" s="38"/>
      <c r="F154" s="38"/>
    </row>
    <row r="155" ht="39.75" customHeight="1">
      <c r="A155" s="31"/>
      <c r="B155" s="40">
        <v>153.0</v>
      </c>
      <c r="C155" s="38"/>
      <c r="D155" s="39"/>
      <c r="E155" s="38"/>
      <c r="F155" s="38"/>
    </row>
    <row r="156" ht="39.75" customHeight="1">
      <c r="A156" s="31"/>
      <c r="B156" s="40">
        <v>154.0</v>
      </c>
      <c r="C156" s="38"/>
      <c r="D156" s="39"/>
      <c r="E156" s="38"/>
      <c r="F156" s="38"/>
    </row>
    <row r="157" ht="39.75" customHeight="1">
      <c r="A157" s="31"/>
      <c r="B157" s="40">
        <v>155.0</v>
      </c>
      <c r="C157" s="38"/>
      <c r="D157" s="39"/>
      <c r="E157" s="38"/>
      <c r="F157" s="38"/>
    </row>
    <row r="158" ht="39.75" customHeight="1">
      <c r="A158" s="31"/>
      <c r="B158" s="40">
        <v>156.0</v>
      </c>
      <c r="C158" s="38"/>
      <c r="D158" s="39"/>
      <c r="E158" s="38"/>
      <c r="F158" s="38"/>
    </row>
    <row r="159" ht="39.75" customHeight="1">
      <c r="A159" s="31"/>
      <c r="B159" s="40">
        <v>157.0</v>
      </c>
      <c r="C159" s="38"/>
      <c r="D159" s="39"/>
      <c r="E159" s="38"/>
      <c r="F159" s="38"/>
    </row>
    <row r="160" ht="39.75" customHeight="1">
      <c r="A160" s="31"/>
      <c r="B160" s="40">
        <v>158.0</v>
      </c>
      <c r="C160" s="38"/>
      <c r="D160" s="39"/>
      <c r="E160" s="38"/>
      <c r="F160" s="38"/>
    </row>
    <row r="161" ht="39.75" customHeight="1">
      <c r="A161" s="31"/>
      <c r="B161" s="40">
        <v>159.0</v>
      </c>
      <c r="C161" s="38"/>
      <c r="D161" s="39"/>
      <c r="E161" s="38"/>
      <c r="F161" s="38"/>
    </row>
    <row r="162" ht="39.75" customHeight="1">
      <c r="A162" s="31"/>
      <c r="B162" s="40">
        <v>160.0</v>
      </c>
      <c r="C162" s="38"/>
      <c r="D162" s="39"/>
      <c r="E162" s="38"/>
      <c r="F162" s="38"/>
    </row>
    <row r="163" ht="39.75" customHeight="1">
      <c r="A163" s="31"/>
      <c r="B163" s="40">
        <v>161.0</v>
      </c>
      <c r="C163" s="38"/>
      <c r="D163" s="39"/>
      <c r="E163" s="38"/>
      <c r="F163" s="38"/>
    </row>
    <row r="164" ht="39.75" customHeight="1">
      <c r="A164" s="31"/>
      <c r="B164" s="40">
        <v>162.0</v>
      </c>
      <c r="C164" s="38"/>
      <c r="D164" s="39"/>
      <c r="E164" s="38"/>
      <c r="F164" s="38"/>
    </row>
    <row r="165" ht="39.75" customHeight="1">
      <c r="A165" s="31"/>
      <c r="B165" s="40">
        <v>163.0</v>
      </c>
      <c r="C165" s="38"/>
      <c r="D165" s="39"/>
      <c r="E165" s="38"/>
      <c r="F165" s="38"/>
    </row>
    <row r="166" ht="39.75" customHeight="1">
      <c r="A166" s="31"/>
      <c r="B166" s="40">
        <v>164.0</v>
      </c>
      <c r="C166" s="38"/>
      <c r="D166" s="39"/>
      <c r="E166" s="38"/>
      <c r="F166" s="38"/>
    </row>
    <row r="167" ht="39.75" customHeight="1">
      <c r="A167" s="31"/>
      <c r="B167" s="40">
        <v>165.0</v>
      </c>
      <c r="C167" s="38"/>
      <c r="D167" s="39"/>
      <c r="E167" s="38"/>
      <c r="F167" s="38"/>
    </row>
    <row r="168" ht="39.75" customHeight="1">
      <c r="A168" s="31"/>
      <c r="B168" s="40">
        <v>166.0</v>
      </c>
      <c r="C168" s="38"/>
      <c r="D168" s="39"/>
      <c r="E168" s="38"/>
      <c r="F168" s="38"/>
    </row>
    <row r="169" ht="39.75" customHeight="1">
      <c r="A169" s="31"/>
      <c r="B169" s="40">
        <v>167.0</v>
      </c>
      <c r="C169" s="38"/>
      <c r="D169" s="39"/>
      <c r="E169" s="38"/>
      <c r="F169" s="38"/>
    </row>
    <row r="170" ht="39.75" customHeight="1">
      <c r="A170" s="31"/>
      <c r="B170" s="40">
        <v>168.0</v>
      </c>
      <c r="C170" s="38"/>
      <c r="D170" s="39"/>
      <c r="E170" s="38"/>
      <c r="F170" s="38"/>
    </row>
    <row r="171" ht="39.75" customHeight="1">
      <c r="A171" s="31"/>
      <c r="B171" s="40">
        <v>169.0</v>
      </c>
      <c r="C171" s="38"/>
      <c r="D171" s="39"/>
      <c r="E171" s="38"/>
      <c r="F171" s="38"/>
    </row>
    <row r="172" ht="39.75" customHeight="1">
      <c r="A172" s="31"/>
      <c r="B172" s="40">
        <v>170.0</v>
      </c>
      <c r="C172" s="38"/>
      <c r="D172" s="39"/>
      <c r="E172" s="38"/>
      <c r="F172" s="38"/>
    </row>
    <row r="173" ht="39.75" customHeight="1">
      <c r="A173" s="31"/>
      <c r="B173" s="40">
        <v>171.0</v>
      </c>
      <c r="C173" s="38"/>
      <c r="D173" s="39"/>
      <c r="E173" s="38"/>
      <c r="F173" s="38"/>
    </row>
    <row r="174" ht="39.75" customHeight="1">
      <c r="A174" s="31"/>
      <c r="B174" s="40">
        <v>172.0</v>
      </c>
      <c r="C174" s="38"/>
      <c r="D174" s="39"/>
      <c r="E174" s="38"/>
      <c r="F174" s="38"/>
    </row>
    <row r="175" ht="39.75" customHeight="1">
      <c r="A175" s="31"/>
      <c r="B175" s="40">
        <v>173.0</v>
      </c>
      <c r="C175" s="38"/>
      <c r="D175" s="39"/>
      <c r="E175" s="38"/>
      <c r="F175" s="38"/>
    </row>
    <row r="176" ht="39.75" customHeight="1">
      <c r="A176" s="31"/>
      <c r="B176" s="40">
        <v>174.0</v>
      </c>
      <c r="C176" s="38"/>
      <c r="D176" s="39"/>
      <c r="E176" s="38"/>
      <c r="F176" s="38"/>
    </row>
    <row r="177" ht="39.75" customHeight="1">
      <c r="A177" s="31"/>
      <c r="B177" s="40">
        <v>175.0</v>
      </c>
      <c r="C177" s="38"/>
      <c r="D177" s="39"/>
      <c r="E177" s="38"/>
      <c r="F177" s="38"/>
    </row>
    <row r="178" ht="39.75" customHeight="1">
      <c r="A178" s="31"/>
      <c r="B178" s="40">
        <v>176.0</v>
      </c>
      <c r="C178" s="38"/>
      <c r="D178" s="39"/>
      <c r="E178" s="38"/>
      <c r="F178" s="38"/>
    </row>
    <row r="179" ht="39.75" customHeight="1">
      <c r="A179" s="31"/>
      <c r="B179" s="40">
        <v>177.0</v>
      </c>
      <c r="C179" s="38"/>
      <c r="D179" s="39"/>
      <c r="E179" s="38"/>
      <c r="F179" s="38"/>
    </row>
    <row r="180" ht="39.75" customHeight="1">
      <c r="A180" s="31"/>
      <c r="B180" s="40">
        <v>178.0</v>
      </c>
      <c r="C180" s="38"/>
      <c r="D180" s="39"/>
      <c r="E180" s="38"/>
      <c r="F180" s="38"/>
    </row>
    <row r="181" ht="39.75" customHeight="1">
      <c r="A181" s="31"/>
      <c r="B181" s="40">
        <v>179.0</v>
      </c>
      <c r="C181" s="38"/>
      <c r="D181" s="39"/>
      <c r="E181" s="38"/>
      <c r="F181" s="38"/>
    </row>
    <row r="182" ht="39.75" customHeight="1">
      <c r="A182" s="31"/>
      <c r="B182" s="40">
        <v>180.0</v>
      </c>
      <c r="C182" s="38"/>
      <c r="D182" s="39"/>
      <c r="E182" s="38"/>
      <c r="F182" s="38"/>
    </row>
    <row r="183" ht="39.75" customHeight="1">
      <c r="A183" s="31"/>
      <c r="B183" s="40">
        <v>181.0</v>
      </c>
      <c r="C183" s="38"/>
      <c r="D183" s="39"/>
      <c r="E183" s="38"/>
      <c r="F183" s="38"/>
    </row>
    <row r="184" ht="39.75" customHeight="1">
      <c r="A184" s="31"/>
      <c r="B184" s="40">
        <v>182.0</v>
      </c>
      <c r="C184" s="38"/>
      <c r="D184" s="39"/>
      <c r="E184" s="38"/>
      <c r="F184" s="38"/>
    </row>
    <row r="185" ht="39.75" customHeight="1">
      <c r="A185" s="31"/>
      <c r="B185" s="40">
        <v>183.0</v>
      </c>
      <c r="C185" s="38"/>
      <c r="D185" s="39"/>
      <c r="E185" s="38"/>
      <c r="F185" s="38"/>
    </row>
    <row r="186" ht="39.75" customHeight="1">
      <c r="A186" s="31"/>
      <c r="B186" s="40">
        <v>184.0</v>
      </c>
      <c r="C186" s="38"/>
      <c r="D186" s="39"/>
      <c r="E186" s="38"/>
      <c r="F186" s="38"/>
    </row>
    <row r="187" ht="39.75" customHeight="1">
      <c r="A187" s="31"/>
      <c r="B187" s="40">
        <v>185.0</v>
      </c>
      <c r="C187" s="38"/>
      <c r="D187" s="39"/>
      <c r="E187" s="38"/>
      <c r="F187" s="38"/>
    </row>
    <row r="188" ht="39.75" customHeight="1">
      <c r="A188" s="31"/>
      <c r="B188" s="40">
        <v>186.0</v>
      </c>
      <c r="C188" s="38"/>
      <c r="D188" s="39"/>
      <c r="E188" s="38"/>
      <c r="F188" s="38"/>
    </row>
    <row r="189" ht="39.75" customHeight="1">
      <c r="A189" s="31"/>
      <c r="B189" s="40">
        <v>187.0</v>
      </c>
      <c r="C189" s="38"/>
      <c r="D189" s="39"/>
      <c r="E189" s="38"/>
      <c r="F189" s="38"/>
    </row>
    <row r="190" ht="39.75" customHeight="1">
      <c r="A190" s="31"/>
      <c r="B190" s="40">
        <v>188.0</v>
      </c>
      <c r="C190" s="38"/>
      <c r="D190" s="39"/>
      <c r="E190" s="38"/>
      <c r="F190" s="38"/>
    </row>
    <row r="191" ht="39.75" customHeight="1">
      <c r="A191" s="31"/>
      <c r="B191" s="40">
        <v>189.0</v>
      </c>
      <c r="C191" s="38"/>
      <c r="D191" s="39"/>
      <c r="E191" s="38"/>
      <c r="F191" s="38"/>
    </row>
    <row r="192" ht="39.75" customHeight="1">
      <c r="A192" s="31"/>
      <c r="B192" s="40">
        <v>190.0</v>
      </c>
      <c r="C192" s="38"/>
      <c r="D192" s="39"/>
      <c r="E192" s="38"/>
      <c r="F192" s="38"/>
    </row>
    <row r="193" ht="39.75" customHeight="1">
      <c r="A193" s="31"/>
      <c r="B193" s="40">
        <v>191.0</v>
      </c>
      <c r="C193" s="38"/>
      <c r="D193" s="39"/>
      <c r="E193" s="38"/>
      <c r="F193" s="38"/>
    </row>
    <row r="194" ht="39.75" customHeight="1">
      <c r="A194" s="31"/>
      <c r="B194" s="40">
        <v>192.0</v>
      </c>
      <c r="C194" s="38"/>
      <c r="D194" s="39"/>
      <c r="E194" s="38"/>
      <c r="F194" s="38"/>
    </row>
    <row r="195" ht="39.75" customHeight="1">
      <c r="A195" s="31"/>
      <c r="B195" s="40">
        <v>193.0</v>
      </c>
      <c r="C195" s="38"/>
      <c r="D195" s="39"/>
      <c r="E195" s="38"/>
      <c r="F195" s="38"/>
    </row>
    <row r="196" ht="39.75" customHeight="1">
      <c r="A196" s="31"/>
      <c r="B196" s="40">
        <v>194.0</v>
      </c>
      <c r="C196" s="38"/>
      <c r="D196" s="39"/>
      <c r="E196" s="38"/>
      <c r="F196" s="38"/>
    </row>
    <row r="197" ht="39.75" customHeight="1">
      <c r="A197" s="31"/>
      <c r="B197" s="40">
        <v>195.0</v>
      </c>
      <c r="C197" s="38"/>
      <c r="D197" s="39"/>
      <c r="E197" s="38"/>
      <c r="F197" s="38"/>
    </row>
    <row r="198" ht="39.75" customHeight="1">
      <c r="A198" s="31"/>
      <c r="B198" s="40">
        <v>196.0</v>
      </c>
      <c r="C198" s="38"/>
      <c r="D198" s="39"/>
      <c r="E198" s="38"/>
      <c r="F198" s="38"/>
    </row>
    <row r="199" ht="39.75" customHeight="1">
      <c r="A199" s="31"/>
      <c r="B199" s="40">
        <v>197.0</v>
      </c>
      <c r="C199" s="38"/>
      <c r="D199" s="39"/>
      <c r="E199" s="38"/>
      <c r="F199" s="38"/>
    </row>
    <row r="200" ht="39.75" customHeight="1">
      <c r="A200" s="31"/>
      <c r="B200" s="40">
        <v>198.0</v>
      </c>
      <c r="C200" s="38"/>
      <c r="D200" s="39"/>
      <c r="E200" s="38"/>
      <c r="F200" s="38"/>
    </row>
    <row r="201" ht="39.75" customHeight="1">
      <c r="A201" s="31"/>
      <c r="B201" s="40">
        <v>199.0</v>
      </c>
      <c r="C201" s="38"/>
      <c r="D201" s="39"/>
      <c r="E201" s="38"/>
      <c r="F201" s="38"/>
    </row>
    <row r="202" ht="39.75" customHeight="1">
      <c r="A202" s="31"/>
      <c r="B202" s="40">
        <v>200.0</v>
      </c>
      <c r="C202" s="38"/>
      <c r="D202" s="39"/>
      <c r="E202" s="38"/>
      <c r="F202" s="38"/>
    </row>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C1:F1"/>
  </mergeCells>
  <printOptions/>
  <pageMargins bottom="0.75" footer="0.0" header="0.0" left="0.7" right="0.7" top="0.75"/>
  <pageSetup orientation="landscape"/>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outlineLevelCol="1"/>
  <cols>
    <col customWidth="1" min="1" max="1" width="15.57"/>
    <col customWidth="1" min="2" max="2" width="32.29"/>
    <col customWidth="1" min="3" max="5" width="6.57"/>
    <col customWidth="1" hidden="1" min="6" max="7" width="6.57" outlineLevel="1"/>
    <col customWidth="1" min="8" max="8" width="7.71"/>
    <col customWidth="1" min="9" max="12" width="10.43"/>
    <col customWidth="1" min="13" max="14" width="15.43"/>
    <col customWidth="1" min="15" max="17" width="6.57"/>
    <col customWidth="1" min="18" max="18" width="26.29"/>
    <col customWidth="1" min="19" max="20" width="8.43"/>
    <col customWidth="1" hidden="1" min="21" max="25" width="8.43" outlineLevel="1"/>
    <col customWidth="1" min="26" max="26" width="80.29"/>
  </cols>
  <sheetData>
    <row r="1" ht="39.0" customHeight="1">
      <c r="A1" s="50" t="s">
        <v>39</v>
      </c>
      <c r="C1" s="50" t="s">
        <v>40</v>
      </c>
      <c r="J1" s="50" t="s">
        <v>41</v>
      </c>
      <c r="M1" s="50" t="s">
        <v>42</v>
      </c>
      <c r="R1" s="50" t="s">
        <v>43</v>
      </c>
      <c r="U1" s="50" t="s">
        <v>44</v>
      </c>
      <c r="Z1" s="50" t="s">
        <v>45</v>
      </c>
    </row>
    <row r="2" ht="117.75" customHeight="1">
      <c r="A2" s="51" t="s">
        <v>24</v>
      </c>
      <c r="B2" s="51" t="s">
        <v>25</v>
      </c>
      <c r="C2" s="52" t="s">
        <v>46</v>
      </c>
      <c r="D2" s="52" t="s">
        <v>47</v>
      </c>
      <c r="E2" s="52" t="s">
        <v>48</v>
      </c>
      <c r="F2" s="52" t="s">
        <v>49</v>
      </c>
      <c r="G2" s="52" t="s">
        <v>50</v>
      </c>
      <c r="H2" s="52" t="s">
        <v>51</v>
      </c>
      <c r="I2" s="53" t="s">
        <v>52</v>
      </c>
      <c r="J2" s="54" t="s">
        <v>53</v>
      </c>
      <c r="K2" s="55" t="s">
        <v>54</v>
      </c>
      <c r="L2" s="56" t="s">
        <v>55</v>
      </c>
      <c r="M2" s="57" t="s">
        <v>56</v>
      </c>
      <c r="N2" s="58" t="s">
        <v>57</v>
      </c>
      <c r="O2" s="59" t="s">
        <v>36</v>
      </c>
      <c r="P2" s="59" t="s">
        <v>37</v>
      </c>
      <c r="Q2" s="59" t="s">
        <v>38</v>
      </c>
      <c r="R2" s="60" t="s">
        <v>58</v>
      </c>
      <c r="S2" s="60" t="s">
        <v>59</v>
      </c>
      <c r="T2" s="60" t="s">
        <v>60</v>
      </c>
      <c r="U2" s="61" t="s">
        <v>61</v>
      </c>
      <c r="V2" s="62" t="s">
        <v>62</v>
      </c>
      <c r="W2" s="63" t="s">
        <v>63</v>
      </c>
      <c r="X2" s="64" t="s">
        <v>64</v>
      </c>
      <c r="Y2" s="65" t="s">
        <v>65</v>
      </c>
      <c r="Z2" s="66" t="s">
        <v>45</v>
      </c>
    </row>
    <row r="3" ht="21.0" customHeight="1">
      <c r="A3" s="67" t="str">
        <f t="array" ref="A3">XLOOKUP(1,'Team and Program Information'!$B$3:$B$202,'Team and Program Information'!$C$3:$C$202,"ERROR",0)</f>
        <v/>
      </c>
      <c r="B3" s="68" t="str">
        <f t="array" ref="B3">XLOOKUP('Results and Rankings'!$A3,'Team and Program Information'!$C$3:$C$202,'Team and Program Information'!$D$3:$D$202,"",0,)</f>
        <v>#VALUE!</v>
      </c>
      <c r="C3" s="69" t="str">
        <f t="array" ref="C3">IF('Results and Rankings'!$A3="","",XLOOKUP('Results and Rankings'!$A3,'Robot Game Scores'!$B$2:$B$201,'Robot Game Scores'!$D$2:$D$201,0,0,))</f>
        <v/>
      </c>
      <c r="D3" s="69" t="str">
        <f t="array" ref="D3">IF('Results and Rankings'!$A3="","",XLOOKUP('Results and Rankings'!$A3,'Robot Game Scores'!$B$2:$B$201,'Robot Game Scores'!$E$2:$E$201,0,0,))</f>
        <v/>
      </c>
      <c r="E3" s="69" t="str">
        <f t="array" ref="E3">IF('Results and Rankings'!$A3="","",XLOOKUP('Results and Rankings'!$A3,'Robot Game Scores'!$B$2:$B$201,'Robot Game Scores'!$F$2:$F$201,0,0,))</f>
        <v/>
      </c>
      <c r="F3" s="69" t="str">
        <f t="array" ref="F3">IF('Results and Rankings'!$A3="","",XLOOKUP('Results and Rankings'!$A3,'Robot Game Scores'!$B$2:$B$201,'Robot Game Scores'!$G$2:$G$201,0,0,))</f>
        <v/>
      </c>
      <c r="G3" s="69" t="str">
        <f t="array" ref="G3">IF('Results and Rankings'!$A3="","",XLOOKUP('Results and Rankings'!$A3,'Robot Game Scores'!$B$2:$B$201,'Robot Game Scores'!$H$2:$H$201,0,0,))</f>
        <v/>
      </c>
      <c r="H3" s="69" t="str">
        <f>IF('Results and Rankings'!$A3="","",IF(ISNA(LARGE('Results and Rankings'!$C3:$G3,1)+0.0001*LARGE('Results and Rankings'!$C3:$G3,2)+0.0000001*LARGE('Results and Rankings'!$C3:$G3,3)+1E-11*LARGE('Results and Rankings'!$C3:$G3,4)+1E-14*LARGE('Results and Rankings'!$C3:$G3,5)),0,LARGE('Results and Rankings'!$C3:$G3,1)+0.0001*LARGE('Results and Rankings'!$C3:$G3,2)+0.0000001*LARGE('Results and Rankings'!$C3:$G3,3)+1E-11*LARGE('Results and Rankings'!$C3:$G3,4)+1E-14*LARGE('Results and Rankings'!$C3:$G3,5)))</f>
        <v/>
      </c>
      <c r="I3" s="69" t="str">
        <f>IF('Results and Rankings'!$A3="","",_xlfn.RANK.EQ('Results and Rankings'!$H3,'Results and Rankings'!$H$3:$H$202))</f>
        <v/>
      </c>
      <c r="J3" s="69" t="str">
        <f t="array" ref="J3">IF('Results and Rankings'!$A3="","",XLOOKUP('Results and Rankings'!$A3,'Core Values Input'!$A$2:$A$201,'Core Values Input'!$V$2:$V$201,NumberOfTeams+1,0,))</f>
        <v/>
      </c>
      <c r="K3" s="69" t="str">
        <f t="array" ref="K3">IF('Results and Rankings'!$A3="","",XLOOKUP('Results and Rankings'!$A3,'Innovation Project Input'!$A$2:$A$201,'Innovation Project Input'!$N$2:$N$201,NumberOfTeams+1,0,))</f>
        <v/>
      </c>
      <c r="L3" s="69" t="str">
        <f t="array" ref="L3">IF('Results and Rankings'!$A3="","",XLOOKUP('Results and Rankings'!$A3,'Robot Design Input'!$A$2:$A$201,'Robot Design Input'!$N$2:$N$201,NumberOfTeams+1,0,))</f>
        <v/>
      </c>
      <c r="M3" s="69" t="str">
        <f> IF('Results and Rankings'!$A3="","",IF('Results and Rankings'!$J3="",NumberOfTeams+1,'Results and Rankings'!$J3) + IF('Results and Rankings'!$K3="",NumberOfTeams+1,'Results and Rankings'!$K3) + IF('Results and Rankings'!$L3="",NumberOfTeams+1,'Results and Rankings'!$L3) + 'Results and Rankings'!$I3)</f>
        <v/>
      </c>
      <c r="N3" s="70" t="str">
        <f>IF('Results and Rankings'!$A3="","",IF(M3,RANK(M3,M$3:M$202,1)-COUNTIF(M$3:M$202,0),NumberOfTeams+1))</f>
        <v/>
      </c>
      <c r="O3" s="71" t="str">
        <f t="array" ref="O3">XLOOKUP('Results and Rankings'!$A3,'Core Values Input'!$A$2:$A$201,'Core Values Input'!$W$2:$W$201,0,0,)</f>
        <v>#VALUE!</v>
      </c>
      <c r="P3" s="71" t="str">
        <f t="array" ref="P3">XLOOKUP('Results and Rankings'!$A3,'Core Values Input'!$A$2:$A$201,'Core Values Input'!$X$2:$X$201,0,0,)</f>
        <v>#VALUE!</v>
      </c>
      <c r="Q3" s="71" t="str">
        <f t="array" ref="Q3">XLOOKUP('Results and Rankings'!$A3,'Core Values Input'!$A$2:$A$201,'Core Values Input'!$Y$2:$Y$201,0,0,)</f>
        <v>#VALUE!</v>
      </c>
      <c r="R3" s="38"/>
      <c r="S3" s="38"/>
      <c r="T3" s="72"/>
      <c r="U3" s="69" t="str">
        <f t="array" ref="U3">XLOOKUP('Results and Rankings'!$A3,'Core Values Input'!$A$2:$A$201,'Core Values Input'!$U$2:$U$201,0,0,)</f>
        <v>#VALUE!</v>
      </c>
      <c r="V3" s="69" t="str">
        <f t="array" ref="V3">XLOOKUP('Results and Rankings'!$A3,'Innovation Project Input'!$A$2:$A$201,'Innovation Project Input'!$M$2:$M$201,0,0,)</f>
        <v>#VALUE!</v>
      </c>
      <c r="W3" s="69" t="str">
        <f t="array" ref="W3">XLOOKUP('Results and Rankings'!$A3,'Robot Design Input'!$A$2:$A$201,'Robot Design Input'!$M$2:$M$201,0,0,)</f>
        <v>#VALUE!</v>
      </c>
      <c r="X3" s="73">
        <f>IF(ISERR(GEOMEAN('Results and Rankings'!$H3,'Results and Rankings'!$U3,'Results and Rankings'!$V3,'Results and Rankings'!$W3)),0,GEOMEAN('Results and Rankings'!$H3,'Results and Rankings'!$U3,'Results and Rankings'!$V3,'Results and Rankings'!$W3))</f>
        <v>0</v>
      </c>
      <c r="Y3" s="74">
        <f>IF(X3,_xlfn.RANK.EQ(X3,X$3:X$110,0),NumberOfTeams)</f>
        <v>0</v>
      </c>
      <c r="Z3" s="38"/>
    </row>
    <row r="4" ht="21.0" customHeight="1">
      <c r="A4" s="67" t="str">
        <f t="array" ref="A4">XLOOKUP(2,'Team and Program Information'!$B$3:$B$202,'Team and Program Information'!$C$3:$C$202,"ERROR",0)</f>
        <v/>
      </c>
      <c r="B4" s="68" t="str">
        <f t="array" ref="B4">XLOOKUP('Results and Rankings'!$A4,'Team and Program Information'!$C$3:$C$202,'Team and Program Information'!$D$3:$D$202,"",0,)</f>
        <v>#VALUE!</v>
      </c>
      <c r="C4" s="69" t="str">
        <f t="array" ref="C4">IF('Results and Rankings'!$A4="","",XLOOKUP('Results and Rankings'!$A4,'Robot Game Scores'!$B$2:$B$201,'Robot Game Scores'!$D$2:$D$201,0,0,))</f>
        <v/>
      </c>
      <c r="D4" s="69" t="str">
        <f t="array" ref="D4">IF('Results and Rankings'!$A4="","",XLOOKUP('Results and Rankings'!$A4,'Robot Game Scores'!$B$2:$B$201,'Robot Game Scores'!$E$2:$E$201,0,0,))</f>
        <v/>
      </c>
      <c r="E4" s="69" t="str">
        <f t="array" ref="E4">IF('Results and Rankings'!$A4="","",XLOOKUP('Results and Rankings'!$A4,'Robot Game Scores'!$B$2:$B$201,'Robot Game Scores'!$F$2:$F$201,0,0,))</f>
        <v/>
      </c>
      <c r="F4" s="69" t="str">
        <f t="array" ref="F4">IF('Results and Rankings'!$A4="","",XLOOKUP('Results and Rankings'!$A4,'Robot Game Scores'!$B$2:$B$201,'Robot Game Scores'!$G$2:$G$201,0,0,))</f>
        <v/>
      </c>
      <c r="G4" s="69" t="str">
        <f t="array" ref="G4">IF('Results and Rankings'!$A4="","",XLOOKUP('Results and Rankings'!$A4,'Robot Game Scores'!$B$2:$B$201,'Robot Game Scores'!$H$2:$H$201,0,0,))</f>
        <v/>
      </c>
      <c r="H4" s="69" t="str">
        <f>IF('Results and Rankings'!$A4="","",IF(ISNA(LARGE('Results and Rankings'!$C4:$G4,1)+0.0001*LARGE('Results and Rankings'!$C4:$G4,2)+0.0000001*LARGE('Results and Rankings'!$C4:$G4,3)+1E-11*LARGE('Results and Rankings'!$C4:$G4,4)+1E-14*LARGE('Results and Rankings'!$C4:$G4,5)),0,LARGE('Results and Rankings'!$C4:$G4,1)+0.0001*LARGE('Results and Rankings'!$C4:$G4,2)+0.0000001*LARGE('Results and Rankings'!$C4:$G4,3)+1E-11*LARGE('Results and Rankings'!$C4:$G4,4)+1E-14*LARGE('Results and Rankings'!$C4:$G4,5)))</f>
        <v/>
      </c>
      <c r="I4" s="69" t="str">
        <f>IF('Results and Rankings'!$A4="","",_xlfn.RANK.EQ('Results and Rankings'!$H4,'Results and Rankings'!$H$3:$H$202))</f>
        <v/>
      </c>
      <c r="J4" s="69" t="str">
        <f t="array" ref="J4">IF('Results and Rankings'!$A4="","",XLOOKUP('Results and Rankings'!$A4,'Core Values Input'!$A$2:$A$201,'Core Values Input'!$V$2:$V$201,NumberOfTeams+1,0,))</f>
        <v/>
      </c>
      <c r="K4" s="69" t="str">
        <f t="array" ref="K4">IF('Results and Rankings'!$A4="","",XLOOKUP('Results and Rankings'!$A4,'Innovation Project Input'!$A$2:$A$201,'Innovation Project Input'!$N$2:$N$201,NumberOfTeams+1,0,))</f>
        <v/>
      </c>
      <c r="L4" s="69" t="str">
        <f t="array" ref="L4">IF('Results and Rankings'!$A4="","",XLOOKUP('Results and Rankings'!$A4,'Robot Design Input'!$A$2:$A$201,'Robot Design Input'!$N$2:$N$201,NumberOfTeams+1,0,))</f>
        <v/>
      </c>
      <c r="M4" s="69" t="str">
        <f> IF('Results and Rankings'!$A4="","",IF('Results and Rankings'!$J4="",NumberOfTeams+1,'Results and Rankings'!$J4) + IF('Results and Rankings'!$K4="",NumberOfTeams+1,'Results and Rankings'!$K4) + IF('Results and Rankings'!$L4="",NumberOfTeams+1,'Results and Rankings'!$L4) + 'Results and Rankings'!$I4)</f>
        <v/>
      </c>
      <c r="N4" s="70" t="str">
        <f>IF('Results and Rankings'!$A4="","",IF(M4,RANK(M4,M$3:M$202,1)-COUNTIF(M$3:M$202,0),NumberOfTeams+1))</f>
        <v/>
      </c>
      <c r="O4" s="71" t="str">
        <f t="array" ref="O4">XLOOKUP('Results and Rankings'!$A4,'Core Values Input'!$A$2:$A$201,'Core Values Input'!$W$2:$W$201,0,0,)</f>
        <v>#VALUE!</v>
      </c>
      <c r="P4" s="71" t="str">
        <f t="array" ref="P4">XLOOKUP('Results and Rankings'!$A4,'Core Values Input'!$A$2:$A$201,'Core Values Input'!$X$2:$X$201,0,0,)</f>
        <v>#VALUE!</v>
      </c>
      <c r="Q4" s="71" t="str">
        <f t="array" ref="Q4">XLOOKUP('Results and Rankings'!$A4,'Core Values Input'!$A$2:$A$201,'Core Values Input'!$Y$2:$Y$201,0,0,)</f>
        <v>#VALUE!</v>
      </c>
      <c r="R4" s="38"/>
      <c r="S4" s="38"/>
      <c r="T4" s="72"/>
      <c r="U4" s="69" t="str">
        <f t="array" ref="U4">XLOOKUP('Results and Rankings'!$A4,'Core Values Input'!$A$2:$A$201,'Core Values Input'!$U$2:$U$201,0,0,)</f>
        <v>#VALUE!</v>
      </c>
      <c r="V4" s="69" t="str">
        <f t="array" ref="V4">XLOOKUP('Results and Rankings'!$A4,'Innovation Project Input'!$A$2:$A$201,'Innovation Project Input'!$M$2:$M$201,0,0,)</f>
        <v>#VALUE!</v>
      </c>
      <c r="W4" s="69" t="str">
        <f t="array" ref="W4">XLOOKUP('Results and Rankings'!$A4,'Robot Design Input'!$A$2:$A$201,'Robot Design Input'!$M$2:$M$201,0,0,)</f>
        <v>#VALUE!</v>
      </c>
      <c r="X4" s="73">
        <f>IF(ISERR(GEOMEAN('Results and Rankings'!$H4,'Results and Rankings'!$U4,'Results and Rankings'!$V4,'Results and Rankings'!$W4)),0,GEOMEAN('Results and Rankings'!$H4,'Results and Rankings'!$U4,'Results and Rankings'!$V4,'Results and Rankings'!$W4))</f>
        <v>0</v>
      </c>
      <c r="Y4" s="74">
        <f>IF(X4,_xlfn.RANK.EQ(X4,X$3:X$110,0),NumberOfTeams)</f>
        <v>0</v>
      </c>
      <c r="Z4" s="38"/>
    </row>
    <row r="5" ht="21.0" customHeight="1">
      <c r="A5" s="67" t="str">
        <f t="array" ref="A5">XLOOKUP(3,'Team and Program Information'!$B$3:$B$202,'Team and Program Information'!$C$3:$C$202,"ERROR",0)</f>
        <v/>
      </c>
      <c r="B5" s="68" t="str">
        <f t="array" ref="B5">XLOOKUP('Results and Rankings'!$A5,'Team and Program Information'!$C$3:$C$202,'Team and Program Information'!$D$3:$D$202,"",0,)</f>
        <v>#VALUE!</v>
      </c>
      <c r="C5" s="69" t="str">
        <f t="array" ref="C5">IF('Results and Rankings'!$A5="","",XLOOKUP('Results and Rankings'!$A5,'Robot Game Scores'!$B$2:$B$201,'Robot Game Scores'!$D$2:$D$201,0,0,))</f>
        <v/>
      </c>
      <c r="D5" s="69" t="str">
        <f t="array" ref="D5">IF('Results and Rankings'!$A5="","",XLOOKUP('Results and Rankings'!$A5,'Robot Game Scores'!$B$2:$B$201,'Robot Game Scores'!$E$2:$E$201,0,0,))</f>
        <v/>
      </c>
      <c r="E5" s="69" t="str">
        <f t="array" ref="E5">IF('Results and Rankings'!$A5="","",XLOOKUP('Results and Rankings'!$A5,'Robot Game Scores'!$B$2:$B$201,'Robot Game Scores'!$F$2:$F$201,0,0,))</f>
        <v/>
      </c>
      <c r="F5" s="69" t="str">
        <f t="array" ref="F5">IF('Results and Rankings'!$A5="","",XLOOKUP('Results and Rankings'!$A5,'Robot Game Scores'!$B$2:$B$201,'Robot Game Scores'!$G$2:$G$201,0,0,))</f>
        <v/>
      </c>
      <c r="G5" s="69" t="str">
        <f t="array" ref="G5">IF('Results and Rankings'!$A5="","",XLOOKUP('Results and Rankings'!$A5,'Robot Game Scores'!$B$2:$B$201,'Robot Game Scores'!$H$2:$H$201,0,0,))</f>
        <v/>
      </c>
      <c r="H5" s="69" t="str">
        <f>IF('Results and Rankings'!$A5="","",IF(ISNA(LARGE('Results and Rankings'!$C5:$G5,1)+0.0001*LARGE('Results and Rankings'!$C5:$G5,2)+0.0000001*LARGE('Results and Rankings'!$C5:$G5,3)+1E-11*LARGE('Results and Rankings'!$C5:$G5,4)+1E-14*LARGE('Results and Rankings'!$C5:$G5,5)),0,LARGE('Results and Rankings'!$C5:$G5,1)+0.0001*LARGE('Results and Rankings'!$C5:$G5,2)+0.0000001*LARGE('Results and Rankings'!$C5:$G5,3)+1E-11*LARGE('Results and Rankings'!$C5:$G5,4)+1E-14*LARGE('Results and Rankings'!$C5:$G5,5)))</f>
        <v/>
      </c>
      <c r="I5" s="69" t="str">
        <f>IF('Results and Rankings'!$A5="","",_xlfn.RANK.EQ('Results and Rankings'!$H5,'Results and Rankings'!$H$3:$H$202))</f>
        <v/>
      </c>
      <c r="J5" s="69" t="str">
        <f t="array" ref="J5">IF('Results and Rankings'!$A5="","",XLOOKUP('Results and Rankings'!$A5,'Core Values Input'!$A$2:$A$201,'Core Values Input'!$V$2:$V$201,NumberOfTeams+1,0,))</f>
        <v/>
      </c>
      <c r="K5" s="69" t="str">
        <f t="array" ref="K5">IF('Results and Rankings'!$A5="","",XLOOKUP('Results and Rankings'!$A5,'Innovation Project Input'!$A$2:$A$201,'Innovation Project Input'!$N$2:$N$201,NumberOfTeams+1,0,))</f>
        <v/>
      </c>
      <c r="L5" s="69" t="str">
        <f t="array" ref="L5">IF('Results and Rankings'!$A5="","",XLOOKUP('Results and Rankings'!$A5,'Robot Design Input'!$A$2:$A$201,'Robot Design Input'!$N$2:$N$201,NumberOfTeams+1,0,))</f>
        <v/>
      </c>
      <c r="M5" s="69" t="str">
        <f> IF('Results and Rankings'!$A5="","",IF('Results and Rankings'!$J5="",NumberOfTeams+1,'Results and Rankings'!$J5) + IF('Results and Rankings'!$K5="",NumberOfTeams+1,'Results and Rankings'!$K5) + IF('Results and Rankings'!$L5="",NumberOfTeams+1,'Results and Rankings'!$L5) + 'Results and Rankings'!$I5)</f>
        <v/>
      </c>
      <c r="N5" s="70" t="str">
        <f>IF('Results and Rankings'!$A5="","",IF(M5,RANK(M5,M$3:M$202,1)-COUNTIF(M$3:M$202,0),NumberOfTeams+1))</f>
        <v/>
      </c>
      <c r="O5" s="71" t="str">
        <f t="array" ref="O5">XLOOKUP('Results and Rankings'!$A5,'Core Values Input'!$A$2:$A$201,'Core Values Input'!$W$2:$W$201,0,0,)</f>
        <v>#VALUE!</v>
      </c>
      <c r="P5" s="71" t="str">
        <f t="array" ref="P5">XLOOKUP('Results and Rankings'!$A5,'Core Values Input'!$A$2:$A$201,'Core Values Input'!$X$2:$X$201,0,0,)</f>
        <v>#VALUE!</v>
      </c>
      <c r="Q5" s="71" t="str">
        <f t="array" ref="Q5">XLOOKUP('Results and Rankings'!$A5,'Core Values Input'!$A$2:$A$201,'Core Values Input'!$Y$2:$Y$201,0,0,)</f>
        <v>#VALUE!</v>
      </c>
      <c r="R5" s="38"/>
      <c r="S5" s="38"/>
      <c r="T5" s="72"/>
      <c r="U5" s="69" t="str">
        <f t="array" ref="U5">XLOOKUP('Results and Rankings'!$A5,'Core Values Input'!$A$2:$A$201,'Core Values Input'!$U$2:$U$201,0,0,)</f>
        <v>#VALUE!</v>
      </c>
      <c r="V5" s="69" t="str">
        <f t="array" ref="V5">XLOOKUP('Results and Rankings'!$A5,'Innovation Project Input'!$A$2:$A$201,'Innovation Project Input'!$M$2:$M$201,0,0,)</f>
        <v>#VALUE!</v>
      </c>
      <c r="W5" s="69" t="str">
        <f t="array" ref="W5">XLOOKUP('Results and Rankings'!$A5,'Robot Design Input'!$A$2:$A$201,'Robot Design Input'!$M$2:$M$201,0,0,)</f>
        <v>#VALUE!</v>
      </c>
      <c r="X5" s="73">
        <f>IF(ISERR(GEOMEAN('Results and Rankings'!$H5,'Results and Rankings'!$U5,'Results and Rankings'!$V5,'Results and Rankings'!$W5)),0,GEOMEAN('Results and Rankings'!$H5,'Results and Rankings'!$U5,'Results and Rankings'!$V5,'Results and Rankings'!$W5))</f>
        <v>0</v>
      </c>
      <c r="Y5" s="74">
        <f>IF(X5,_xlfn.RANK.EQ(X5,X$3:X$110,0),NumberOfTeams)</f>
        <v>0</v>
      </c>
      <c r="Z5" s="38"/>
    </row>
    <row r="6" ht="21.0" customHeight="1">
      <c r="A6" s="67" t="str">
        <f t="array" ref="A6">XLOOKUP(4,'Team and Program Information'!$B$3:$B$202,'Team and Program Information'!$C$3:$C$202,"ERROR",0)</f>
        <v/>
      </c>
      <c r="B6" s="68" t="str">
        <f t="array" ref="B6">XLOOKUP('Results and Rankings'!$A6,'Team and Program Information'!$C$3:$C$202,'Team and Program Information'!$D$3:$D$202,"",0,)</f>
        <v>#VALUE!</v>
      </c>
      <c r="C6" s="69" t="str">
        <f t="array" ref="C6">IF('Results and Rankings'!$A6="","",XLOOKUP('Results and Rankings'!$A6,'Robot Game Scores'!$B$2:$B$201,'Robot Game Scores'!$D$2:$D$201,0,0,))</f>
        <v/>
      </c>
      <c r="D6" s="69" t="str">
        <f t="array" ref="D6">IF('Results and Rankings'!$A6="","",XLOOKUP('Results and Rankings'!$A6,'Robot Game Scores'!$B$2:$B$201,'Robot Game Scores'!$E$2:$E$201,0,0,))</f>
        <v/>
      </c>
      <c r="E6" s="69" t="str">
        <f t="array" ref="E6">IF('Results and Rankings'!$A6="","",XLOOKUP('Results and Rankings'!$A6,'Robot Game Scores'!$B$2:$B$201,'Robot Game Scores'!$F$2:$F$201,0,0,))</f>
        <v/>
      </c>
      <c r="F6" s="69" t="str">
        <f t="array" ref="F6">IF('Results and Rankings'!$A6="","",XLOOKUP('Results and Rankings'!$A6,'Robot Game Scores'!$B$2:$B$201,'Robot Game Scores'!$G$2:$G$201,0,0,))</f>
        <v/>
      </c>
      <c r="G6" s="69" t="str">
        <f t="array" ref="G6">IF('Results and Rankings'!$A6="","",XLOOKUP('Results and Rankings'!$A6,'Robot Game Scores'!$B$2:$B$201,'Robot Game Scores'!$H$2:$H$201,0,0,))</f>
        <v/>
      </c>
      <c r="H6" s="69" t="str">
        <f>IF('Results and Rankings'!$A6="","",IF(ISNA(LARGE('Results and Rankings'!$C6:$G6,1)+0.0001*LARGE('Results and Rankings'!$C6:$G6,2)+0.0000001*LARGE('Results and Rankings'!$C6:$G6,3)+1E-11*LARGE('Results and Rankings'!$C6:$G6,4)+1E-14*LARGE('Results and Rankings'!$C6:$G6,5)),0,LARGE('Results and Rankings'!$C6:$G6,1)+0.0001*LARGE('Results and Rankings'!$C6:$G6,2)+0.0000001*LARGE('Results and Rankings'!$C6:$G6,3)+1E-11*LARGE('Results and Rankings'!$C6:$G6,4)+1E-14*LARGE('Results and Rankings'!$C6:$G6,5)))</f>
        <v/>
      </c>
      <c r="I6" s="69" t="str">
        <f>IF('Results and Rankings'!$A6="","",_xlfn.RANK.EQ('Results and Rankings'!$H6,'Results and Rankings'!$H$3:$H$202))</f>
        <v/>
      </c>
      <c r="J6" s="69" t="str">
        <f t="array" ref="J6">IF('Results and Rankings'!$A6="","",XLOOKUP('Results and Rankings'!$A6,'Core Values Input'!$A$2:$A$201,'Core Values Input'!$V$2:$V$201,NumberOfTeams+1,0,))</f>
        <v/>
      </c>
      <c r="K6" s="69" t="str">
        <f t="array" ref="K6">IF('Results and Rankings'!$A6="","",XLOOKUP('Results and Rankings'!$A6,'Innovation Project Input'!$A$2:$A$201,'Innovation Project Input'!$N$2:$N$201,NumberOfTeams+1,0,))</f>
        <v/>
      </c>
      <c r="L6" s="69" t="str">
        <f t="array" ref="L6">IF('Results and Rankings'!$A6="","",XLOOKUP('Results and Rankings'!$A6,'Robot Design Input'!$A$2:$A$201,'Robot Design Input'!$N$2:$N$201,NumberOfTeams+1,0,))</f>
        <v/>
      </c>
      <c r="M6" s="69" t="str">
        <f> IF('Results and Rankings'!$A6="","",IF('Results and Rankings'!$J6="",NumberOfTeams+1,'Results and Rankings'!$J6) + IF('Results and Rankings'!$K6="",NumberOfTeams+1,'Results and Rankings'!$K6) + IF('Results and Rankings'!$L6="",NumberOfTeams+1,'Results and Rankings'!$L6) + 'Results and Rankings'!$I6)</f>
        <v/>
      </c>
      <c r="N6" s="70" t="str">
        <f>IF('Results and Rankings'!$A6="","",IF(M6,RANK(M6,M$3:M$202,1)-COUNTIF(M$3:M$202,0),NumberOfTeams+1))</f>
        <v/>
      </c>
      <c r="O6" s="72" t="str">
        <f t="array" ref="O6">XLOOKUP('Results and Rankings'!$A6,'Core Values Input'!$A$2:$A$201,'Core Values Input'!$W$2:$W$201,0,0,)</f>
        <v>#VALUE!</v>
      </c>
      <c r="P6" s="72" t="str">
        <f t="array" ref="P6">XLOOKUP('Results and Rankings'!$A6,'Core Values Input'!$A$2:$A$201,'Core Values Input'!$X$2:$X$201,0,0,)</f>
        <v>#VALUE!</v>
      </c>
      <c r="Q6" s="72" t="str">
        <f t="array" ref="Q6">XLOOKUP('Results and Rankings'!$A6,'Core Values Input'!$A$2:$A$201,'Core Values Input'!$Y$2:$Y$201,0,0,)</f>
        <v>#VALUE!</v>
      </c>
      <c r="R6" s="38"/>
      <c r="S6" s="38"/>
      <c r="T6" s="72"/>
      <c r="U6" s="69" t="str">
        <f t="array" ref="U6">XLOOKUP('Results and Rankings'!$A6,'Core Values Input'!$A$2:$A$201,'Core Values Input'!$U$2:$U$201,0,0,)</f>
        <v>#VALUE!</v>
      </c>
      <c r="V6" s="69" t="str">
        <f t="array" ref="V6">XLOOKUP('Results and Rankings'!$A6,'Innovation Project Input'!$A$2:$A$201,'Innovation Project Input'!$M$2:$M$201,0,0,)</f>
        <v>#VALUE!</v>
      </c>
      <c r="W6" s="69" t="str">
        <f t="array" ref="W6">XLOOKUP('Results and Rankings'!$A6,'Robot Design Input'!$A$2:$A$201,'Robot Design Input'!$M$2:$M$201,0,0,)</f>
        <v>#VALUE!</v>
      </c>
      <c r="X6" s="73">
        <f>IF(ISERR(GEOMEAN('Results and Rankings'!$H6,'Results and Rankings'!$U6,'Results and Rankings'!$V6,'Results and Rankings'!$W6)),0,GEOMEAN('Results and Rankings'!$H6,'Results and Rankings'!$U6,'Results and Rankings'!$V6,'Results and Rankings'!$W6))</f>
        <v>0</v>
      </c>
      <c r="Y6" s="74">
        <f>IF(X6,_xlfn.RANK.EQ(X6,X$3:X$110,0),NumberOfTeams)</f>
        <v>0</v>
      </c>
      <c r="Z6" s="38"/>
    </row>
    <row r="7" ht="21.0" customHeight="1">
      <c r="A7" s="67" t="str">
        <f t="array" ref="A7">XLOOKUP(5,'Team and Program Information'!$B$3:$B$202,'Team and Program Information'!$C$3:$C$202,"ERROR",0)</f>
        <v/>
      </c>
      <c r="B7" s="68" t="str">
        <f t="array" ref="B7">XLOOKUP('Results and Rankings'!$A7,'Team and Program Information'!$C$3:$C$202,'Team and Program Information'!$D$3:$D$202,"",0,)</f>
        <v>#VALUE!</v>
      </c>
      <c r="C7" s="69" t="str">
        <f t="array" ref="C7">IF('Results and Rankings'!$A7="","",XLOOKUP('Results and Rankings'!$A7,'Robot Game Scores'!$B$2:$B$201,'Robot Game Scores'!$D$2:$D$201,0,0,))</f>
        <v/>
      </c>
      <c r="D7" s="69" t="str">
        <f t="array" ref="D7">IF('Results and Rankings'!$A7="","",XLOOKUP('Results and Rankings'!$A7,'Robot Game Scores'!$B$2:$B$201,'Robot Game Scores'!$E$2:$E$201,0,0,))</f>
        <v/>
      </c>
      <c r="E7" s="69" t="str">
        <f t="array" ref="E7">IF('Results and Rankings'!$A7="","",XLOOKUP('Results and Rankings'!$A7,'Robot Game Scores'!$B$2:$B$201,'Robot Game Scores'!$F$2:$F$201,0,0,))</f>
        <v/>
      </c>
      <c r="F7" s="69" t="str">
        <f t="array" ref="F7">IF('Results and Rankings'!$A7="","",XLOOKUP('Results and Rankings'!$A7,'Robot Game Scores'!$B$2:$B$201,'Robot Game Scores'!$G$2:$G$201,0,0,))</f>
        <v/>
      </c>
      <c r="G7" s="69" t="str">
        <f t="array" ref="G7">IF('Results and Rankings'!$A7="","",XLOOKUP('Results and Rankings'!$A7,'Robot Game Scores'!$B$2:$B$201,'Robot Game Scores'!$H$2:$H$201,0,0,))</f>
        <v/>
      </c>
      <c r="H7" s="69" t="str">
        <f>IF('Results and Rankings'!$A7="","",IF(ISNA(LARGE('Results and Rankings'!$C7:$G7,1)+0.0001*LARGE('Results and Rankings'!$C7:$G7,2)+0.0000001*LARGE('Results and Rankings'!$C7:$G7,3)+1E-11*LARGE('Results and Rankings'!$C7:$G7,4)+1E-14*LARGE('Results and Rankings'!$C7:$G7,5)),0,LARGE('Results and Rankings'!$C7:$G7,1)+0.0001*LARGE('Results and Rankings'!$C7:$G7,2)+0.0000001*LARGE('Results and Rankings'!$C7:$G7,3)+1E-11*LARGE('Results and Rankings'!$C7:$G7,4)+1E-14*LARGE('Results and Rankings'!$C7:$G7,5)))</f>
        <v/>
      </c>
      <c r="I7" s="69" t="str">
        <f>IF('Results and Rankings'!$A7="","",_xlfn.RANK.EQ('Results and Rankings'!$H7,'Results and Rankings'!$H$3:$H$202))</f>
        <v/>
      </c>
      <c r="J7" s="69" t="str">
        <f t="array" ref="J7">IF('Results and Rankings'!$A7="","",XLOOKUP('Results and Rankings'!$A7,'Core Values Input'!$A$2:$A$201,'Core Values Input'!$V$2:$V$201,NumberOfTeams+1,0,))</f>
        <v/>
      </c>
      <c r="K7" s="69" t="str">
        <f t="array" ref="K7">IF('Results and Rankings'!$A7="","",XLOOKUP('Results and Rankings'!$A7,'Innovation Project Input'!$A$2:$A$201,'Innovation Project Input'!$N$2:$N$201,NumberOfTeams+1,0,))</f>
        <v/>
      </c>
      <c r="L7" s="69" t="str">
        <f t="array" ref="L7">IF('Results and Rankings'!$A7="","",XLOOKUP('Results and Rankings'!$A7,'Robot Design Input'!$A$2:$A$201,'Robot Design Input'!$N$2:$N$201,NumberOfTeams+1,0,))</f>
        <v/>
      </c>
      <c r="M7" s="69" t="str">
        <f> IF('Results and Rankings'!$A7="","",IF('Results and Rankings'!$J7="",NumberOfTeams+1,'Results and Rankings'!$J7) + IF('Results and Rankings'!$K7="",NumberOfTeams+1,'Results and Rankings'!$K7) + IF('Results and Rankings'!$L7="",NumberOfTeams+1,'Results and Rankings'!$L7) + 'Results and Rankings'!$I7)</f>
        <v/>
      </c>
      <c r="N7" s="70" t="str">
        <f>IF('Results and Rankings'!$A7="","",IF(M7,RANK(M7,M$3:M$202,1)-COUNTIF(M$3:M$202,0),NumberOfTeams+1))</f>
        <v/>
      </c>
      <c r="O7" s="71" t="str">
        <f t="array" ref="O7">XLOOKUP('Results and Rankings'!$A7,'Core Values Input'!$A$2:$A$201,'Core Values Input'!$W$2:$W$201,0,0,)</f>
        <v>#VALUE!</v>
      </c>
      <c r="P7" s="71" t="str">
        <f t="array" ref="P7">XLOOKUP('Results and Rankings'!$A7,'Core Values Input'!$A$2:$A$201,'Core Values Input'!$X$2:$X$201,0,0,)</f>
        <v>#VALUE!</v>
      </c>
      <c r="Q7" s="71" t="str">
        <f t="array" ref="Q7">XLOOKUP('Results and Rankings'!$A7,'Core Values Input'!$A$2:$A$201,'Core Values Input'!$Y$2:$Y$201,0,0,)</f>
        <v>#VALUE!</v>
      </c>
      <c r="R7" s="38"/>
      <c r="S7" s="38"/>
      <c r="T7" s="72"/>
      <c r="U7" s="69" t="str">
        <f t="array" ref="U7">XLOOKUP('Results and Rankings'!$A7,'Core Values Input'!$A$2:$A$201,'Core Values Input'!$U$2:$U$201,0,0,)</f>
        <v>#VALUE!</v>
      </c>
      <c r="V7" s="69" t="str">
        <f t="array" ref="V7">XLOOKUP('Results and Rankings'!$A7,'Innovation Project Input'!$A$2:$A$201,'Innovation Project Input'!$M$2:$M$201,0,0,)</f>
        <v>#VALUE!</v>
      </c>
      <c r="W7" s="69" t="str">
        <f t="array" ref="W7">XLOOKUP('Results and Rankings'!$A7,'Robot Design Input'!$A$2:$A$201,'Robot Design Input'!$M$2:$M$201,0,0,)</f>
        <v>#VALUE!</v>
      </c>
      <c r="X7" s="73">
        <f>IF(ISERR(GEOMEAN('Results and Rankings'!$H7,'Results and Rankings'!$U7,'Results and Rankings'!$V7,'Results and Rankings'!$W7)),0,GEOMEAN('Results and Rankings'!$H7,'Results and Rankings'!$U7,'Results and Rankings'!$V7,'Results and Rankings'!$W7))</f>
        <v>0</v>
      </c>
      <c r="Y7" s="74">
        <f>IF(X7,_xlfn.RANK.EQ(X7,X$3:X$110,0),NumberOfTeams)</f>
        <v>0</v>
      </c>
      <c r="Z7" s="38"/>
    </row>
    <row r="8" ht="21.0" customHeight="1">
      <c r="A8" s="67" t="str">
        <f t="array" ref="A8">XLOOKUP(6,'Team and Program Information'!$B$3:$B$202,'Team and Program Information'!$C$3:$C$202,"ERROR",0)</f>
        <v/>
      </c>
      <c r="B8" s="68" t="str">
        <f t="array" ref="B8">XLOOKUP('Results and Rankings'!$A8,'Team and Program Information'!$C$3:$C$202,'Team and Program Information'!$D$3:$D$202,"",0,)</f>
        <v>#VALUE!</v>
      </c>
      <c r="C8" s="69" t="str">
        <f t="array" ref="C8">IF('Results and Rankings'!$A8="","",XLOOKUP('Results and Rankings'!$A8,'Robot Game Scores'!$B$2:$B$201,'Robot Game Scores'!$D$2:$D$201,0,0,))</f>
        <v/>
      </c>
      <c r="D8" s="69" t="str">
        <f t="array" ref="D8">IF('Results and Rankings'!$A8="","",XLOOKUP('Results and Rankings'!$A8,'Robot Game Scores'!$B$2:$B$201,'Robot Game Scores'!$E$2:$E$201,0,0,))</f>
        <v/>
      </c>
      <c r="E8" s="69" t="str">
        <f t="array" ref="E8">IF('Results and Rankings'!$A8="","",XLOOKUP('Results and Rankings'!$A8,'Robot Game Scores'!$B$2:$B$201,'Robot Game Scores'!$F$2:$F$201,0,0,))</f>
        <v/>
      </c>
      <c r="F8" s="69" t="str">
        <f t="array" ref="F8">IF('Results and Rankings'!$A8="","",XLOOKUP('Results and Rankings'!$A8,'Robot Game Scores'!$B$2:$B$201,'Robot Game Scores'!$G$2:$G$201,0,0,))</f>
        <v/>
      </c>
      <c r="G8" s="69" t="str">
        <f t="array" ref="G8">IF('Results and Rankings'!$A8="","",XLOOKUP('Results and Rankings'!$A8,'Robot Game Scores'!$B$2:$B$201,'Robot Game Scores'!$H$2:$H$201,0,0,))</f>
        <v/>
      </c>
      <c r="H8" s="69" t="str">
        <f>IF('Results and Rankings'!$A8="","",IF(ISNA(LARGE('Results and Rankings'!$C8:$G8,1)+0.0001*LARGE('Results and Rankings'!$C8:$G8,2)+0.0000001*LARGE('Results and Rankings'!$C8:$G8,3)+1E-11*LARGE('Results and Rankings'!$C8:$G8,4)+1E-14*LARGE('Results and Rankings'!$C8:$G8,5)),0,LARGE('Results and Rankings'!$C8:$G8,1)+0.0001*LARGE('Results and Rankings'!$C8:$G8,2)+0.0000001*LARGE('Results and Rankings'!$C8:$G8,3)+1E-11*LARGE('Results and Rankings'!$C8:$G8,4)+1E-14*LARGE('Results and Rankings'!$C8:$G8,5)))</f>
        <v/>
      </c>
      <c r="I8" s="69" t="str">
        <f>IF('Results and Rankings'!$A8="","",_xlfn.RANK.EQ('Results and Rankings'!$H8,'Results and Rankings'!$H$3:$H$202))</f>
        <v/>
      </c>
      <c r="J8" s="69" t="str">
        <f t="array" ref="J8">IF('Results and Rankings'!$A8="","",XLOOKUP('Results and Rankings'!$A8,'Core Values Input'!$A$2:$A$201,'Core Values Input'!$V$2:$V$201,NumberOfTeams+1,0,))</f>
        <v/>
      </c>
      <c r="K8" s="69" t="str">
        <f t="array" ref="K8">IF('Results and Rankings'!$A8="","",XLOOKUP('Results and Rankings'!$A8,'Innovation Project Input'!$A$2:$A$201,'Innovation Project Input'!$N$2:$N$201,NumberOfTeams+1,0,))</f>
        <v/>
      </c>
      <c r="L8" s="69" t="str">
        <f t="array" ref="L8">IF('Results and Rankings'!$A8="","",XLOOKUP('Results and Rankings'!$A8,'Robot Design Input'!$A$2:$A$201,'Robot Design Input'!$N$2:$N$201,NumberOfTeams+1,0,))</f>
        <v/>
      </c>
      <c r="M8" s="69" t="str">
        <f> IF('Results and Rankings'!$A8="","",IF('Results and Rankings'!$J8="",NumberOfTeams+1,'Results and Rankings'!$J8) + IF('Results and Rankings'!$K8="",NumberOfTeams+1,'Results and Rankings'!$K8) + IF('Results and Rankings'!$L8="",NumberOfTeams+1,'Results and Rankings'!$L8) + 'Results and Rankings'!$I8)</f>
        <v/>
      </c>
      <c r="N8" s="70" t="str">
        <f>IF('Results and Rankings'!$A8="","",IF(M8,RANK(M8,M$3:M$202,1)-COUNTIF(M$3:M$202,0),NumberOfTeams+1))</f>
        <v/>
      </c>
      <c r="O8" s="71" t="str">
        <f t="array" ref="O8">XLOOKUP('Results and Rankings'!$A8,'Core Values Input'!$A$2:$A$201,'Core Values Input'!$W$2:$W$201,0,0,)</f>
        <v>#VALUE!</v>
      </c>
      <c r="P8" s="71" t="str">
        <f t="array" ref="P8">XLOOKUP('Results and Rankings'!$A8,'Core Values Input'!$A$2:$A$201,'Core Values Input'!$X$2:$X$201,0,0,)</f>
        <v>#VALUE!</v>
      </c>
      <c r="Q8" s="71" t="str">
        <f t="array" ref="Q8">XLOOKUP('Results and Rankings'!$A8,'Core Values Input'!$A$2:$A$201,'Core Values Input'!$Y$2:$Y$201,0,0,)</f>
        <v>#VALUE!</v>
      </c>
      <c r="R8" s="38"/>
      <c r="S8" s="38"/>
      <c r="T8" s="72"/>
      <c r="U8" s="69" t="str">
        <f t="array" ref="U8">XLOOKUP('Results and Rankings'!$A8,'Core Values Input'!$A$2:$A$201,'Core Values Input'!$U$2:$U$201,0,0,)</f>
        <v>#VALUE!</v>
      </c>
      <c r="V8" s="69" t="str">
        <f t="array" ref="V8">XLOOKUP('Results and Rankings'!$A8,'Innovation Project Input'!$A$2:$A$201,'Innovation Project Input'!$M$2:$M$201,0,0,)</f>
        <v>#VALUE!</v>
      </c>
      <c r="W8" s="69" t="str">
        <f t="array" ref="W8">XLOOKUP('Results and Rankings'!$A8,'Robot Design Input'!$A$2:$A$201,'Robot Design Input'!$M$2:$M$201,0,0,)</f>
        <v>#VALUE!</v>
      </c>
      <c r="X8" s="73">
        <f>IF(ISERR(GEOMEAN('Results and Rankings'!$H8,'Results and Rankings'!$U8,'Results and Rankings'!$V8,'Results and Rankings'!$W8)),0,GEOMEAN('Results and Rankings'!$H8,'Results and Rankings'!$U8,'Results and Rankings'!$V8,'Results and Rankings'!$W8))</f>
        <v>0</v>
      </c>
      <c r="Y8" s="74">
        <f>IF(X8,_xlfn.RANK.EQ(X8,X$3:X$110,0),NumberOfTeams)</f>
        <v>0</v>
      </c>
      <c r="Z8" s="38"/>
    </row>
    <row r="9" ht="21.0" customHeight="1">
      <c r="A9" s="67" t="str">
        <f t="array" ref="A9">XLOOKUP(7,'Team and Program Information'!$B$3:$B$202,'Team and Program Information'!$C$3:$C$202,"ERROR",0)</f>
        <v/>
      </c>
      <c r="B9" s="68" t="str">
        <f t="array" ref="B9">XLOOKUP('Results and Rankings'!$A9,'Team and Program Information'!$C$3:$C$202,'Team and Program Information'!$D$3:$D$202,"",0,)</f>
        <v>#VALUE!</v>
      </c>
      <c r="C9" s="69" t="str">
        <f t="array" ref="C9">IF('Results and Rankings'!$A9="","",XLOOKUP('Results and Rankings'!$A9,'Robot Game Scores'!$B$2:$B$201,'Robot Game Scores'!$D$2:$D$201,0,0,))</f>
        <v/>
      </c>
      <c r="D9" s="69" t="str">
        <f t="array" ref="D9">IF('Results and Rankings'!$A9="","",XLOOKUP('Results and Rankings'!$A9,'Robot Game Scores'!$B$2:$B$201,'Robot Game Scores'!$E$2:$E$201,0,0,))</f>
        <v/>
      </c>
      <c r="E9" s="69" t="str">
        <f t="array" ref="E9">IF('Results and Rankings'!$A9="","",XLOOKUP('Results and Rankings'!$A9,'Robot Game Scores'!$B$2:$B$201,'Robot Game Scores'!$F$2:$F$201,0,0,))</f>
        <v/>
      </c>
      <c r="F9" s="69" t="str">
        <f t="array" ref="F9">IF('Results and Rankings'!$A9="","",XLOOKUP('Results and Rankings'!$A9,'Robot Game Scores'!$B$2:$B$201,'Robot Game Scores'!$G$2:$G$201,0,0,))</f>
        <v/>
      </c>
      <c r="G9" s="69" t="str">
        <f t="array" ref="G9">IF('Results and Rankings'!$A9="","",XLOOKUP('Results and Rankings'!$A9,'Robot Game Scores'!$B$2:$B$201,'Robot Game Scores'!$H$2:$H$201,0,0,))</f>
        <v/>
      </c>
      <c r="H9" s="69" t="str">
        <f>IF('Results and Rankings'!$A9="","",IF(ISNA(LARGE('Results and Rankings'!$C9:$G9,1)+0.0001*LARGE('Results and Rankings'!$C9:$G9,2)+0.0000001*LARGE('Results and Rankings'!$C9:$G9,3)+1E-11*LARGE('Results and Rankings'!$C9:$G9,4)+1E-14*LARGE('Results and Rankings'!$C9:$G9,5)),0,LARGE('Results and Rankings'!$C9:$G9,1)+0.0001*LARGE('Results and Rankings'!$C9:$G9,2)+0.0000001*LARGE('Results and Rankings'!$C9:$G9,3)+1E-11*LARGE('Results and Rankings'!$C9:$G9,4)+1E-14*LARGE('Results and Rankings'!$C9:$G9,5)))</f>
        <v/>
      </c>
      <c r="I9" s="69" t="str">
        <f>IF('Results and Rankings'!$A9="","",_xlfn.RANK.EQ('Results and Rankings'!$H9,'Results and Rankings'!$H$3:$H$202))</f>
        <v/>
      </c>
      <c r="J9" s="69" t="str">
        <f t="array" ref="J9">IF('Results and Rankings'!$A9="","",XLOOKUP('Results and Rankings'!$A9,'Core Values Input'!$A$2:$A$201,'Core Values Input'!$V$2:$V$201,NumberOfTeams+1,0,))</f>
        <v/>
      </c>
      <c r="K9" s="69" t="str">
        <f t="array" ref="K9">IF('Results and Rankings'!$A9="","",XLOOKUP('Results and Rankings'!$A9,'Innovation Project Input'!$A$2:$A$201,'Innovation Project Input'!$N$2:$N$201,NumberOfTeams+1,0,))</f>
        <v/>
      </c>
      <c r="L9" s="69" t="str">
        <f t="array" ref="L9">IF('Results and Rankings'!$A9="","",XLOOKUP('Results and Rankings'!$A9,'Robot Design Input'!$A$2:$A$201,'Robot Design Input'!$N$2:$N$201,NumberOfTeams+1,0,))</f>
        <v/>
      </c>
      <c r="M9" s="69" t="str">
        <f> IF('Results and Rankings'!$A9="","",IF('Results and Rankings'!$J9="",NumberOfTeams+1,'Results and Rankings'!$J9) + IF('Results and Rankings'!$K9="",NumberOfTeams+1,'Results and Rankings'!$K9) + IF('Results and Rankings'!$L9="",NumberOfTeams+1,'Results and Rankings'!$L9) + 'Results and Rankings'!$I9)</f>
        <v/>
      </c>
      <c r="N9" s="70" t="str">
        <f>IF('Results and Rankings'!$A9="","",IF(M9,RANK(M9,M$3:M$202,1)-COUNTIF(M$3:M$202,0),NumberOfTeams+1))</f>
        <v/>
      </c>
      <c r="O9" s="71" t="str">
        <f t="array" ref="O9">XLOOKUP('Results and Rankings'!$A9,'Core Values Input'!$A$2:$A$201,'Core Values Input'!$W$2:$W$201,0,0,)</f>
        <v>#VALUE!</v>
      </c>
      <c r="P9" s="71" t="str">
        <f t="array" ref="P9">XLOOKUP('Results and Rankings'!$A9,'Core Values Input'!$A$2:$A$201,'Core Values Input'!$X$2:$X$201,0,0,)</f>
        <v>#VALUE!</v>
      </c>
      <c r="Q9" s="71" t="str">
        <f t="array" ref="Q9">XLOOKUP('Results and Rankings'!$A9,'Core Values Input'!$A$2:$A$201,'Core Values Input'!$Y$2:$Y$201,0,0,)</f>
        <v>#VALUE!</v>
      </c>
      <c r="R9" s="38"/>
      <c r="S9" s="38"/>
      <c r="T9" s="72"/>
      <c r="U9" s="69" t="str">
        <f t="array" ref="U9">XLOOKUP('Results and Rankings'!$A9,'Core Values Input'!$A$2:$A$201,'Core Values Input'!$U$2:$U$201,0,0,)</f>
        <v>#VALUE!</v>
      </c>
      <c r="V9" s="69" t="str">
        <f t="array" ref="V9">XLOOKUP('Results and Rankings'!$A9,'Innovation Project Input'!$A$2:$A$201,'Innovation Project Input'!$M$2:$M$201,0,0,)</f>
        <v>#VALUE!</v>
      </c>
      <c r="W9" s="69" t="str">
        <f t="array" ref="W9">XLOOKUP('Results and Rankings'!$A9,'Robot Design Input'!$A$2:$A$201,'Robot Design Input'!$M$2:$M$201,0,0,)</f>
        <v>#VALUE!</v>
      </c>
      <c r="X9" s="73">
        <f>IF(ISERR(GEOMEAN('Results and Rankings'!$H9,'Results and Rankings'!$U9,'Results and Rankings'!$V9,'Results and Rankings'!$W9)),0,GEOMEAN('Results and Rankings'!$H9,'Results and Rankings'!$U9,'Results and Rankings'!$V9,'Results and Rankings'!$W9))</f>
        <v>0</v>
      </c>
      <c r="Y9" s="74">
        <f>IF(X9,_xlfn.RANK.EQ(X9,X$3:X$110,0),NumberOfTeams)</f>
        <v>0</v>
      </c>
      <c r="Z9" s="38"/>
    </row>
    <row r="10" ht="21.0" customHeight="1">
      <c r="A10" s="67" t="str">
        <f t="array" ref="A10">XLOOKUP(8,'Team and Program Information'!$B$3:$B$202,'Team and Program Information'!$C$3:$C$202,"ERROR",0)</f>
        <v/>
      </c>
      <c r="B10" s="68" t="str">
        <f t="array" ref="B10">XLOOKUP('Results and Rankings'!$A10,'Team and Program Information'!$C$3:$C$202,'Team and Program Information'!$D$3:$D$202,"",0,)</f>
        <v>#VALUE!</v>
      </c>
      <c r="C10" s="69" t="str">
        <f t="array" ref="C10">IF('Results and Rankings'!$A10="","",XLOOKUP('Results and Rankings'!$A10,'Robot Game Scores'!$B$2:$B$201,'Robot Game Scores'!$D$2:$D$201,0,0,))</f>
        <v/>
      </c>
      <c r="D10" s="69" t="str">
        <f t="array" ref="D10">IF('Results and Rankings'!$A10="","",XLOOKUP('Results and Rankings'!$A10,'Robot Game Scores'!$B$2:$B$201,'Robot Game Scores'!$E$2:$E$201,0,0,))</f>
        <v/>
      </c>
      <c r="E10" s="69" t="str">
        <f t="array" ref="E10">IF('Results and Rankings'!$A10="","",XLOOKUP('Results and Rankings'!$A10,'Robot Game Scores'!$B$2:$B$201,'Robot Game Scores'!$F$2:$F$201,0,0,))</f>
        <v/>
      </c>
      <c r="F10" s="69" t="str">
        <f t="array" ref="F10">IF('Results and Rankings'!$A10="","",XLOOKUP('Results and Rankings'!$A10,'Robot Game Scores'!$B$2:$B$201,'Robot Game Scores'!$G$2:$G$201,0,0,))</f>
        <v/>
      </c>
      <c r="G10" s="69" t="str">
        <f t="array" ref="G10">IF('Results and Rankings'!$A10="","",XLOOKUP('Results and Rankings'!$A10,'Robot Game Scores'!$B$2:$B$201,'Robot Game Scores'!$H$2:$H$201,0,0,))</f>
        <v/>
      </c>
      <c r="H10" s="69" t="str">
        <f>IF('Results and Rankings'!$A10="","",IF(ISNA(LARGE('Results and Rankings'!$C10:$G10,1)+0.0001*LARGE('Results and Rankings'!$C10:$G10,2)+0.0000001*LARGE('Results and Rankings'!$C10:$G10,3)+1E-11*LARGE('Results and Rankings'!$C10:$G10,4)+1E-14*LARGE('Results and Rankings'!$C10:$G10,5)),0,LARGE('Results and Rankings'!$C10:$G10,1)+0.0001*LARGE('Results and Rankings'!$C10:$G10,2)+0.0000001*LARGE('Results and Rankings'!$C10:$G10,3)+1E-11*LARGE('Results and Rankings'!$C10:$G10,4)+1E-14*LARGE('Results and Rankings'!$C10:$G10,5)))</f>
        <v/>
      </c>
      <c r="I10" s="69" t="str">
        <f>IF('Results and Rankings'!$A10="","",_xlfn.RANK.EQ('Results and Rankings'!$H10,'Results and Rankings'!$H$3:$H$202))</f>
        <v/>
      </c>
      <c r="J10" s="69" t="str">
        <f t="array" ref="J10">IF('Results and Rankings'!$A10="","",XLOOKUP('Results and Rankings'!$A10,'Core Values Input'!$A$2:$A$201,'Core Values Input'!$V$2:$V$201,NumberOfTeams+1,0,))</f>
        <v/>
      </c>
      <c r="K10" s="69" t="str">
        <f t="array" ref="K10">IF('Results and Rankings'!$A10="","",XLOOKUP('Results and Rankings'!$A10,'Innovation Project Input'!$A$2:$A$201,'Innovation Project Input'!$N$2:$N$201,NumberOfTeams+1,0,))</f>
        <v/>
      </c>
      <c r="L10" s="69" t="str">
        <f t="array" ref="L10">IF('Results and Rankings'!$A10="","",XLOOKUP('Results and Rankings'!$A10,'Robot Design Input'!$A$2:$A$201,'Robot Design Input'!$N$2:$N$201,NumberOfTeams+1,0,))</f>
        <v/>
      </c>
      <c r="M10" s="69" t="str">
        <f> IF('Results and Rankings'!$A10="","",IF('Results and Rankings'!$J10="",NumberOfTeams+1,'Results and Rankings'!$J10) + IF('Results and Rankings'!$K10="",NumberOfTeams+1,'Results and Rankings'!$K10) + IF('Results and Rankings'!$L10="",NumberOfTeams+1,'Results and Rankings'!$L10) + 'Results and Rankings'!$I10)</f>
        <v/>
      </c>
      <c r="N10" s="70" t="str">
        <f>IF('Results and Rankings'!$A10="","",IF(M10,RANK(M10,M$3:M$202,1)-COUNTIF(M$3:M$202,0),NumberOfTeams+1))</f>
        <v/>
      </c>
      <c r="O10" s="71" t="str">
        <f t="array" ref="O10">XLOOKUP('Results and Rankings'!$A10,'Core Values Input'!$A$2:$A$201,'Core Values Input'!$W$2:$W$201,0,0,)</f>
        <v>#VALUE!</v>
      </c>
      <c r="P10" s="71" t="str">
        <f t="array" ref="P10">XLOOKUP('Results and Rankings'!$A10,'Core Values Input'!$A$2:$A$201,'Core Values Input'!$X$2:$X$201,0,0,)</f>
        <v>#VALUE!</v>
      </c>
      <c r="Q10" s="71" t="str">
        <f t="array" ref="Q10">XLOOKUP('Results and Rankings'!$A10,'Core Values Input'!$A$2:$A$201,'Core Values Input'!$Y$2:$Y$201,0,0,)</f>
        <v>#VALUE!</v>
      </c>
      <c r="R10" s="38"/>
      <c r="S10" s="38"/>
      <c r="T10" s="72"/>
      <c r="U10" s="69" t="str">
        <f t="array" ref="U10">XLOOKUP('Results and Rankings'!$A10,'Core Values Input'!$A$2:$A$201,'Core Values Input'!$U$2:$U$201,0,0,)</f>
        <v>#VALUE!</v>
      </c>
      <c r="V10" s="69" t="str">
        <f t="array" ref="V10">XLOOKUP('Results and Rankings'!$A10,'Innovation Project Input'!$A$2:$A$201,'Innovation Project Input'!$M$2:$M$201,0,0,)</f>
        <v>#VALUE!</v>
      </c>
      <c r="W10" s="69" t="str">
        <f t="array" ref="W10">XLOOKUP('Results and Rankings'!$A10,'Robot Design Input'!$A$2:$A$201,'Robot Design Input'!$M$2:$M$201,0,0,)</f>
        <v>#VALUE!</v>
      </c>
      <c r="X10" s="73">
        <f>IF(ISERR(GEOMEAN('Results and Rankings'!$H10,'Results and Rankings'!$U10,'Results and Rankings'!$V10,'Results and Rankings'!$W10)),0,GEOMEAN('Results and Rankings'!$H10,'Results and Rankings'!$U10,'Results and Rankings'!$V10,'Results and Rankings'!$W10))</f>
        <v>0</v>
      </c>
      <c r="Y10" s="74">
        <f>IF(X10,_xlfn.RANK.EQ(X10,X$3:X$110,0),NumberOfTeams)</f>
        <v>0</v>
      </c>
      <c r="Z10" s="38"/>
    </row>
    <row r="11" ht="21.0" customHeight="1">
      <c r="A11" s="67" t="str">
        <f t="array" ref="A11">XLOOKUP(9,'Team and Program Information'!$B$3:$B$202,'Team and Program Information'!$C$3:$C$202,"ERROR",0)</f>
        <v/>
      </c>
      <c r="B11" s="68" t="str">
        <f t="array" ref="B11">XLOOKUP('Results and Rankings'!$A11,'Team and Program Information'!$C$3:$C$202,'Team and Program Information'!$D$3:$D$202,"",0,)</f>
        <v>#VALUE!</v>
      </c>
      <c r="C11" s="69" t="str">
        <f t="array" ref="C11">IF('Results and Rankings'!$A11="","",XLOOKUP('Results and Rankings'!$A11,'Robot Game Scores'!$B$2:$B$201,'Robot Game Scores'!$D$2:$D$201,0,0,))</f>
        <v/>
      </c>
      <c r="D11" s="69" t="str">
        <f t="array" ref="D11">IF('Results and Rankings'!$A11="","",XLOOKUP('Results and Rankings'!$A11,'Robot Game Scores'!$B$2:$B$201,'Robot Game Scores'!$E$2:$E$201,0,0,))</f>
        <v/>
      </c>
      <c r="E11" s="69" t="str">
        <f t="array" ref="E11">IF('Results and Rankings'!$A11="","",XLOOKUP('Results and Rankings'!$A11,'Robot Game Scores'!$B$2:$B$201,'Robot Game Scores'!$F$2:$F$201,0,0,))</f>
        <v/>
      </c>
      <c r="F11" s="69" t="str">
        <f t="array" ref="F11">IF('Results and Rankings'!$A11="","",XLOOKUP('Results and Rankings'!$A11,'Robot Game Scores'!$B$2:$B$201,'Robot Game Scores'!$G$2:$G$201,0,0,))</f>
        <v/>
      </c>
      <c r="G11" s="69" t="str">
        <f t="array" ref="G11">IF('Results and Rankings'!$A11="","",XLOOKUP('Results and Rankings'!$A11,'Robot Game Scores'!$B$2:$B$201,'Robot Game Scores'!$H$2:$H$201,0,0,))</f>
        <v/>
      </c>
      <c r="H11" s="69" t="str">
        <f>IF('Results and Rankings'!$A11="","",IF(ISNA(LARGE('Results and Rankings'!$C11:$G11,1)+0.0001*LARGE('Results and Rankings'!$C11:$G11,2)+0.0000001*LARGE('Results and Rankings'!$C11:$G11,3)+1E-11*LARGE('Results and Rankings'!$C11:$G11,4)+1E-14*LARGE('Results and Rankings'!$C11:$G11,5)),0,LARGE('Results and Rankings'!$C11:$G11,1)+0.0001*LARGE('Results and Rankings'!$C11:$G11,2)+0.0000001*LARGE('Results and Rankings'!$C11:$G11,3)+1E-11*LARGE('Results and Rankings'!$C11:$G11,4)+1E-14*LARGE('Results and Rankings'!$C11:$G11,5)))</f>
        <v/>
      </c>
      <c r="I11" s="69" t="str">
        <f>IF('Results and Rankings'!$A11="","",_xlfn.RANK.EQ('Results and Rankings'!$H11,'Results and Rankings'!$H$3:$H$202))</f>
        <v/>
      </c>
      <c r="J11" s="69" t="str">
        <f t="array" ref="J11">IF('Results and Rankings'!$A11="","",XLOOKUP('Results and Rankings'!$A11,'Core Values Input'!$A$2:$A$201,'Core Values Input'!$V$2:$V$201,NumberOfTeams+1,0,))</f>
        <v/>
      </c>
      <c r="K11" s="69" t="str">
        <f t="array" ref="K11">IF('Results and Rankings'!$A11="","",XLOOKUP('Results and Rankings'!$A11,'Innovation Project Input'!$A$2:$A$201,'Innovation Project Input'!$N$2:$N$201,NumberOfTeams+1,0,))</f>
        <v/>
      </c>
      <c r="L11" s="69" t="str">
        <f t="array" ref="L11">IF('Results and Rankings'!$A11="","",XLOOKUP('Results and Rankings'!$A11,'Robot Design Input'!$A$2:$A$201,'Robot Design Input'!$N$2:$N$201,NumberOfTeams+1,0,))</f>
        <v/>
      </c>
      <c r="M11" s="69" t="str">
        <f> IF('Results and Rankings'!$A11="","",IF('Results and Rankings'!$J11="",NumberOfTeams+1,'Results and Rankings'!$J11) + IF('Results and Rankings'!$K11="",NumberOfTeams+1,'Results and Rankings'!$K11) + IF('Results and Rankings'!$L11="",NumberOfTeams+1,'Results and Rankings'!$L11) + 'Results and Rankings'!$I11)</f>
        <v/>
      </c>
      <c r="N11" s="70" t="str">
        <f>IF('Results and Rankings'!$A11="","",IF(M11,RANK(M11,M$3:M$202,1)-COUNTIF(M$3:M$202,0),NumberOfTeams+1))</f>
        <v/>
      </c>
      <c r="O11" s="71" t="str">
        <f t="array" ref="O11">XLOOKUP('Results and Rankings'!$A11,'Core Values Input'!$A$2:$A$201,'Core Values Input'!$W$2:$W$201,0,0,)</f>
        <v>#VALUE!</v>
      </c>
      <c r="P11" s="71" t="str">
        <f t="array" ref="P11">XLOOKUP('Results and Rankings'!$A11,'Core Values Input'!$A$2:$A$201,'Core Values Input'!$X$2:$X$201,0,0,)</f>
        <v>#VALUE!</v>
      </c>
      <c r="Q11" s="71" t="str">
        <f t="array" ref="Q11">XLOOKUP('Results and Rankings'!$A11,'Core Values Input'!$A$2:$A$201,'Core Values Input'!$Y$2:$Y$201,0,0,)</f>
        <v>#VALUE!</v>
      </c>
      <c r="R11" s="38"/>
      <c r="S11" s="38"/>
      <c r="T11" s="72"/>
      <c r="U11" s="69" t="str">
        <f t="array" ref="U11">XLOOKUP('Results and Rankings'!$A11,'Core Values Input'!$A$2:$A$201,'Core Values Input'!$U$2:$U$201,0,0,)</f>
        <v>#VALUE!</v>
      </c>
      <c r="V11" s="69" t="str">
        <f t="array" ref="V11">XLOOKUP('Results and Rankings'!$A11,'Innovation Project Input'!$A$2:$A$201,'Innovation Project Input'!$M$2:$M$201,0,0,)</f>
        <v>#VALUE!</v>
      </c>
      <c r="W11" s="69" t="str">
        <f t="array" ref="W11">XLOOKUP('Results and Rankings'!$A11,'Robot Design Input'!$A$2:$A$201,'Robot Design Input'!$M$2:$M$201,0,0,)</f>
        <v>#VALUE!</v>
      </c>
      <c r="X11" s="73">
        <f>IF(ISERR(GEOMEAN('Results and Rankings'!$H11,'Results and Rankings'!$U11,'Results and Rankings'!$V11,'Results and Rankings'!$W11)),0,GEOMEAN('Results and Rankings'!$H11,'Results and Rankings'!$U11,'Results and Rankings'!$V11,'Results and Rankings'!$W11))</f>
        <v>0</v>
      </c>
      <c r="Y11" s="74">
        <f>IF(X11,_xlfn.RANK.EQ(X11,X$3:X$110,0),NumberOfTeams)</f>
        <v>0</v>
      </c>
      <c r="Z11" s="38"/>
    </row>
    <row r="12" ht="21.0" customHeight="1">
      <c r="A12" s="67" t="str">
        <f t="array" ref="A12">XLOOKUP(10,'Team and Program Information'!$B$3:$B$202,'Team and Program Information'!$C$3:$C$202,"ERROR",0)</f>
        <v/>
      </c>
      <c r="B12" s="68" t="str">
        <f t="array" ref="B12">XLOOKUP('Results and Rankings'!$A12,'Team and Program Information'!$C$3:$C$202,'Team and Program Information'!$D$3:$D$202,"",0,)</f>
        <v>#VALUE!</v>
      </c>
      <c r="C12" s="69" t="str">
        <f t="array" ref="C12">IF('Results and Rankings'!$A12="","",XLOOKUP('Results and Rankings'!$A12,'Robot Game Scores'!$B$2:$B$201,'Robot Game Scores'!$D$2:$D$201,0,0,))</f>
        <v/>
      </c>
      <c r="D12" s="69" t="str">
        <f t="array" ref="D12">IF('Results and Rankings'!$A12="","",XLOOKUP('Results and Rankings'!$A12,'Robot Game Scores'!$B$2:$B$201,'Robot Game Scores'!$E$2:$E$201,0,0,))</f>
        <v/>
      </c>
      <c r="E12" s="69" t="str">
        <f t="array" ref="E12">IF('Results and Rankings'!$A12="","",XLOOKUP('Results and Rankings'!$A12,'Robot Game Scores'!$B$2:$B$201,'Robot Game Scores'!$F$2:$F$201,0,0,))</f>
        <v/>
      </c>
      <c r="F12" s="69" t="str">
        <f t="array" ref="F12">IF('Results and Rankings'!$A12="","",XLOOKUP('Results and Rankings'!$A12,'Robot Game Scores'!$B$2:$B$201,'Robot Game Scores'!$G$2:$G$201,0,0,))</f>
        <v/>
      </c>
      <c r="G12" s="69" t="str">
        <f t="array" ref="G12">IF('Results and Rankings'!$A12="","",XLOOKUP('Results and Rankings'!$A12,'Robot Game Scores'!$B$2:$B$201,'Robot Game Scores'!$H$2:$H$201,0,0,))</f>
        <v/>
      </c>
      <c r="H12" s="69" t="str">
        <f>IF('Results and Rankings'!$A12="","",IF(ISNA(LARGE('Results and Rankings'!$C12:$G12,1)+0.0001*LARGE('Results and Rankings'!$C12:$G12,2)+0.0000001*LARGE('Results and Rankings'!$C12:$G12,3)+1E-11*LARGE('Results and Rankings'!$C12:$G12,4)+1E-14*LARGE('Results and Rankings'!$C12:$G12,5)),0,LARGE('Results and Rankings'!$C12:$G12,1)+0.0001*LARGE('Results and Rankings'!$C12:$G12,2)+0.0000001*LARGE('Results and Rankings'!$C12:$G12,3)+1E-11*LARGE('Results and Rankings'!$C12:$G12,4)+1E-14*LARGE('Results and Rankings'!$C12:$G12,5)))</f>
        <v/>
      </c>
      <c r="I12" s="69" t="str">
        <f>IF('Results and Rankings'!$A12="","",_xlfn.RANK.EQ('Results and Rankings'!$H12,'Results and Rankings'!$H$3:$H$202))</f>
        <v/>
      </c>
      <c r="J12" s="69" t="str">
        <f t="array" ref="J12">IF('Results and Rankings'!$A12="","",XLOOKUP('Results and Rankings'!$A12,'Core Values Input'!$A$2:$A$201,'Core Values Input'!$V$2:$V$201,NumberOfTeams+1,0,))</f>
        <v/>
      </c>
      <c r="K12" s="69" t="str">
        <f t="array" ref="K12">IF('Results and Rankings'!$A12="","",XLOOKUP('Results and Rankings'!$A12,'Innovation Project Input'!$A$2:$A$201,'Innovation Project Input'!$N$2:$N$201,NumberOfTeams+1,0,))</f>
        <v/>
      </c>
      <c r="L12" s="69" t="str">
        <f t="array" ref="L12">IF('Results and Rankings'!$A12="","",XLOOKUP('Results and Rankings'!$A12,'Robot Design Input'!$A$2:$A$201,'Robot Design Input'!$N$2:$N$201,NumberOfTeams+1,0,))</f>
        <v/>
      </c>
      <c r="M12" s="69" t="str">
        <f> IF('Results and Rankings'!$A12="","",IF('Results and Rankings'!$J12="",NumberOfTeams+1,'Results and Rankings'!$J12) + IF('Results and Rankings'!$K12="",NumberOfTeams+1,'Results and Rankings'!$K12) + IF('Results and Rankings'!$L12="",NumberOfTeams+1,'Results and Rankings'!$L12) + 'Results and Rankings'!$I12)</f>
        <v/>
      </c>
      <c r="N12" s="70" t="str">
        <f>IF('Results and Rankings'!$A12="","",IF(M12,RANK(M12,M$3:M$202,1)-COUNTIF(M$3:M$202,0),NumberOfTeams+1))</f>
        <v/>
      </c>
      <c r="O12" s="71" t="str">
        <f t="array" ref="O12">XLOOKUP('Results and Rankings'!$A12,'Core Values Input'!$A$2:$A$201,'Core Values Input'!$W$2:$W$201,0,0,)</f>
        <v>#VALUE!</v>
      </c>
      <c r="P12" s="71" t="str">
        <f t="array" ref="P12">XLOOKUP('Results and Rankings'!$A12,'Core Values Input'!$A$2:$A$201,'Core Values Input'!$X$2:$X$201,0,0,)</f>
        <v>#VALUE!</v>
      </c>
      <c r="Q12" s="71" t="str">
        <f t="array" ref="Q12">XLOOKUP('Results and Rankings'!$A12,'Core Values Input'!$A$2:$A$201,'Core Values Input'!$Y$2:$Y$201,0,0,)</f>
        <v>#VALUE!</v>
      </c>
      <c r="R12" s="38"/>
      <c r="S12" s="38"/>
      <c r="T12" s="72"/>
      <c r="U12" s="69" t="str">
        <f t="array" ref="U12">XLOOKUP('Results and Rankings'!$A12,'Core Values Input'!$A$2:$A$201,'Core Values Input'!$U$2:$U$201,0,0,)</f>
        <v>#VALUE!</v>
      </c>
      <c r="V12" s="69" t="str">
        <f t="array" ref="V12">XLOOKUP('Results and Rankings'!$A12,'Innovation Project Input'!$A$2:$A$201,'Innovation Project Input'!$M$2:$M$201,0,0,)</f>
        <v>#VALUE!</v>
      </c>
      <c r="W12" s="69" t="str">
        <f t="array" ref="W12">XLOOKUP('Results and Rankings'!$A12,'Robot Design Input'!$A$2:$A$201,'Robot Design Input'!$M$2:$M$201,0,0,)</f>
        <v>#VALUE!</v>
      </c>
      <c r="X12" s="73">
        <f>IF(ISERR(GEOMEAN('Results and Rankings'!$H12,'Results and Rankings'!$U12,'Results and Rankings'!$V12,'Results and Rankings'!$W12)),0,GEOMEAN('Results and Rankings'!$H12,'Results and Rankings'!$U12,'Results and Rankings'!$V12,'Results and Rankings'!$W12))</f>
        <v>0</v>
      </c>
      <c r="Y12" s="74">
        <f>IF(X12,_xlfn.RANK.EQ(X12,X$3:X$110,0),NumberOfTeams)</f>
        <v>0</v>
      </c>
      <c r="Z12" s="38"/>
    </row>
    <row r="13" ht="21.0" customHeight="1">
      <c r="A13" s="67" t="str">
        <f t="array" ref="A13">XLOOKUP(11,'Team and Program Information'!$B$3:$B$202,'Team and Program Information'!$C$3:$C$202,"ERROR",0)</f>
        <v/>
      </c>
      <c r="B13" s="68" t="str">
        <f t="array" ref="B13">XLOOKUP('Results and Rankings'!$A13,'Team and Program Information'!$C$3:$C$202,'Team and Program Information'!$D$3:$D$202,"",0,)</f>
        <v>#VALUE!</v>
      </c>
      <c r="C13" s="69" t="str">
        <f t="array" ref="C13">IF('Results and Rankings'!$A13="","",XLOOKUP('Results and Rankings'!$A13,'Robot Game Scores'!$B$2:$B$201,'Robot Game Scores'!$D$2:$D$201,0,0,))</f>
        <v/>
      </c>
      <c r="D13" s="69" t="str">
        <f t="array" ref="D13">IF('Results and Rankings'!$A13="","",XLOOKUP('Results and Rankings'!$A13,'Robot Game Scores'!$B$2:$B$201,'Robot Game Scores'!$E$2:$E$201,0,0,))</f>
        <v/>
      </c>
      <c r="E13" s="69" t="str">
        <f t="array" ref="E13">IF('Results and Rankings'!$A13="","",XLOOKUP('Results and Rankings'!$A13,'Robot Game Scores'!$B$2:$B$201,'Robot Game Scores'!$F$2:$F$201,0,0,))</f>
        <v/>
      </c>
      <c r="F13" s="69" t="str">
        <f t="array" ref="F13">IF('Results and Rankings'!$A13="","",XLOOKUP('Results and Rankings'!$A13,'Robot Game Scores'!$B$2:$B$201,'Robot Game Scores'!$G$2:$G$201,0,0,))</f>
        <v/>
      </c>
      <c r="G13" s="69" t="str">
        <f t="array" ref="G13">IF('Results and Rankings'!$A13="","",XLOOKUP('Results and Rankings'!$A13,'Robot Game Scores'!$B$2:$B$201,'Robot Game Scores'!$H$2:$H$201,0,0,))</f>
        <v/>
      </c>
      <c r="H13" s="69" t="str">
        <f>IF('Results and Rankings'!$A13="","",IF(ISNA(LARGE('Results and Rankings'!$C13:$G13,1)+0.0001*LARGE('Results and Rankings'!$C13:$G13,2)+0.0000001*LARGE('Results and Rankings'!$C13:$G13,3)+1E-11*LARGE('Results and Rankings'!$C13:$G13,4)+1E-14*LARGE('Results and Rankings'!$C13:$G13,5)),0,LARGE('Results and Rankings'!$C13:$G13,1)+0.0001*LARGE('Results and Rankings'!$C13:$G13,2)+0.0000001*LARGE('Results and Rankings'!$C13:$G13,3)+1E-11*LARGE('Results and Rankings'!$C13:$G13,4)+1E-14*LARGE('Results and Rankings'!$C13:$G13,5)))</f>
        <v/>
      </c>
      <c r="I13" s="69" t="str">
        <f>IF('Results and Rankings'!$A13="","",_xlfn.RANK.EQ('Results and Rankings'!$H13,'Results and Rankings'!$H$3:$H$202))</f>
        <v/>
      </c>
      <c r="J13" s="69" t="str">
        <f t="array" ref="J13">IF('Results and Rankings'!$A13="","",XLOOKUP('Results and Rankings'!$A13,'Core Values Input'!$A$2:$A$201,'Core Values Input'!$V$2:$V$201,NumberOfTeams+1,0,))</f>
        <v/>
      </c>
      <c r="K13" s="69" t="str">
        <f t="array" ref="K13">IF('Results and Rankings'!$A13="","",XLOOKUP('Results and Rankings'!$A13,'Innovation Project Input'!$A$2:$A$201,'Innovation Project Input'!$N$2:$N$201,NumberOfTeams+1,0,))</f>
        <v/>
      </c>
      <c r="L13" s="69" t="str">
        <f t="array" ref="L13">IF('Results and Rankings'!$A13="","",XLOOKUP('Results and Rankings'!$A13,'Robot Design Input'!$A$2:$A$201,'Robot Design Input'!$N$2:$N$201,NumberOfTeams+1,0,))</f>
        <v/>
      </c>
      <c r="M13" s="69" t="str">
        <f> IF('Results and Rankings'!$A13="","",IF('Results and Rankings'!$J13="",NumberOfTeams+1,'Results and Rankings'!$J13) + IF('Results and Rankings'!$K13="",NumberOfTeams+1,'Results and Rankings'!$K13) + IF('Results and Rankings'!$L13="",NumberOfTeams+1,'Results and Rankings'!$L13) + 'Results and Rankings'!$I13)</f>
        <v/>
      </c>
      <c r="N13" s="70" t="str">
        <f>IF('Results and Rankings'!$A13="","",IF(M13,RANK(M13,M$3:M$202,1)-COUNTIF(M$3:M$202,0),NumberOfTeams+1))</f>
        <v/>
      </c>
      <c r="O13" s="71" t="str">
        <f t="array" ref="O13">XLOOKUP('Results and Rankings'!$A13,'Core Values Input'!$A$2:$A$201,'Core Values Input'!$W$2:$W$201,0,0,)</f>
        <v>#VALUE!</v>
      </c>
      <c r="P13" s="71" t="str">
        <f t="array" ref="P13">XLOOKUP('Results and Rankings'!$A13,'Core Values Input'!$A$2:$A$201,'Core Values Input'!$X$2:$X$201,0,0,)</f>
        <v>#VALUE!</v>
      </c>
      <c r="Q13" s="71" t="str">
        <f t="array" ref="Q13">XLOOKUP('Results and Rankings'!$A13,'Core Values Input'!$A$2:$A$201,'Core Values Input'!$Y$2:$Y$201,0,0,)</f>
        <v>#VALUE!</v>
      </c>
      <c r="R13" s="38"/>
      <c r="S13" s="38"/>
      <c r="T13" s="72"/>
      <c r="U13" s="69" t="str">
        <f t="array" ref="U13">XLOOKUP('Results and Rankings'!$A13,'Core Values Input'!$A$2:$A$201,'Core Values Input'!$U$2:$U$201,0,0,)</f>
        <v>#VALUE!</v>
      </c>
      <c r="V13" s="69" t="str">
        <f t="array" ref="V13">XLOOKUP('Results and Rankings'!$A13,'Innovation Project Input'!$A$2:$A$201,'Innovation Project Input'!$M$2:$M$201,0,0,)</f>
        <v>#VALUE!</v>
      </c>
      <c r="W13" s="69" t="str">
        <f t="array" ref="W13">XLOOKUP('Results and Rankings'!$A13,'Robot Design Input'!$A$2:$A$201,'Robot Design Input'!$M$2:$M$201,0,0,)</f>
        <v>#VALUE!</v>
      </c>
      <c r="X13" s="73">
        <f>IF(ISERR(GEOMEAN('Results and Rankings'!$H13,'Results and Rankings'!$U13,'Results and Rankings'!$V13,'Results and Rankings'!$W13)),0,GEOMEAN('Results and Rankings'!$H13,'Results and Rankings'!$U13,'Results and Rankings'!$V13,'Results and Rankings'!$W13))</f>
        <v>0</v>
      </c>
      <c r="Y13" s="74">
        <f>IF(X13,_xlfn.RANK.EQ(X13,X$3:X$110,0),NumberOfTeams)</f>
        <v>0</v>
      </c>
      <c r="Z13" s="38"/>
    </row>
    <row r="14" ht="21.0" customHeight="1">
      <c r="A14" s="67" t="str">
        <f t="array" ref="A14">XLOOKUP(12,'Team and Program Information'!$B$3:$B$202,'Team and Program Information'!$C$3:$C$202,"ERROR",0)</f>
        <v/>
      </c>
      <c r="B14" s="68" t="str">
        <f t="array" ref="B14">XLOOKUP('Results and Rankings'!$A14,'Team and Program Information'!$C$3:$C$202,'Team and Program Information'!$D$3:$D$202,"",0,)</f>
        <v>#VALUE!</v>
      </c>
      <c r="C14" s="69" t="str">
        <f t="array" ref="C14">IF('Results and Rankings'!$A14="","",XLOOKUP('Results and Rankings'!$A14,'Robot Game Scores'!$B$2:$B$201,'Robot Game Scores'!$D$2:$D$201,0,0,))</f>
        <v/>
      </c>
      <c r="D14" s="69" t="str">
        <f t="array" ref="D14">IF('Results and Rankings'!$A14="","",XLOOKUP('Results and Rankings'!$A14,'Robot Game Scores'!$B$2:$B$201,'Robot Game Scores'!$E$2:$E$201,0,0,))</f>
        <v/>
      </c>
      <c r="E14" s="69" t="str">
        <f t="array" ref="E14">IF('Results and Rankings'!$A14="","",XLOOKUP('Results and Rankings'!$A14,'Robot Game Scores'!$B$2:$B$201,'Robot Game Scores'!$F$2:$F$201,0,0,))</f>
        <v/>
      </c>
      <c r="F14" s="69" t="str">
        <f t="array" ref="F14">IF('Results and Rankings'!$A14="","",XLOOKUP('Results and Rankings'!$A14,'Robot Game Scores'!$B$2:$B$201,'Robot Game Scores'!$G$2:$G$201,0,0,))</f>
        <v/>
      </c>
      <c r="G14" s="69" t="str">
        <f t="array" ref="G14">IF('Results and Rankings'!$A14="","",XLOOKUP('Results and Rankings'!$A14,'Robot Game Scores'!$B$2:$B$201,'Robot Game Scores'!$H$2:$H$201,0,0,))</f>
        <v/>
      </c>
      <c r="H14" s="69" t="str">
        <f>IF('Results and Rankings'!$A14="","",IF(ISNA(LARGE('Results and Rankings'!$C14:$G14,1)+0.0001*LARGE('Results and Rankings'!$C14:$G14,2)+0.0000001*LARGE('Results and Rankings'!$C14:$G14,3)+1E-11*LARGE('Results and Rankings'!$C14:$G14,4)+1E-14*LARGE('Results and Rankings'!$C14:$G14,5)),0,LARGE('Results and Rankings'!$C14:$G14,1)+0.0001*LARGE('Results and Rankings'!$C14:$G14,2)+0.0000001*LARGE('Results and Rankings'!$C14:$G14,3)+1E-11*LARGE('Results and Rankings'!$C14:$G14,4)+1E-14*LARGE('Results and Rankings'!$C14:$G14,5)))</f>
        <v/>
      </c>
      <c r="I14" s="69" t="str">
        <f>IF('Results and Rankings'!$A14="","",_xlfn.RANK.EQ('Results and Rankings'!$H14,'Results and Rankings'!$H$3:$H$202))</f>
        <v/>
      </c>
      <c r="J14" s="69" t="str">
        <f t="array" ref="J14">IF('Results and Rankings'!$A14="","",XLOOKUP('Results and Rankings'!$A14,'Core Values Input'!$A$2:$A$201,'Core Values Input'!$V$2:$V$201,NumberOfTeams+1,0,))</f>
        <v/>
      </c>
      <c r="K14" s="69" t="str">
        <f t="array" ref="K14">IF('Results and Rankings'!$A14="","",XLOOKUP('Results and Rankings'!$A14,'Innovation Project Input'!$A$2:$A$201,'Innovation Project Input'!$N$2:$N$201,NumberOfTeams+1,0,))</f>
        <v/>
      </c>
      <c r="L14" s="69" t="str">
        <f t="array" ref="L14">IF('Results and Rankings'!$A14="","",XLOOKUP('Results and Rankings'!$A14,'Robot Design Input'!$A$2:$A$201,'Robot Design Input'!$N$2:$N$201,NumberOfTeams+1,0,))</f>
        <v/>
      </c>
      <c r="M14" s="69" t="str">
        <f> IF('Results and Rankings'!$A14="","",IF('Results and Rankings'!$J14="",NumberOfTeams+1,'Results and Rankings'!$J14) + IF('Results and Rankings'!$K14="",NumberOfTeams+1,'Results and Rankings'!$K14) + IF('Results and Rankings'!$L14="",NumberOfTeams+1,'Results and Rankings'!$L14) + 'Results and Rankings'!$I14)</f>
        <v/>
      </c>
      <c r="N14" s="70" t="str">
        <f>IF('Results and Rankings'!$A14="","",IF(M14,RANK(M14,M$3:M$202,1)-COUNTIF(M$3:M$202,0),NumberOfTeams+1))</f>
        <v/>
      </c>
      <c r="O14" s="71" t="str">
        <f t="array" ref="O14">XLOOKUP('Results and Rankings'!$A14,'Core Values Input'!$A$2:$A$201,'Core Values Input'!$W$2:$W$201,0,0,)</f>
        <v>#VALUE!</v>
      </c>
      <c r="P14" s="71" t="str">
        <f t="array" ref="P14">XLOOKUP('Results and Rankings'!$A14,'Core Values Input'!$A$2:$A$201,'Core Values Input'!$X$2:$X$201,0,0,)</f>
        <v>#VALUE!</v>
      </c>
      <c r="Q14" s="71" t="str">
        <f t="array" ref="Q14">XLOOKUP('Results and Rankings'!$A14,'Core Values Input'!$A$2:$A$201,'Core Values Input'!$Y$2:$Y$201,0,0,)</f>
        <v>#VALUE!</v>
      </c>
      <c r="R14" s="38"/>
      <c r="S14" s="38"/>
      <c r="T14" s="72"/>
      <c r="U14" s="69" t="str">
        <f t="array" ref="U14">XLOOKUP('Results and Rankings'!$A14,'Core Values Input'!$A$2:$A$201,'Core Values Input'!$U$2:$U$201,0,0,)</f>
        <v>#VALUE!</v>
      </c>
      <c r="V14" s="69" t="str">
        <f t="array" ref="V14">XLOOKUP('Results and Rankings'!$A14,'Innovation Project Input'!$A$2:$A$201,'Innovation Project Input'!$M$2:$M$201,0,0,)</f>
        <v>#VALUE!</v>
      </c>
      <c r="W14" s="69" t="str">
        <f t="array" ref="W14">XLOOKUP('Results and Rankings'!$A14,'Robot Design Input'!$A$2:$A$201,'Robot Design Input'!$M$2:$M$201,0,0,)</f>
        <v>#VALUE!</v>
      </c>
      <c r="X14" s="73">
        <f>IF(ISERR(GEOMEAN('Results and Rankings'!$H14,'Results and Rankings'!$U14,'Results and Rankings'!$V14,'Results and Rankings'!$W14)),0,GEOMEAN('Results and Rankings'!$H14,'Results and Rankings'!$U14,'Results and Rankings'!$V14,'Results and Rankings'!$W14))</f>
        <v>0</v>
      </c>
      <c r="Y14" s="74">
        <f>IF(X14,_xlfn.RANK.EQ(X14,X$3:X$110,0),NumberOfTeams)</f>
        <v>0</v>
      </c>
      <c r="Z14" s="38"/>
    </row>
    <row r="15" ht="21.0" customHeight="1">
      <c r="A15" s="67" t="str">
        <f t="array" ref="A15">XLOOKUP(13,'Team and Program Information'!$B$3:$B$202,'Team and Program Information'!$C$3:$C$202,"ERROR",0)</f>
        <v/>
      </c>
      <c r="B15" s="68" t="str">
        <f t="array" ref="B15">XLOOKUP('Results and Rankings'!$A15,'Team and Program Information'!$C$3:$C$202,'Team and Program Information'!$D$3:$D$202,"",0,)</f>
        <v>#VALUE!</v>
      </c>
      <c r="C15" s="69" t="str">
        <f t="array" ref="C15">IF('Results and Rankings'!$A15="","",XLOOKUP('Results and Rankings'!$A15,'Robot Game Scores'!$B$2:$B$201,'Robot Game Scores'!$D$2:$D$201,0,0,))</f>
        <v/>
      </c>
      <c r="D15" s="69" t="str">
        <f t="array" ref="D15">IF('Results and Rankings'!$A15="","",XLOOKUP('Results and Rankings'!$A15,'Robot Game Scores'!$B$2:$B$201,'Robot Game Scores'!$E$2:$E$201,0,0,))</f>
        <v/>
      </c>
      <c r="E15" s="69" t="str">
        <f t="array" ref="E15">IF('Results and Rankings'!$A15="","",XLOOKUP('Results and Rankings'!$A15,'Robot Game Scores'!$B$2:$B$201,'Robot Game Scores'!$F$2:$F$201,0,0,))</f>
        <v/>
      </c>
      <c r="F15" s="69" t="str">
        <f t="array" ref="F15">IF('Results and Rankings'!$A15="","",XLOOKUP('Results and Rankings'!$A15,'Robot Game Scores'!$B$2:$B$201,'Robot Game Scores'!$G$2:$G$201,0,0,))</f>
        <v/>
      </c>
      <c r="G15" s="69" t="str">
        <f t="array" ref="G15">IF('Results and Rankings'!$A15="","",XLOOKUP('Results and Rankings'!$A15,'Robot Game Scores'!$B$2:$B$201,'Robot Game Scores'!$H$2:$H$201,0,0,))</f>
        <v/>
      </c>
      <c r="H15" s="69" t="str">
        <f>IF('Results and Rankings'!$A15="","",IF(ISNA(LARGE('Results and Rankings'!$C15:$G15,1)+0.0001*LARGE('Results and Rankings'!$C15:$G15,2)+0.0000001*LARGE('Results and Rankings'!$C15:$G15,3)+1E-11*LARGE('Results and Rankings'!$C15:$G15,4)+1E-14*LARGE('Results and Rankings'!$C15:$G15,5)),0,LARGE('Results and Rankings'!$C15:$G15,1)+0.0001*LARGE('Results and Rankings'!$C15:$G15,2)+0.0000001*LARGE('Results and Rankings'!$C15:$G15,3)+1E-11*LARGE('Results and Rankings'!$C15:$G15,4)+1E-14*LARGE('Results and Rankings'!$C15:$G15,5)))</f>
        <v/>
      </c>
      <c r="I15" s="69" t="str">
        <f>IF('Results and Rankings'!$A15="","",_xlfn.RANK.EQ('Results and Rankings'!$H15,'Results and Rankings'!$H$3:$H$202))</f>
        <v/>
      </c>
      <c r="J15" s="69" t="str">
        <f t="array" ref="J15">IF('Results and Rankings'!$A15="","",XLOOKUP('Results and Rankings'!$A15,'Core Values Input'!$A$2:$A$201,'Core Values Input'!$V$2:$V$201,NumberOfTeams+1,0,))</f>
        <v/>
      </c>
      <c r="K15" s="69" t="str">
        <f t="array" ref="K15">IF('Results and Rankings'!$A15="","",XLOOKUP('Results and Rankings'!$A15,'Innovation Project Input'!$A$2:$A$201,'Innovation Project Input'!$N$2:$N$201,NumberOfTeams+1,0,))</f>
        <v/>
      </c>
      <c r="L15" s="69" t="str">
        <f t="array" ref="L15">IF('Results and Rankings'!$A15="","",XLOOKUP('Results and Rankings'!$A15,'Robot Design Input'!$A$2:$A$201,'Robot Design Input'!$N$2:$N$201,NumberOfTeams+1,0,))</f>
        <v/>
      </c>
      <c r="M15" s="69" t="str">
        <f> IF('Results and Rankings'!$A15="","",IF('Results and Rankings'!$J15="",NumberOfTeams+1,'Results and Rankings'!$J15) + IF('Results and Rankings'!$K15="",NumberOfTeams+1,'Results and Rankings'!$K15) + IF('Results and Rankings'!$L15="",NumberOfTeams+1,'Results and Rankings'!$L15) + 'Results and Rankings'!$I15)</f>
        <v/>
      </c>
      <c r="N15" s="70" t="str">
        <f>IF('Results and Rankings'!$A15="","",IF(M15,RANK(M15,M$3:M$202,1)-COUNTIF(M$3:M$202,0),NumberOfTeams+1))</f>
        <v/>
      </c>
      <c r="O15" s="72" t="str">
        <f t="array" ref="O15">XLOOKUP('Results and Rankings'!$A15,'Core Values Input'!$A$2:$A$201,'Core Values Input'!$W$2:$W$201,0,0,)</f>
        <v>#VALUE!</v>
      </c>
      <c r="P15" s="72" t="str">
        <f t="array" ref="P15">XLOOKUP('Results and Rankings'!$A15,'Core Values Input'!$A$2:$A$201,'Core Values Input'!$X$2:$X$201,0,0,)</f>
        <v>#VALUE!</v>
      </c>
      <c r="Q15" s="72" t="str">
        <f t="array" ref="Q15">XLOOKUP('Results and Rankings'!$A15,'Core Values Input'!$A$2:$A$201,'Core Values Input'!$Y$2:$Y$201,0,0,)</f>
        <v>#VALUE!</v>
      </c>
      <c r="R15" s="38"/>
      <c r="S15" s="38"/>
      <c r="T15" s="72"/>
      <c r="U15" s="69" t="str">
        <f t="array" ref="U15">XLOOKUP('Results and Rankings'!$A15,'Core Values Input'!$A$2:$A$201,'Core Values Input'!$U$2:$U$201,0,0,)</f>
        <v>#VALUE!</v>
      </c>
      <c r="V15" s="69" t="str">
        <f t="array" ref="V15">XLOOKUP('Results and Rankings'!$A15,'Innovation Project Input'!$A$2:$A$201,'Innovation Project Input'!$M$2:$M$201,0,0,)</f>
        <v>#VALUE!</v>
      </c>
      <c r="W15" s="69" t="str">
        <f t="array" ref="W15">XLOOKUP('Results and Rankings'!$A15,'Robot Design Input'!$A$2:$A$201,'Robot Design Input'!$M$2:$M$201,0,0,)</f>
        <v>#VALUE!</v>
      </c>
      <c r="X15" s="73">
        <f>IF(ISERR(GEOMEAN('Results and Rankings'!$H15,'Results and Rankings'!$U15,'Results and Rankings'!$V15,'Results and Rankings'!$W15)),0,GEOMEAN('Results and Rankings'!$H15,'Results and Rankings'!$U15,'Results and Rankings'!$V15,'Results and Rankings'!$W15))</f>
        <v>0</v>
      </c>
      <c r="Y15" s="74">
        <f>IF(X15,_xlfn.RANK.EQ(X15,X$3:X$110,0),NumberOfTeams)</f>
        <v>0</v>
      </c>
      <c r="Z15" s="38"/>
    </row>
    <row r="16" ht="21.0" customHeight="1">
      <c r="A16" s="67" t="str">
        <f t="array" ref="A16">XLOOKUP(14,'Team and Program Information'!$B$3:$B$202,'Team and Program Information'!$C$3:$C$202,"ERROR",0)</f>
        <v/>
      </c>
      <c r="B16" s="68" t="str">
        <f t="array" ref="B16">XLOOKUP('Results and Rankings'!$A16,'Team and Program Information'!$C$3:$C$202,'Team and Program Information'!$D$3:$D$202,"",0,)</f>
        <v>#VALUE!</v>
      </c>
      <c r="C16" s="69" t="str">
        <f t="array" ref="C16">IF('Results and Rankings'!$A16="","",XLOOKUP('Results and Rankings'!$A16,'Robot Game Scores'!$B$2:$B$201,'Robot Game Scores'!$D$2:$D$201,0,0,))</f>
        <v/>
      </c>
      <c r="D16" s="69" t="str">
        <f t="array" ref="D16">IF('Results and Rankings'!$A16="","",XLOOKUP('Results and Rankings'!$A16,'Robot Game Scores'!$B$2:$B$201,'Robot Game Scores'!$E$2:$E$201,0,0,))</f>
        <v/>
      </c>
      <c r="E16" s="69" t="str">
        <f t="array" ref="E16">IF('Results and Rankings'!$A16="","",XLOOKUP('Results and Rankings'!$A16,'Robot Game Scores'!$B$2:$B$201,'Robot Game Scores'!$F$2:$F$201,0,0,))</f>
        <v/>
      </c>
      <c r="F16" s="69" t="str">
        <f t="array" ref="F16">IF('Results and Rankings'!$A16="","",XLOOKUP('Results and Rankings'!$A16,'Robot Game Scores'!$B$2:$B$201,'Robot Game Scores'!$G$2:$G$201,0,0,))</f>
        <v/>
      </c>
      <c r="G16" s="69" t="str">
        <f t="array" ref="G16">IF('Results and Rankings'!$A16="","",XLOOKUP('Results and Rankings'!$A16,'Robot Game Scores'!$B$2:$B$201,'Robot Game Scores'!$H$2:$H$201,0,0,))</f>
        <v/>
      </c>
      <c r="H16" s="69" t="str">
        <f>IF('Results and Rankings'!$A16="","",IF(ISNA(LARGE('Results and Rankings'!$C16:$G16,1)+0.0001*LARGE('Results and Rankings'!$C16:$G16,2)+0.0000001*LARGE('Results and Rankings'!$C16:$G16,3)+1E-11*LARGE('Results and Rankings'!$C16:$G16,4)+1E-14*LARGE('Results and Rankings'!$C16:$G16,5)),0,LARGE('Results and Rankings'!$C16:$G16,1)+0.0001*LARGE('Results and Rankings'!$C16:$G16,2)+0.0000001*LARGE('Results and Rankings'!$C16:$G16,3)+1E-11*LARGE('Results and Rankings'!$C16:$G16,4)+1E-14*LARGE('Results and Rankings'!$C16:$G16,5)))</f>
        <v/>
      </c>
      <c r="I16" s="69" t="str">
        <f>IF('Results and Rankings'!$A16="","",_xlfn.RANK.EQ('Results and Rankings'!$H16,'Results and Rankings'!$H$3:$H$202))</f>
        <v/>
      </c>
      <c r="J16" s="69" t="str">
        <f t="array" ref="J16">IF('Results and Rankings'!$A16="","",XLOOKUP('Results and Rankings'!$A16,'Core Values Input'!$A$2:$A$201,'Core Values Input'!$V$2:$V$201,NumberOfTeams+1,0,))</f>
        <v/>
      </c>
      <c r="K16" s="69" t="str">
        <f t="array" ref="K16">IF('Results and Rankings'!$A16="","",XLOOKUP('Results and Rankings'!$A16,'Innovation Project Input'!$A$2:$A$201,'Innovation Project Input'!$N$2:$N$201,NumberOfTeams+1,0,))</f>
        <v/>
      </c>
      <c r="L16" s="69" t="str">
        <f t="array" ref="L16">IF('Results and Rankings'!$A16="","",XLOOKUP('Results and Rankings'!$A16,'Robot Design Input'!$A$2:$A$201,'Robot Design Input'!$N$2:$N$201,NumberOfTeams+1,0,))</f>
        <v/>
      </c>
      <c r="M16" s="69" t="str">
        <f> IF('Results and Rankings'!$A16="","",IF('Results and Rankings'!$J16="",NumberOfTeams+1,'Results and Rankings'!$J16) + IF('Results and Rankings'!$K16="",NumberOfTeams+1,'Results and Rankings'!$K16) + IF('Results and Rankings'!$L16="",NumberOfTeams+1,'Results and Rankings'!$L16) + 'Results and Rankings'!$I16)</f>
        <v/>
      </c>
      <c r="N16" s="70" t="str">
        <f>IF('Results and Rankings'!$A16="","",IF(M16,RANK(M16,M$3:M$202,1)-COUNTIF(M$3:M$202,0),NumberOfTeams+1))</f>
        <v/>
      </c>
      <c r="O16" s="72" t="str">
        <f t="array" ref="O16">XLOOKUP('Results and Rankings'!$A16,'Core Values Input'!$A$2:$A$201,'Core Values Input'!$W$2:$W$201,0,0,)</f>
        <v>#VALUE!</v>
      </c>
      <c r="P16" s="72" t="str">
        <f t="array" ref="P16">XLOOKUP('Results and Rankings'!$A16,'Core Values Input'!$A$2:$A$201,'Core Values Input'!$X$2:$X$201,0,0,)</f>
        <v>#VALUE!</v>
      </c>
      <c r="Q16" s="72" t="str">
        <f t="array" ref="Q16">XLOOKUP('Results and Rankings'!$A16,'Core Values Input'!$A$2:$A$201,'Core Values Input'!$Y$2:$Y$201,0,0,)</f>
        <v>#VALUE!</v>
      </c>
      <c r="R16" s="38"/>
      <c r="S16" s="38"/>
      <c r="T16" s="72"/>
      <c r="U16" s="69" t="str">
        <f t="array" ref="U16">XLOOKUP('Results and Rankings'!$A16,'Core Values Input'!$A$2:$A$201,'Core Values Input'!$U$2:$U$201,0,0,)</f>
        <v>#VALUE!</v>
      </c>
      <c r="V16" s="69" t="str">
        <f t="array" ref="V16">XLOOKUP('Results and Rankings'!$A16,'Innovation Project Input'!$A$2:$A$201,'Innovation Project Input'!$M$2:$M$201,0,0,)</f>
        <v>#VALUE!</v>
      </c>
      <c r="W16" s="69" t="str">
        <f t="array" ref="W16">XLOOKUP('Results and Rankings'!$A16,'Robot Design Input'!$A$2:$A$201,'Robot Design Input'!$M$2:$M$201,0,0,)</f>
        <v>#VALUE!</v>
      </c>
      <c r="X16" s="73">
        <f>IF(ISERR(GEOMEAN('Results and Rankings'!$H16,'Results and Rankings'!$U16,'Results and Rankings'!$V16,'Results and Rankings'!$W16)),0,GEOMEAN('Results and Rankings'!$H16,'Results and Rankings'!$U16,'Results and Rankings'!$V16,'Results and Rankings'!$W16))</f>
        <v>0</v>
      </c>
      <c r="Y16" s="74">
        <f>IF(X16,_xlfn.RANK.EQ(X16,X$3:X$110,0),NumberOfTeams)</f>
        <v>0</v>
      </c>
      <c r="Z16" s="38"/>
    </row>
    <row r="17" ht="21.0" customHeight="1">
      <c r="A17" s="67" t="str">
        <f t="array" ref="A17">XLOOKUP(15,'Team and Program Information'!$B$3:$B$202,'Team and Program Information'!$C$3:$C$202,"ERROR",0)</f>
        <v/>
      </c>
      <c r="B17" s="68" t="str">
        <f t="array" ref="B17">XLOOKUP('Results and Rankings'!$A17,'Team and Program Information'!$C$3:$C$202,'Team and Program Information'!$D$3:$D$202,"",0,)</f>
        <v>#VALUE!</v>
      </c>
      <c r="C17" s="69" t="str">
        <f t="array" ref="C17">IF('Results and Rankings'!$A17="","",XLOOKUP('Results and Rankings'!$A17,'Robot Game Scores'!$B$2:$B$201,'Robot Game Scores'!$D$2:$D$201,0,0,))</f>
        <v/>
      </c>
      <c r="D17" s="69" t="str">
        <f t="array" ref="D17">IF('Results and Rankings'!$A17="","",XLOOKUP('Results and Rankings'!$A17,'Robot Game Scores'!$B$2:$B$201,'Robot Game Scores'!$E$2:$E$201,0,0,))</f>
        <v/>
      </c>
      <c r="E17" s="69" t="str">
        <f t="array" ref="E17">IF('Results and Rankings'!$A17="","",XLOOKUP('Results and Rankings'!$A17,'Robot Game Scores'!$B$2:$B$201,'Robot Game Scores'!$F$2:$F$201,0,0,))</f>
        <v/>
      </c>
      <c r="F17" s="69" t="str">
        <f t="array" ref="F17">IF('Results and Rankings'!$A17="","",XLOOKUP('Results and Rankings'!$A17,'Robot Game Scores'!$B$2:$B$201,'Robot Game Scores'!$G$2:$G$201,0,0,))</f>
        <v/>
      </c>
      <c r="G17" s="69" t="str">
        <f t="array" ref="G17">IF('Results and Rankings'!$A17="","",XLOOKUP('Results and Rankings'!$A17,'Robot Game Scores'!$B$2:$B$201,'Robot Game Scores'!$H$2:$H$201,0,0,))</f>
        <v/>
      </c>
      <c r="H17" s="69" t="str">
        <f>IF('Results and Rankings'!$A17="","",IF(ISNA(LARGE('Results and Rankings'!$C17:$G17,1)+0.0001*LARGE('Results and Rankings'!$C17:$G17,2)+0.0000001*LARGE('Results and Rankings'!$C17:$G17,3)+1E-11*LARGE('Results and Rankings'!$C17:$G17,4)+1E-14*LARGE('Results and Rankings'!$C17:$G17,5)),0,LARGE('Results and Rankings'!$C17:$G17,1)+0.0001*LARGE('Results and Rankings'!$C17:$G17,2)+0.0000001*LARGE('Results and Rankings'!$C17:$G17,3)+1E-11*LARGE('Results and Rankings'!$C17:$G17,4)+1E-14*LARGE('Results and Rankings'!$C17:$G17,5)))</f>
        <v/>
      </c>
      <c r="I17" s="69" t="str">
        <f>IF('Results and Rankings'!$A17="","",_xlfn.RANK.EQ('Results and Rankings'!$H17,'Results and Rankings'!$H$3:$H$202))</f>
        <v/>
      </c>
      <c r="J17" s="69" t="str">
        <f t="array" ref="J17">IF('Results and Rankings'!$A17="","",XLOOKUP('Results and Rankings'!$A17,'Core Values Input'!$A$2:$A$201,'Core Values Input'!$V$2:$V$201,NumberOfTeams+1,0,))</f>
        <v/>
      </c>
      <c r="K17" s="69" t="str">
        <f t="array" ref="K17">IF('Results and Rankings'!$A17="","",XLOOKUP('Results and Rankings'!$A17,'Innovation Project Input'!$A$2:$A$201,'Innovation Project Input'!$N$2:$N$201,NumberOfTeams+1,0,))</f>
        <v/>
      </c>
      <c r="L17" s="69" t="str">
        <f t="array" ref="L17">IF('Results and Rankings'!$A17="","",XLOOKUP('Results and Rankings'!$A17,'Robot Design Input'!$A$2:$A$201,'Robot Design Input'!$N$2:$N$201,NumberOfTeams+1,0,))</f>
        <v/>
      </c>
      <c r="M17" s="69" t="str">
        <f> IF('Results and Rankings'!$A17="","",IF('Results and Rankings'!$J17="",NumberOfTeams+1,'Results and Rankings'!$J17) + IF('Results and Rankings'!$K17="",NumberOfTeams+1,'Results and Rankings'!$K17) + IF('Results and Rankings'!$L17="",NumberOfTeams+1,'Results and Rankings'!$L17) + 'Results and Rankings'!$I17)</f>
        <v/>
      </c>
      <c r="N17" s="70" t="str">
        <f>IF('Results and Rankings'!$A17="","",IF(M17,RANK(M17,M$3:M$202,1)-COUNTIF(M$3:M$202,0),NumberOfTeams+1))</f>
        <v/>
      </c>
      <c r="O17" s="71" t="str">
        <f t="array" ref="O17">XLOOKUP('Results and Rankings'!$A17,'Core Values Input'!$A$2:$A$201,'Core Values Input'!$W$2:$W$201,0,0,)</f>
        <v>#VALUE!</v>
      </c>
      <c r="P17" s="71" t="str">
        <f t="array" ref="P17">XLOOKUP('Results and Rankings'!$A17,'Core Values Input'!$A$2:$A$201,'Core Values Input'!$X$2:$X$201,0,0,)</f>
        <v>#VALUE!</v>
      </c>
      <c r="Q17" s="71" t="str">
        <f t="array" ref="Q17">XLOOKUP('Results and Rankings'!$A17,'Core Values Input'!$A$2:$A$201,'Core Values Input'!$Y$2:$Y$201,0,0,)</f>
        <v>#VALUE!</v>
      </c>
      <c r="R17" s="38"/>
      <c r="S17" s="38"/>
      <c r="T17" s="72"/>
      <c r="U17" s="69" t="str">
        <f t="array" ref="U17">XLOOKUP('Results and Rankings'!$A17,'Core Values Input'!$A$2:$A$201,'Core Values Input'!$U$2:$U$201,0,0,)</f>
        <v>#VALUE!</v>
      </c>
      <c r="V17" s="69" t="str">
        <f t="array" ref="V17">XLOOKUP('Results and Rankings'!$A17,'Innovation Project Input'!$A$2:$A$201,'Innovation Project Input'!$M$2:$M$201,0,0,)</f>
        <v>#VALUE!</v>
      </c>
      <c r="W17" s="69" t="str">
        <f t="array" ref="W17">XLOOKUP('Results and Rankings'!$A17,'Robot Design Input'!$A$2:$A$201,'Robot Design Input'!$M$2:$M$201,0,0,)</f>
        <v>#VALUE!</v>
      </c>
      <c r="X17" s="73">
        <f>IF(ISERR(GEOMEAN('Results and Rankings'!$H17,'Results and Rankings'!$U17,'Results and Rankings'!$V17,'Results and Rankings'!$W17)),0,GEOMEAN('Results and Rankings'!$H17,'Results and Rankings'!$U17,'Results and Rankings'!$V17,'Results and Rankings'!$W17))</f>
        <v>0</v>
      </c>
      <c r="Y17" s="74">
        <f>IF(X17,_xlfn.RANK.EQ(X17,X$3:X$110,0),NumberOfTeams)</f>
        <v>0</v>
      </c>
      <c r="Z17" s="38"/>
    </row>
    <row r="18" ht="21.0" customHeight="1">
      <c r="A18" s="67" t="str">
        <f t="array" ref="A18">XLOOKUP(16,'Team and Program Information'!$B$3:$B$202,'Team and Program Information'!$C$3:$C$202,"ERROR",0)</f>
        <v/>
      </c>
      <c r="B18" s="68" t="str">
        <f t="array" ref="B18">XLOOKUP('Results and Rankings'!$A18,'Team and Program Information'!$C$3:$C$202,'Team and Program Information'!$D$3:$D$202,"",0,)</f>
        <v>#VALUE!</v>
      </c>
      <c r="C18" s="69" t="str">
        <f t="array" ref="C18">IF('Results and Rankings'!$A18="","",XLOOKUP('Results and Rankings'!$A18,'Robot Game Scores'!$B$2:$B$201,'Robot Game Scores'!$D$2:$D$201,0,0,))</f>
        <v/>
      </c>
      <c r="D18" s="69" t="str">
        <f t="array" ref="D18">IF('Results and Rankings'!$A18="","",XLOOKUP('Results and Rankings'!$A18,'Robot Game Scores'!$B$2:$B$201,'Robot Game Scores'!$E$2:$E$201,0,0,))</f>
        <v/>
      </c>
      <c r="E18" s="69" t="str">
        <f t="array" ref="E18">IF('Results and Rankings'!$A18="","",XLOOKUP('Results and Rankings'!$A18,'Robot Game Scores'!$B$2:$B$201,'Robot Game Scores'!$F$2:$F$201,0,0,))</f>
        <v/>
      </c>
      <c r="F18" s="69" t="str">
        <f t="array" ref="F18">IF('Results and Rankings'!$A18="","",XLOOKUP('Results and Rankings'!$A18,'Robot Game Scores'!$B$2:$B$201,'Robot Game Scores'!$G$2:$G$201,0,0,))</f>
        <v/>
      </c>
      <c r="G18" s="69" t="str">
        <f t="array" ref="G18">IF('Results and Rankings'!$A18="","",XLOOKUP('Results and Rankings'!$A18,'Robot Game Scores'!$B$2:$B$201,'Robot Game Scores'!$H$2:$H$201,0,0,))</f>
        <v/>
      </c>
      <c r="H18" s="69" t="str">
        <f>IF('Results and Rankings'!$A18="","",IF(ISNA(LARGE('Results and Rankings'!$C18:$G18,1)+0.0001*LARGE('Results and Rankings'!$C18:$G18,2)+0.0000001*LARGE('Results and Rankings'!$C18:$G18,3)+1E-11*LARGE('Results and Rankings'!$C18:$G18,4)+1E-14*LARGE('Results and Rankings'!$C18:$G18,5)),0,LARGE('Results and Rankings'!$C18:$G18,1)+0.0001*LARGE('Results and Rankings'!$C18:$G18,2)+0.0000001*LARGE('Results and Rankings'!$C18:$G18,3)+1E-11*LARGE('Results and Rankings'!$C18:$G18,4)+1E-14*LARGE('Results and Rankings'!$C18:$G18,5)))</f>
        <v/>
      </c>
      <c r="I18" s="69" t="str">
        <f>IF('Results and Rankings'!$A18="","",_xlfn.RANK.EQ('Results and Rankings'!$H18,'Results and Rankings'!$H$3:$H$202))</f>
        <v/>
      </c>
      <c r="J18" s="69" t="str">
        <f t="array" ref="J18">IF('Results and Rankings'!$A18="","",XLOOKUP('Results and Rankings'!$A18,'Core Values Input'!$A$2:$A$201,'Core Values Input'!$V$2:$V$201,NumberOfTeams+1,0,))</f>
        <v/>
      </c>
      <c r="K18" s="69" t="str">
        <f t="array" ref="K18">IF('Results and Rankings'!$A18="","",XLOOKUP('Results and Rankings'!$A18,'Innovation Project Input'!$A$2:$A$201,'Innovation Project Input'!$N$2:$N$201,NumberOfTeams+1,0,))</f>
        <v/>
      </c>
      <c r="L18" s="69" t="str">
        <f t="array" ref="L18">IF('Results and Rankings'!$A18="","",XLOOKUP('Results and Rankings'!$A18,'Robot Design Input'!$A$2:$A$201,'Robot Design Input'!$N$2:$N$201,NumberOfTeams+1,0,))</f>
        <v/>
      </c>
      <c r="M18" s="69" t="str">
        <f> IF('Results and Rankings'!$A18="","",IF('Results and Rankings'!$J18="",NumberOfTeams+1,'Results and Rankings'!$J18) + IF('Results and Rankings'!$K18="",NumberOfTeams+1,'Results and Rankings'!$K18) + IF('Results and Rankings'!$L18="",NumberOfTeams+1,'Results and Rankings'!$L18) + 'Results and Rankings'!$I18)</f>
        <v/>
      </c>
      <c r="N18" s="70" t="str">
        <f>IF('Results and Rankings'!$A18="","",IF(M18,RANK(M18,M$3:M$202,1)-COUNTIF(M$3:M$202,0),NumberOfTeams+1))</f>
        <v/>
      </c>
      <c r="O18" s="71" t="str">
        <f t="array" ref="O18">XLOOKUP('Results and Rankings'!$A18,'Core Values Input'!$A$2:$A$201,'Core Values Input'!$W$2:$W$201,0,0,)</f>
        <v>#VALUE!</v>
      </c>
      <c r="P18" s="71" t="str">
        <f t="array" ref="P18">XLOOKUP('Results and Rankings'!$A18,'Core Values Input'!$A$2:$A$201,'Core Values Input'!$X$2:$X$201,0,0,)</f>
        <v>#VALUE!</v>
      </c>
      <c r="Q18" s="71" t="str">
        <f t="array" ref="Q18">XLOOKUP('Results and Rankings'!$A18,'Core Values Input'!$A$2:$A$201,'Core Values Input'!$Y$2:$Y$201,0,0,)</f>
        <v>#VALUE!</v>
      </c>
      <c r="R18" s="38"/>
      <c r="S18" s="38"/>
      <c r="T18" s="72"/>
      <c r="U18" s="69" t="str">
        <f t="array" ref="U18">XLOOKUP('Results and Rankings'!$A18,'Core Values Input'!$A$2:$A$201,'Core Values Input'!$U$2:$U$201,0,0,)</f>
        <v>#VALUE!</v>
      </c>
      <c r="V18" s="69" t="str">
        <f t="array" ref="V18">XLOOKUP('Results and Rankings'!$A18,'Innovation Project Input'!$A$2:$A$201,'Innovation Project Input'!$M$2:$M$201,0,0,)</f>
        <v>#VALUE!</v>
      </c>
      <c r="W18" s="69" t="str">
        <f t="array" ref="W18">XLOOKUP('Results and Rankings'!$A18,'Robot Design Input'!$A$2:$A$201,'Robot Design Input'!$M$2:$M$201,0,0,)</f>
        <v>#VALUE!</v>
      </c>
      <c r="X18" s="73">
        <f>IF(ISERR(GEOMEAN('Results and Rankings'!$H18,'Results and Rankings'!$U18,'Results and Rankings'!$V18,'Results and Rankings'!$W18)),0,GEOMEAN('Results and Rankings'!$H18,'Results and Rankings'!$U18,'Results and Rankings'!$V18,'Results and Rankings'!$W18))</f>
        <v>0</v>
      </c>
      <c r="Y18" s="74">
        <f>IF(X18,_xlfn.RANK.EQ(X18,X$3:X$110,0),NumberOfTeams)</f>
        <v>0</v>
      </c>
      <c r="Z18" s="38"/>
    </row>
    <row r="19" ht="21.0" customHeight="1">
      <c r="A19" s="67" t="str">
        <f t="array" ref="A19">XLOOKUP(17,'Team and Program Information'!$B$3:$B$202,'Team and Program Information'!$C$3:$C$202,"ERROR",0)</f>
        <v/>
      </c>
      <c r="B19" s="68" t="str">
        <f t="array" ref="B19">XLOOKUP('Results and Rankings'!$A19,'Team and Program Information'!$C$3:$C$202,'Team and Program Information'!$D$3:$D$202,"",0,)</f>
        <v>#VALUE!</v>
      </c>
      <c r="C19" s="69" t="str">
        <f t="array" ref="C19">IF('Results and Rankings'!$A19="","",XLOOKUP('Results and Rankings'!$A19,'Robot Game Scores'!$B$2:$B$201,'Robot Game Scores'!$D$2:$D$201,0,0,))</f>
        <v/>
      </c>
      <c r="D19" s="69" t="str">
        <f t="array" ref="D19">IF('Results and Rankings'!$A19="","",XLOOKUP('Results and Rankings'!$A19,'Robot Game Scores'!$B$2:$B$201,'Robot Game Scores'!$E$2:$E$201,0,0,))</f>
        <v/>
      </c>
      <c r="E19" s="69" t="str">
        <f t="array" ref="E19">IF('Results and Rankings'!$A19="","",XLOOKUP('Results and Rankings'!$A19,'Robot Game Scores'!$B$2:$B$201,'Robot Game Scores'!$F$2:$F$201,0,0,))</f>
        <v/>
      </c>
      <c r="F19" s="69" t="str">
        <f t="array" ref="F19">IF('Results and Rankings'!$A19="","",XLOOKUP('Results and Rankings'!$A19,'Robot Game Scores'!$B$2:$B$201,'Robot Game Scores'!$G$2:$G$201,0,0,))</f>
        <v/>
      </c>
      <c r="G19" s="69" t="str">
        <f t="array" ref="G19">IF('Results and Rankings'!$A19="","",XLOOKUP('Results and Rankings'!$A19,'Robot Game Scores'!$B$2:$B$201,'Robot Game Scores'!$H$2:$H$201,0,0,))</f>
        <v/>
      </c>
      <c r="H19" s="69" t="str">
        <f>IF('Results and Rankings'!$A19="","",IF(ISNA(LARGE('Results and Rankings'!$C19:$G19,1)+0.0001*LARGE('Results and Rankings'!$C19:$G19,2)+0.0000001*LARGE('Results and Rankings'!$C19:$G19,3)+1E-11*LARGE('Results and Rankings'!$C19:$G19,4)+1E-14*LARGE('Results and Rankings'!$C19:$G19,5)),0,LARGE('Results and Rankings'!$C19:$G19,1)+0.0001*LARGE('Results and Rankings'!$C19:$G19,2)+0.0000001*LARGE('Results and Rankings'!$C19:$G19,3)+1E-11*LARGE('Results and Rankings'!$C19:$G19,4)+1E-14*LARGE('Results and Rankings'!$C19:$G19,5)))</f>
        <v/>
      </c>
      <c r="I19" s="69" t="str">
        <f>IF('Results and Rankings'!$A19="","",_xlfn.RANK.EQ('Results and Rankings'!$H19,'Results and Rankings'!$H$3:$H$202))</f>
        <v/>
      </c>
      <c r="J19" s="69" t="str">
        <f t="array" ref="J19">IF('Results and Rankings'!$A19="","",XLOOKUP('Results and Rankings'!$A19,'Core Values Input'!$A$2:$A$201,'Core Values Input'!$V$2:$V$201,NumberOfTeams+1,0,))</f>
        <v/>
      </c>
      <c r="K19" s="69" t="str">
        <f t="array" ref="K19">IF('Results and Rankings'!$A19="","",XLOOKUP('Results and Rankings'!$A19,'Innovation Project Input'!$A$2:$A$201,'Innovation Project Input'!$N$2:$N$201,NumberOfTeams+1,0,))</f>
        <v/>
      </c>
      <c r="L19" s="69" t="str">
        <f t="array" ref="L19">IF('Results and Rankings'!$A19="","",XLOOKUP('Results and Rankings'!$A19,'Robot Design Input'!$A$2:$A$201,'Robot Design Input'!$N$2:$N$201,NumberOfTeams+1,0,))</f>
        <v/>
      </c>
      <c r="M19" s="69" t="str">
        <f> IF('Results and Rankings'!$A19="","",IF('Results and Rankings'!$J19="",NumberOfTeams+1,'Results and Rankings'!$J19) + IF('Results and Rankings'!$K19="",NumberOfTeams+1,'Results and Rankings'!$K19) + IF('Results and Rankings'!$L19="",NumberOfTeams+1,'Results and Rankings'!$L19) + 'Results and Rankings'!$I19)</f>
        <v/>
      </c>
      <c r="N19" s="70" t="str">
        <f>IF('Results and Rankings'!$A19="","",IF(M19,RANK(M19,M$3:M$202,1)-COUNTIF(M$3:M$202,0),NumberOfTeams+1))</f>
        <v/>
      </c>
      <c r="O19" s="71" t="str">
        <f t="array" ref="O19">XLOOKUP('Results and Rankings'!$A19,'Core Values Input'!$A$2:$A$201,'Core Values Input'!$W$2:$W$201,0,0,)</f>
        <v>#VALUE!</v>
      </c>
      <c r="P19" s="71" t="str">
        <f t="array" ref="P19">XLOOKUP('Results and Rankings'!$A19,'Core Values Input'!$A$2:$A$201,'Core Values Input'!$X$2:$X$201,0,0,)</f>
        <v>#VALUE!</v>
      </c>
      <c r="Q19" s="71" t="str">
        <f t="array" ref="Q19">XLOOKUP('Results and Rankings'!$A19,'Core Values Input'!$A$2:$A$201,'Core Values Input'!$Y$2:$Y$201,0,0,)</f>
        <v>#VALUE!</v>
      </c>
      <c r="R19" s="38"/>
      <c r="S19" s="38"/>
      <c r="T19" s="72"/>
      <c r="U19" s="69" t="str">
        <f t="array" ref="U19">XLOOKUP('Results and Rankings'!$A19,'Core Values Input'!$A$2:$A$201,'Core Values Input'!$U$2:$U$201,0,0,)</f>
        <v>#VALUE!</v>
      </c>
      <c r="V19" s="69" t="str">
        <f t="array" ref="V19">XLOOKUP('Results and Rankings'!$A19,'Innovation Project Input'!$A$2:$A$201,'Innovation Project Input'!$M$2:$M$201,0,0,)</f>
        <v>#VALUE!</v>
      </c>
      <c r="W19" s="69" t="str">
        <f t="array" ref="W19">XLOOKUP('Results and Rankings'!$A19,'Robot Design Input'!$A$2:$A$201,'Robot Design Input'!$M$2:$M$201,0,0,)</f>
        <v>#VALUE!</v>
      </c>
      <c r="X19" s="73">
        <f>IF(ISERR(GEOMEAN('Results and Rankings'!$H19,'Results and Rankings'!$U19,'Results and Rankings'!$V19,'Results and Rankings'!$W19)),0,GEOMEAN('Results and Rankings'!$H19,'Results and Rankings'!$U19,'Results and Rankings'!$V19,'Results and Rankings'!$W19))</f>
        <v>0</v>
      </c>
      <c r="Y19" s="74">
        <f>IF(X19,_xlfn.RANK.EQ(X19,X$3:X$110,0),NumberOfTeams)</f>
        <v>0</v>
      </c>
      <c r="Z19" s="38"/>
    </row>
    <row r="20" ht="21.0" customHeight="1">
      <c r="A20" s="67" t="str">
        <f t="array" ref="A20">XLOOKUP(18,'Team and Program Information'!$B$3:$B$202,'Team and Program Information'!$C$3:$C$202,"ERROR",0)</f>
        <v/>
      </c>
      <c r="B20" s="68" t="str">
        <f t="array" ref="B20">XLOOKUP('Results and Rankings'!$A20,'Team and Program Information'!$C$3:$C$202,'Team and Program Information'!$D$3:$D$202,"",0,)</f>
        <v>#VALUE!</v>
      </c>
      <c r="C20" s="69" t="str">
        <f t="array" ref="C20">IF('Results and Rankings'!$A20="","",XLOOKUP('Results and Rankings'!$A20,'Robot Game Scores'!$B$2:$B$201,'Robot Game Scores'!$D$2:$D$201,0,0,))</f>
        <v/>
      </c>
      <c r="D20" s="69" t="str">
        <f t="array" ref="D20">IF('Results and Rankings'!$A20="","",XLOOKUP('Results and Rankings'!$A20,'Robot Game Scores'!$B$2:$B$201,'Robot Game Scores'!$E$2:$E$201,0,0,))</f>
        <v/>
      </c>
      <c r="E20" s="69" t="str">
        <f t="array" ref="E20">IF('Results and Rankings'!$A20="","",XLOOKUP('Results and Rankings'!$A20,'Robot Game Scores'!$B$2:$B$201,'Robot Game Scores'!$F$2:$F$201,0,0,))</f>
        <v/>
      </c>
      <c r="F20" s="69" t="str">
        <f t="array" ref="F20">IF('Results and Rankings'!$A20="","",XLOOKUP('Results and Rankings'!$A20,'Robot Game Scores'!$B$2:$B$201,'Robot Game Scores'!$G$2:$G$201,0,0,))</f>
        <v/>
      </c>
      <c r="G20" s="69" t="str">
        <f t="array" ref="G20">IF('Results and Rankings'!$A20="","",XLOOKUP('Results and Rankings'!$A20,'Robot Game Scores'!$B$2:$B$201,'Robot Game Scores'!$H$2:$H$201,0,0,))</f>
        <v/>
      </c>
      <c r="H20" s="69" t="str">
        <f>IF('Results and Rankings'!$A20="","",IF(ISNA(LARGE('Results and Rankings'!$C20:$G20,1)+0.0001*LARGE('Results and Rankings'!$C20:$G20,2)+0.0000001*LARGE('Results and Rankings'!$C20:$G20,3)+1E-11*LARGE('Results and Rankings'!$C20:$G20,4)+1E-14*LARGE('Results and Rankings'!$C20:$G20,5)),0,LARGE('Results and Rankings'!$C20:$G20,1)+0.0001*LARGE('Results and Rankings'!$C20:$G20,2)+0.0000001*LARGE('Results and Rankings'!$C20:$G20,3)+1E-11*LARGE('Results and Rankings'!$C20:$G20,4)+1E-14*LARGE('Results and Rankings'!$C20:$G20,5)))</f>
        <v/>
      </c>
      <c r="I20" s="69" t="str">
        <f>IF('Results and Rankings'!$A20="","",_xlfn.RANK.EQ('Results and Rankings'!$H20,'Results and Rankings'!$H$3:$H$202))</f>
        <v/>
      </c>
      <c r="J20" s="69" t="str">
        <f t="array" ref="J20">IF('Results and Rankings'!$A20="","",XLOOKUP('Results and Rankings'!$A20,'Core Values Input'!$A$2:$A$201,'Core Values Input'!$V$2:$V$201,NumberOfTeams+1,0,))</f>
        <v/>
      </c>
      <c r="K20" s="69" t="str">
        <f t="array" ref="K20">IF('Results and Rankings'!$A20="","",XLOOKUP('Results and Rankings'!$A20,'Innovation Project Input'!$A$2:$A$201,'Innovation Project Input'!$N$2:$N$201,NumberOfTeams+1,0,))</f>
        <v/>
      </c>
      <c r="L20" s="69" t="str">
        <f t="array" ref="L20">IF('Results and Rankings'!$A20="","",XLOOKUP('Results and Rankings'!$A20,'Robot Design Input'!$A$2:$A$201,'Robot Design Input'!$N$2:$N$201,NumberOfTeams+1,0,))</f>
        <v/>
      </c>
      <c r="M20" s="69" t="str">
        <f> IF('Results and Rankings'!$A20="","",IF('Results and Rankings'!$J20="",NumberOfTeams+1,'Results and Rankings'!$J20) + IF('Results and Rankings'!$K20="",NumberOfTeams+1,'Results and Rankings'!$K20) + IF('Results and Rankings'!$L20="",NumberOfTeams+1,'Results and Rankings'!$L20) + 'Results and Rankings'!$I20)</f>
        <v/>
      </c>
      <c r="N20" s="70" t="str">
        <f>IF('Results and Rankings'!$A20="","",IF(M20,RANK(M20,M$3:M$202,1)-COUNTIF(M$3:M$202,0),NumberOfTeams+1))</f>
        <v/>
      </c>
      <c r="O20" s="71" t="str">
        <f t="array" ref="O20">XLOOKUP('Results and Rankings'!$A20,'Core Values Input'!$A$2:$A$201,'Core Values Input'!$W$2:$W$201,0,0,)</f>
        <v>#VALUE!</v>
      </c>
      <c r="P20" s="71" t="str">
        <f t="array" ref="P20">XLOOKUP('Results and Rankings'!$A20,'Core Values Input'!$A$2:$A$201,'Core Values Input'!$X$2:$X$201,0,0,)</f>
        <v>#VALUE!</v>
      </c>
      <c r="Q20" s="71" t="str">
        <f t="array" ref="Q20">XLOOKUP('Results and Rankings'!$A20,'Core Values Input'!$A$2:$A$201,'Core Values Input'!$Y$2:$Y$201,0,0,)</f>
        <v>#VALUE!</v>
      </c>
      <c r="R20" s="38"/>
      <c r="S20" s="38"/>
      <c r="T20" s="72"/>
      <c r="U20" s="69" t="str">
        <f t="array" ref="U20">XLOOKUP('Results and Rankings'!$A20,'Core Values Input'!$A$2:$A$201,'Core Values Input'!$U$2:$U$201,0,0,)</f>
        <v>#VALUE!</v>
      </c>
      <c r="V20" s="69" t="str">
        <f t="array" ref="V20">XLOOKUP('Results and Rankings'!$A20,'Innovation Project Input'!$A$2:$A$201,'Innovation Project Input'!$M$2:$M$201,0,0,)</f>
        <v>#VALUE!</v>
      </c>
      <c r="W20" s="69" t="str">
        <f t="array" ref="W20">XLOOKUP('Results and Rankings'!$A20,'Robot Design Input'!$A$2:$A$201,'Robot Design Input'!$M$2:$M$201,0,0,)</f>
        <v>#VALUE!</v>
      </c>
      <c r="X20" s="73">
        <f>IF(ISERR(GEOMEAN('Results and Rankings'!$H20,'Results and Rankings'!$U20,'Results and Rankings'!$V20,'Results and Rankings'!$W20)),0,GEOMEAN('Results and Rankings'!$H20,'Results and Rankings'!$U20,'Results and Rankings'!$V20,'Results and Rankings'!$W20))</f>
        <v>0</v>
      </c>
      <c r="Y20" s="74">
        <f>IF(X20,_xlfn.RANK.EQ(X20,X$3:X$110,0),NumberOfTeams)</f>
        <v>0</v>
      </c>
      <c r="Z20" s="38"/>
    </row>
    <row r="21" ht="21.0" customHeight="1">
      <c r="A21" s="67" t="str">
        <f t="array" ref="A21">XLOOKUP(19,'Team and Program Information'!$B$3:$B$202,'Team and Program Information'!$C$3:$C$202,"ERROR",0)</f>
        <v/>
      </c>
      <c r="B21" s="68" t="str">
        <f t="array" ref="B21">XLOOKUP('Results and Rankings'!$A21,'Team and Program Information'!$C$3:$C$202,'Team and Program Information'!$D$3:$D$202,"",0,)</f>
        <v>#VALUE!</v>
      </c>
      <c r="C21" s="69" t="str">
        <f t="array" ref="C21">IF('Results and Rankings'!$A21="","",XLOOKUP('Results and Rankings'!$A21,'Robot Game Scores'!$B$2:$B$201,'Robot Game Scores'!$D$2:$D$201,0,0,))</f>
        <v/>
      </c>
      <c r="D21" s="69" t="str">
        <f t="array" ref="D21">IF('Results and Rankings'!$A21="","",XLOOKUP('Results and Rankings'!$A21,'Robot Game Scores'!$B$2:$B$201,'Robot Game Scores'!$E$2:$E$201,0,0,))</f>
        <v/>
      </c>
      <c r="E21" s="69" t="str">
        <f t="array" ref="E21">IF('Results and Rankings'!$A21="","",XLOOKUP('Results and Rankings'!$A21,'Robot Game Scores'!$B$2:$B$201,'Robot Game Scores'!$F$2:$F$201,0,0,))</f>
        <v/>
      </c>
      <c r="F21" s="69" t="str">
        <f t="array" ref="F21">IF('Results and Rankings'!$A21="","",XLOOKUP('Results and Rankings'!$A21,'Robot Game Scores'!$B$2:$B$201,'Robot Game Scores'!$G$2:$G$201,0,0,))</f>
        <v/>
      </c>
      <c r="G21" s="69" t="str">
        <f t="array" ref="G21">IF('Results and Rankings'!$A21="","",XLOOKUP('Results and Rankings'!$A21,'Robot Game Scores'!$B$2:$B$201,'Robot Game Scores'!$H$2:$H$201,0,0,))</f>
        <v/>
      </c>
      <c r="H21" s="69" t="str">
        <f>IF('Results and Rankings'!$A21="","",IF(ISNA(LARGE('Results and Rankings'!$C21:$G21,1)+0.0001*LARGE('Results and Rankings'!$C21:$G21,2)+0.0000001*LARGE('Results and Rankings'!$C21:$G21,3)+1E-11*LARGE('Results and Rankings'!$C21:$G21,4)+1E-14*LARGE('Results and Rankings'!$C21:$G21,5)),0,LARGE('Results and Rankings'!$C21:$G21,1)+0.0001*LARGE('Results and Rankings'!$C21:$G21,2)+0.0000001*LARGE('Results and Rankings'!$C21:$G21,3)+1E-11*LARGE('Results and Rankings'!$C21:$G21,4)+1E-14*LARGE('Results and Rankings'!$C21:$G21,5)))</f>
        <v/>
      </c>
      <c r="I21" s="69" t="str">
        <f>IF('Results and Rankings'!$A21="","",_xlfn.RANK.EQ('Results and Rankings'!$H21,'Results and Rankings'!$H$3:$H$202))</f>
        <v/>
      </c>
      <c r="J21" s="69" t="str">
        <f t="array" ref="J21">IF('Results and Rankings'!$A21="","",XLOOKUP('Results and Rankings'!$A21,'Core Values Input'!$A$2:$A$201,'Core Values Input'!$V$2:$V$201,NumberOfTeams+1,0,))</f>
        <v/>
      </c>
      <c r="K21" s="69" t="str">
        <f t="array" ref="K21">IF('Results and Rankings'!$A21="","",XLOOKUP('Results and Rankings'!$A21,'Innovation Project Input'!$A$2:$A$201,'Innovation Project Input'!$N$2:$N$201,NumberOfTeams+1,0,))</f>
        <v/>
      </c>
      <c r="L21" s="69" t="str">
        <f t="array" ref="L21">IF('Results and Rankings'!$A21="","",XLOOKUP('Results and Rankings'!$A21,'Robot Design Input'!$A$2:$A$201,'Robot Design Input'!$N$2:$N$201,NumberOfTeams+1,0,))</f>
        <v/>
      </c>
      <c r="M21" s="69" t="str">
        <f> IF('Results and Rankings'!$A21="","",IF('Results and Rankings'!$J21="",NumberOfTeams+1,'Results and Rankings'!$J21) + IF('Results and Rankings'!$K21="",NumberOfTeams+1,'Results and Rankings'!$K21) + IF('Results and Rankings'!$L21="",NumberOfTeams+1,'Results and Rankings'!$L21) + 'Results and Rankings'!$I21)</f>
        <v/>
      </c>
      <c r="N21" s="70" t="str">
        <f>IF('Results and Rankings'!$A21="","",IF(M21,RANK(M21,M$3:M$202,1)-COUNTIF(M$3:M$202,0),NumberOfTeams+1))</f>
        <v/>
      </c>
      <c r="O21" s="71" t="str">
        <f t="array" ref="O21">XLOOKUP('Results and Rankings'!$A21,'Core Values Input'!$A$2:$A$201,'Core Values Input'!$W$2:$W$201,0,0,)</f>
        <v>#VALUE!</v>
      </c>
      <c r="P21" s="71" t="str">
        <f t="array" ref="P21">XLOOKUP('Results and Rankings'!$A21,'Core Values Input'!$A$2:$A$201,'Core Values Input'!$X$2:$X$201,0,0,)</f>
        <v>#VALUE!</v>
      </c>
      <c r="Q21" s="71" t="str">
        <f t="array" ref="Q21">XLOOKUP('Results and Rankings'!$A21,'Core Values Input'!$A$2:$A$201,'Core Values Input'!$Y$2:$Y$201,0,0,)</f>
        <v>#VALUE!</v>
      </c>
      <c r="R21" s="38"/>
      <c r="S21" s="38"/>
      <c r="T21" s="72"/>
      <c r="U21" s="69" t="str">
        <f t="array" ref="U21">XLOOKUP('Results and Rankings'!$A21,'Core Values Input'!$A$2:$A$201,'Core Values Input'!$U$2:$U$201,0,0,)</f>
        <v>#VALUE!</v>
      </c>
      <c r="V21" s="69" t="str">
        <f t="array" ref="V21">XLOOKUP('Results and Rankings'!$A21,'Innovation Project Input'!$A$2:$A$201,'Innovation Project Input'!$M$2:$M$201,0,0,)</f>
        <v>#VALUE!</v>
      </c>
      <c r="W21" s="69" t="str">
        <f t="array" ref="W21">XLOOKUP('Results and Rankings'!$A21,'Robot Design Input'!$A$2:$A$201,'Robot Design Input'!$M$2:$M$201,0,0,)</f>
        <v>#VALUE!</v>
      </c>
      <c r="X21" s="73">
        <f>IF(ISERR(GEOMEAN('Results and Rankings'!$H21,'Results and Rankings'!$U21,'Results and Rankings'!$V21,'Results and Rankings'!$W21)),0,GEOMEAN('Results and Rankings'!$H21,'Results and Rankings'!$U21,'Results and Rankings'!$V21,'Results and Rankings'!$W21))</f>
        <v>0</v>
      </c>
      <c r="Y21" s="74">
        <f>IF(X21,_xlfn.RANK.EQ(X21,X$3:X$110,0),NumberOfTeams)</f>
        <v>0</v>
      </c>
      <c r="Z21" s="38"/>
    </row>
    <row r="22" ht="21.0" customHeight="1">
      <c r="A22" s="67" t="str">
        <f t="array" ref="A22">XLOOKUP(20,'Team and Program Information'!$B$3:$B$202,'Team and Program Information'!$C$3:$C$202,"ERROR",0)</f>
        <v/>
      </c>
      <c r="B22" s="68" t="str">
        <f t="array" ref="B22">XLOOKUP('Results and Rankings'!$A22,'Team and Program Information'!$C$3:$C$202,'Team and Program Information'!$D$3:$D$202,"",0,)</f>
        <v>#VALUE!</v>
      </c>
      <c r="C22" s="69" t="str">
        <f t="array" ref="C22">IF('Results and Rankings'!$A22="","",XLOOKUP('Results and Rankings'!$A22,'Robot Game Scores'!$B$2:$B$201,'Robot Game Scores'!$D$2:$D$201,0,0,))</f>
        <v/>
      </c>
      <c r="D22" s="69" t="str">
        <f t="array" ref="D22">IF('Results and Rankings'!$A22="","",XLOOKUP('Results and Rankings'!$A22,'Robot Game Scores'!$B$2:$B$201,'Robot Game Scores'!$E$2:$E$201,0,0,))</f>
        <v/>
      </c>
      <c r="E22" s="69" t="str">
        <f t="array" ref="E22">IF('Results and Rankings'!$A22="","",XLOOKUP('Results and Rankings'!$A22,'Robot Game Scores'!$B$2:$B$201,'Robot Game Scores'!$F$2:$F$201,0,0,))</f>
        <v/>
      </c>
      <c r="F22" s="69" t="str">
        <f t="array" ref="F22">IF('Results and Rankings'!$A22="","",XLOOKUP('Results and Rankings'!$A22,'Robot Game Scores'!$B$2:$B$201,'Robot Game Scores'!$G$2:$G$201,0,0,))</f>
        <v/>
      </c>
      <c r="G22" s="69" t="str">
        <f t="array" ref="G22">IF('Results and Rankings'!$A22="","",XLOOKUP('Results and Rankings'!$A22,'Robot Game Scores'!$B$2:$B$201,'Robot Game Scores'!$H$2:$H$201,0,0,))</f>
        <v/>
      </c>
      <c r="H22" s="69" t="str">
        <f>IF('Results and Rankings'!$A22="","",IF(ISNA(LARGE('Results and Rankings'!$C22:$G22,1)+0.0001*LARGE('Results and Rankings'!$C22:$G22,2)+0.0000001*LARGE('Results and Rankings'!$C22:$G22,3)+1E-11*LARGE('Results and Rankings'!$C22:$G22,4)+1E-14*LARGE('Results and Rankings'!$C22:$G22,5)),0,LARGE('Results and Rankings'!$C22:$G22,1)+0.0001*LARGE('Results and Rankings'!$C22:$G22,2)+0.0000001*LARGE('Results and Rankings'!$C22:$G22,3)+1E-11*LARGE('Results and Rankings'!$C22:$G22,4)+1E-14*LARGE('Results and Rankings'!$C22:$G22,5)))</f>
        <v/>
      </c>
      <c r="I22" s="69" t="str">
        <f>IF('Results and Rankings'!$A22="","",_xlfn.RANK.EQ('Results and Rankings'!$H22,'Results and Rankings'!$H$3:$H$202))</f>
        <v/>
      </c>
      <c r="J22" s="69" t="str">
        <f t="array" ref="J22">IF('Results and Rankings'!$A22="","",XLOOKUP('Results and Rankings'!$A22,'Core Values Input'!$A$2:$A$201,'Core Values Input'!$V$2:$V$201,NumberOfTeams+1,0,))</f>
        <v/>
      </c>
      <c r="K22" s="69" t="str">
        <f t="array" ref="K22">IF('Results and Rankings'!$A22="","",XLOOKUP('Results and Rankings'!$A22,'Innovation Project Input'!$A$2:$A$201,'Innovation Project Input'!$N$2:$N$201,NumberOfTeams+1,0,))</f>
        <v/>
      </c>
      <c r="L22" s="69" t="str">
        <f t="array" ref="L22">IF('Results and Rankings'!$A22="","",XLOOKUP('Results and Rankings'!$A22,'Robot Design Input'!$A$2:$A$201,'Robot Design Input'!$N$2:$N$201,NumberOfTeams+1,0,))</f>
        <v/>
      </c>
      <c r="M22" s="69" t="str">
        <f> IF('Results and Rankings'!$A22="","",IF('Results and Rankings'!$J22="",NumberOfTeams+1,'Results and Rankings'!$J22) + IF('Results and Rankings'!$K22="",NumberOfTeams+1,'Results and Rankings'!$K22) + IF('Results and Rankings'!$L22="",NumberOfTeams+1,'Results and Rankings'!$L22) + 'Results and Rankings'!$I22)</f>
        <v/>
      </c>
      <c r="N22" s="70" t="str">
        <f>IF('Results and Rankings'!$A22="","",IF(M22,RANK(M22,M$3:M$202,1)-COUNTIF(M$3:M$202,0),NumberOfTeams+1))</f>
        <v/>
      </c>
      <c r="O22" s="71" t="str">
        <f t="array" ref="O22">XLOOKUP('Results and Rankings'!$A22,'Core Values Input'!$A$2:$A$201,'Core Values Input'!$W$2:$W$201,0,0,)</f>
        <v>#VALUE!</v>
      </c>
      <c r="P22" s="71" t="str">
        <f t="array" ref="P22">XLOOKUP('Results and Rankings'!$A22,'Core Values Input'!$A$2:$A$201,'Core Values Input'!$X$2:$X$201,0,0,)</f>
        <v>#VALUE!</v>
      </c>
      <c r="Q22" s="71" t="str">
        <f t="array" ref="Q22">XLOOKUP('Results and Rankings'!$A22,'Core Values Input'!$A$2:$A$201,'Core Values Input'!$Y$2:$Y$201,0,0,)</f>
        <v>#VALUE!</v>
      </c>
      <c r="R22" s="38"/>
      <c r="S22" s="38"/>
      <c r="T22" s="72"/>
      <c r="U22" s="69" t="str">
        <f t="array" ref="U22">XLOOKUP('Results and Rankings'!$A22,'Core Values Input'!$A$2:$A$201,'Core Values Input'!$U$2:$U$201,0,0,)</f>
        <v>#VALUE!</v>
      </c>
      <c r="V22" s="69" t="str">
        <f t="array" ref="V22">XLOOKUP('Results and Rankings'!$A22,'Innovation Project Input'!$A$2:$A$201,'Innovation Project Input'!$M$2:$M$201,0,0,)</f>
        <v>#VALUE!</v>
      </c>
      <c r="W22" s="69" t="str">
        <f t="array" ref="W22">XLOOKUP('Results and Rankings'!$A22,'Robot Design Input'!$A$2:$A$201,'Robot Design Input'!$M$2:$M$201,0,0,)</f>
        <v>#VALUE!</v>
      </c>
      <c r="X22" s="73">
        <f>IF(ISERR(GEOMEAN('Results and Rankings'!$H22,'Results and Rankings'!$U22,'Results and Rankings'!$V22,'Results and Rankings'!$W22)),0,GEOMEAN('Results and Rankings'!$H22,'Results and Rankings'!$U22,'Results and Rankings'!$V22,'Results and Rankings'!$W22))</f>
        <v>0</v>
      </c>
      <c r="Y22" s="74">
        <f>IF(X22,_xlfn.RANK.EQ(X22,X$3:X$110,0),NumberOfTeams)</f>
        <v>0</v>
      </c>
      <c r="Z22" s="38"/>
    </row>
    <row r="23" ht="21.0" customHeight="1">
      <c r="A23" s="67" t="str">
        <f t="array" ref="A23">XLOOKUP(21,'Team and Program Information'!$B$3:$B$202,'Team and Program Information'!$C$3:$C$202,"ERROR",0)</f>
        <v/>
      </c>
      <c r="B23" s="68" t="str">
        <f t="array" ref="B23">XLOOKUP('Results and Rankings'!$A23,'Team and Program Information'!$C$3:$C$202,'Team and Program Information'!$D$3:$D$202,"",0,)</f>
        <v>#VALUE!</v>
      </c>
      <c r="C23" s="69" t="str">
        <f t="array" ref="C23">IF('Results and Rankings'!$A23="","",XLOOKUP('Results and Rankings'!$A23,'Robot Game Scores'!$B$2:$B$201,'Robot Game Scores'!$D$2:$D$201,0,0,))</f>
        <v/>
      </c>
      <c r="D23" s="69" t="str">
        <f t="array" ref="D23">IF('Results and Rankings'!$A23="","",XLOOKUP('Results and Rankings'!$A23,'Robot Game Scores'!$B$2:$B$201,'Robot Game Scores'!$E$2:$E$201,0,0,))</f>
        <v/>
      </c>
      <c r="E23" s="69" t="str">
        <f t="array" ref="E23">IF('Results and Rankings'!$A23="","",XLOOKUP('Results and Rankings'!$A23,'Robot Game Scores'!$B$2:$B$201,'Robot Game Scores'!$F$2:$F$201,0,0,))</f>
        <v/>
      </c>
      <c r="F23" s="69" t="str">
        <f t="array" ref="F23">IF('Results and Rankings'!$A23="","",XLOOKUP('Results and Rankings'!$A23,'Robot Game Scores'!$B$2:$B$201,'Robot Game Scores'!$G$2:$G$201,0,0,))</f>
        <v/>
      </c>
      <c r="G23" s="69" t="str">
        <f t="array" ref="G23">IF('Results and Rankings'!$A23="","",XLOOKUP('Results and Rankings'!$A23,'Robot Game Scores'!$B$2:$B$201,'Robot Game Scores'!$H$2:$H$201,0,0,))</f>
        <v/>
      </c>
      <c r="H23" s="69" t="str">
        <f>IF('Results and Rankings'!$A23="","",IF(ISNA(LARGE('Results and Rankings'!$C23:$G23,1)+0.0001*LARGE('Results and Rankings'!$C23:$G23,2)+0.0000001*LARGE('Results and Rankings'!$C23:$G23,3)+1E-11*LARGE('Results and Rankings'!$C23:$G23,4)+1E-14*LARGE('Results and Rankings'!$C23:$G23,5)),0,LARGE('Results and Rankings'!$C23:$G23,1)+0.0001*LARGE('Results and Rankings'!$C23:$G23,2)+0.0000001*LARGE('Results and Rankings'!$C23:$G23,3)+1E-11*LARGE('Results and Rankings'!$C23:$G23,4)+1E-14*LARGE('Results and Rankings'!$C23:$G23,5)))</f>
        <v/>
      </c>
      <c r="I23" s="69" t="str">
        <f>IF('Results and Rankings'!$A23="","",_xlfn.RANK.EQ('Results and Rankings'!$H23,'Results and Rankings'!$H$3:$H$202))</f>
        <v/>
      </c>
      <c r="J23" s="69" t="str">
        <f t="array" ref="J23">IF('Results and Rankings'!$A23="","",XLOOKUP('Results and Rankings'!$A23,'Core Values Input'!$A$2:$A$201,'Core Values Input'!$V$2:$V$201,NumberOfTeams+1,0,))</f>
        <v/>
      </c>
      <c r="K23" s="69" t="str">
        <f t="array" ref="K23">IF('Results and Rankings'!$A23="","",XLOOKUP('Results and Rankings'!$A23,'Innovation Project Input'!$A$2:$A$201,'Innovation Project Input'!$N$2:$N$201,NumberOfTeams+1,0,))</f>
        <v/>
      </c>
      <c r="L23" s="69" t="str">
        <f t="array" ref="L23">IF('Results and Rankings'!$A23="","",XLOOKUP('Results and Rankings'!$A23,'Robot Design Input'!$A$2:$A$201,'Robot Design Input'!$N$2:$N$201,NumberOfTeams+1,0,))</f>
        <v/>
      </c>
      <c r="M23" s="69" t="str">
        <f> IF('Results and Rankings'!$A23="","",IF('Results and Rankings'!$J23="",NumberOfTeams+1,'Results and Rankings'!$J23) + IF('Results and Rankings'!$K23="",NumberOfTeams+1,'Results and Rankings'!$K23) + IF('Results and Rankings'!$L23="",NumberOfTeams+1,'Results and Rankings'!$L23) + 'Results and Rankings'!$I23)</f>
        <v/>
      </c>
      <c r="N23" s="70" t="str">
        <f>IF('Results and Rankings'!$A23="","",IF(M23,RANK(M23,M$3:M$202,1)-COUNTIF(M$3:M$202,0),NumberOfTeams+1))</f>
        <v/>
      </c>
      <c r="O23" s="71" t="str">
        <f t="array" ref="O23">XLOOKUP('Results and Rankings'!$A23,'Core Values Input'!$A$2:$A$201,'Core Values Input'!$W$2:$W$201,0,0,)</f>
        <v>#VALUE!</v>
      </c>
      <c r="P23" s="71" t="str">
        <f t="array" ref="P23">XLOOKUP('Results and Rankings'!$A23,'Core Values Input'!$A$2:$A$201,'Core Values Input'!$X$2:$X$201,0,0,)</f>
        <v>#VALUE!</v>
      </c>
      <c r="Q23" s="71" t="str">
        <f t="array" ref="Q23">XLOOKUP('Results and Rankings'!$A23,'Core Values Input'!$A$2:$A$201,'Core Values Input'!$Y$2:$Y$201,0,0,)</f>
        <v>#VALUE!</v>
      </c>
      <c r="R23" s="38"/>
      <c r="S23" s="38"/>
      <c r="T23" s="72"/>
      <c r="U23" s="69" t="str">
        <f t="array" ref="U23">XLOOKUP('Results and Rankings'!$A23,'Core Values Input'!$A$2:$A$201,'Core Values Input'!$U$2:$U$201,0,0,)</f>
        <v>#VALUE!</v>
      </c>
      <c r="V23" s="69" t="str">
        <f t="array" ref="V23">XLOOKUP('Results and Rankings'!$A23,'Innovation Project Input'!$A$2:$A$201,'Innovation Project Input'!$M$2:$M$201,0,0,)</f>
        <v>#VALUE!</v>
      </c>
      <c r="W23" s="69" t="str">
        <f t="array" ref="W23">XLOOKUP('Results and Rankings'!$A23,'Robot Design Input'!$A$2:$A$201,'Robot Design Input'!$M$2:$M$201,0,0,)</f>
        <v>#VALUE!</v>
      </c>
      <c r="X23" s="73">
        <f>IF(ISERR(GEOMEAN('Results and Rankings'!$H23,'Results and Rankings'!$U23,'Results and Rankings'!$V23,'Results and Rankings'!$W23)),0,GEOMEAN('Results and Rankings'!$H23,'Results and Rankings'!$U23,'Results and Rankings'!$V23,'Results and Rankings'!$W23))</f>
        <v>0</v>
      </c>
      <c r="Y23" s="74">
        <f>IF(X23,_xlfn.RANK.EQ(X23,X$3:X$110,0),NumberOfTeams)</f>
        <v>0</v>
      </c>
      <c r="Z23" s="38"/>
    </row>
    <row r="24" ht="21.0" customHeight="1">
      <c r="A24" s="67" t="str">
        <f t="array" ref="A24">XLOOKUP(22,'Team and Program Information'!$B$3:$B$202,'Team and Program Information'!$C$3:$C$202,"ERROR",0)</f>
        <v/>
      </c>
      <c r="B24" s="68" t="str">
        <f t="array" ref="B24">XLOOKUP('Results and Rankings'!$A24,'Team and Program Information'!$C$3:$C$202,'Team and Program Information'!$D$3:$D$202,"",0,)</f>
        <v>#VALUE!</v>
      </c>
      <c r="C24" s="69" t="str">
        <f t="array" ref="C24">IF('Results and Rankings'!$A24="","",XLOOKUP('Results and Rankings'!$A24,'Robot Game Scores'!$B$2:$B$201,'Robot Game Scores'!$D$2:$D$201,0,0,))</f>
        <v/>
      </c>
      <c r="D24" s="69" t="str">
        <f t="array" ref="D24">IF('Results and Rankings'!$A24="","",XLOOKUP('Results and Rankings'!$A24,'Robot Game Scores'!$B$2:$B$201,'Robot Game Scores'!$E$2:$E$201,0,0,))</f>
        <v/>
      </c>
      <c r="E24" s="69" t="str">
        <f t="array" ref="E24">IF('Results and Rankings'!$A24="","",XLOOKUP('Results and Rankings'!$A24,'Robot Game Scores'!$B$2:$B$201,'Robot Game Scores'!$F$2:$F$201,0,0,))</f>
        <v/>
      </c>
      <c r="F24" s="69" t="str">
        <f t="array" ref="F24">IF('Results and Rankings'!$A24="","",XLOOKUP('Results and Rankings'!$A24,'Robot Game Scores'!$B$2:$B$201,'Robot Game Scores'!$G$2:$G$201,0,0,))</f>
        <v/>
      </c>
      <c r="G24" s="69" t="str">
        <f t="array" ref="G24">IF('Results and Rankings'!$A24="","",XLOOKUP('Results and Rankings'!$A24,'Robot Game Scores'!$B$2:$B$201,'Robot Game Scores'!$H$2:$H$201,0,0,))</f>
        <v/>
      </c>
      <c r="H24" s="69" t="str">
        <f>IF('Results and Rankings'!$A24="","",IF(ISNA(LARGE('Results and Rankings'!$C24:$G24,1)+0.0001*LARGE('Results and Rankings'!$C24:$G24,2)+0.0000001*LARGE('Results and Rankings'!$C24:$G24,3)+1E-11*LARGE('Results and Rankings'!$C24:$G24,4)+1E-14*LARGE('Results and Rankings'!$C24:$G24,5)),0,LARGE('Results and Rankings'!$C24:$G24,1)+0.0001*LARGE('Results and Rankings'!$C24:$G24,2)+0.0000001*LARGE('Results and Rankings'!$C24:$G24,3)+1E-11*LARGE('Results and Rankings'!$C24:$G24,4)+1E-14*LARGE('Results and Rankings'!$C24:$G24,5)))</f>
        <v/>
      </c>
      <c r="I24" s="69" t="str">
        <f>IF('Results and Rankings'!$A24="","",_xlfn.RANK.EQ('Results and Rankings'!$H24,'Results and Rankings'!$H$3:$H$202))</f>
        <v/>
      </c>
      <c r="J24" s="69" t="str">
        <f t="array" ref="J24">IF('Results and Rankings'!$A24="","",XLOOKUP('Results and Rankings'!$A24,'Core Values Input'!$A$2:$A$201,'Core Values Input'!$V$2:$V$201,NumberOfTeams+1,0,))</f>
        <v/>
      </c>
      <c r="K24" s="69" t="str">
        <f t="array" ref="K24">IF('Results and Rankings'!$A24="","",XLOOKUP('Results and Rankings'!$A24,'Innovation Project Input'!$A$2:$A$201,'Innovation Project Input'!$N$2:$N$201,NumberOfTeams+1,0,))</f>
        <v/>
      </c>
      <c r="L24" s="69" t="str">
        <f t="array" ref="L24">IF('Results and Rankings'!$A24="","",XLOOKUP('Results and Rankings'!$A24,'Robot Design Input'!$A$2:$A$201,'Robot Design Input'!$N$2:$N$201,NumberOfTeams+1,0,))</f>
        <v/>
      </c>
      <c r="M24" s="69" t="str">
        <f> IF('Results and Rankings'!$A24="","",IF('Results and Rankings'!$J24="",NumberOfTeams+1,'Results and Rankings'!$J24) + IF('Results and Rankings'!$K24="",NumberOfTeams+1,'Results and Rankings'!$K24) + IF('Results and Rankings'!$L24="",NumberOfTeams+1,'Results and Rankings'!$L24) + 'Results and Rankings'!$I24)</f>
        <v/>
      </c>
      <c r="N24" s="70" t="str">
        <f>IF('Results and Rankings'!$A24="","",IF(M24,RANK(M24,M$3:M$202,1)-COUNTIF(M$3:M$202,0),NumberOfTeams+1))</f>
        <v/>
      </c>
      <c r="O24" s="71" t="str">
        <f t="array" ref="O24">XLOOKUP('Results and Rankings'!$A24,'Core Values Input'!$A$2:$A$201,'Core Values Input'!$W$2:$W$201,0,0,)</f>
        <v>#VALUE!</v>
      </c>
      <c r="P24" s="71" t="str">
        <f t="array" ref="P24">XLOOKUP('Results and Rankings'!$A24,'Core Values Input'!$A$2:$A$201,'Core Values Input'!$X$2:$X$201,0,0,)</f>
        <v>#VALUE!</v>
      </c>
      <c r="Q24" s="71" t="str">
        <f t="array" ref="Q24">XLOOKUP('Results and Rankings'!$A24,'Core Values Input'!$A$2:$A$201,'Core Values Input'!$Y$2:$Y$201,0,0,)</f>
        <v>#VALUE!</v>
      </c>
      <c r="R24" s="38"/>
      <c r="S24" s="38"/>
      <c r="T24" s="72"/>
      <c r="U24" s="69" t="str">
        <f t="array" ref="U24">XLOOKUP('Results and Rankings'!$A24,'Core Values Input'!$A$2:$A$201,'Core Values Input'!$U$2:$U$201,0,0,)</f>
        <v>#VALUE!</v>
      </c>
      <c r="V24" s="69" t="str">
        <f t="array" ref="V24">XLOOKUP('Results and Rankings'!$A24,'Innovation Project Input'!$A$2:$A$201,'Innovation Project Input'!$M$2:$M$201,0,0,)</f>
        <v>#VALUE!</v>
      </c>
      <c r="W24" s="69" t="str">
        <f t="array" ref="W24">XLOOKUP('Results and Rankings'!$A24,'Robot Design Input'!$A$2:$A$201,'Robot Design Input'!$M$2:$M$201,0,0,)</f>
        <v>#VALUE!</v>
      </c>
      <c r="X24" s="73">
        <f>IF(ISERR(GEOMEAN('Results and Rankings'!$H24,'Results and Rankings'!$U24,'Results and Rankings'!$V24,'Results and Rankings'!$W24)),0,GEOMEAN('Results and Rankings'!$H24,'Results and Rankings'!$U24,'Results and Rankings'!$V24,'Results and Rankings'!$W24))</f>
        <v>0</v>
      </c>
      <c r="Y24" s="74">
        <f>IF(X24,_xlfn.RANK.EQ(X24,X$3:X$110,0),NumberOfTeams)</f>
        <v>0</v>
      </c>
      <c r="Z24" s="38"/>
    </row>
    <row r="25" ht="21.0" customHeight="1">
      <c r="A25" s="67" t="str">
        <f t="array" ref="A25">XLOOKUP(23,'Team and Program Information'!$B$3:$B$202,'Team and Program Information'!$C$3:$C$202,"ERROR",0)</f>
        <v/>
      </c>
      <c r="B25" s="68" t="str">
        <f t="array" ref="B25">XLOOKUP('Results and Rankings'!$A25,'Team and Program Information'!$C$3:$C$202,'Team and Program Information'!$D$3:$D$202,"",0,)</f>
        <v>#VALUE!</v>
      </c>
      <c r="C25" s="69" t="str">
        <f t="array" ref="C25">IF('Results and Rankings'!$A25="","",XLOOKUP('Results and Rankings'!$A25,'Robot Game Scores'!$B$2:$B$201,'Robot Game Scores'!$D$2:$D$201,0,0,))</f>
        <v/>
      </c>
      <c r="D25" s="69" t="str">
        <f t="array" ref="D25">IF('Results and Rankings'!$A25="","",XLOOKUP('Results and Rankings'!$A25,'Robot Game Scores'!$B$2:$B$201,'Robot Game Scores'!$E$2:$E$201,0,0,))</f>
        <v/>
      </c>
      <c r="E25" s="69" t="str">
        <f t="array" ref="E25">IF('Results and Rankings'!$A25="","",XLOOKUP('Results and Rankings'!$A25,'Robot Game Scores'!$B$2:$B$201,'Robot Game Scores'!$F$2:$F$201,0,0,))</f>
        <v/>
      </c>
      <c r="F25" s="69" t="str">
        <f t="array" ref="F25">IF('Results and Rankings'!$A25="","",XLOOKUP('Results and Rankings'!$A25,'Robot Game Scores'!$B$2:$B$201,'Robot Game Scores'!$G$2:$G$201,0,0,))</f>
        <v/>
      </c>
      <c r="G25" s="69" t="str">
        <f t="array" ref="G25">IF('Results and Rankings'!$A25="","",XLOOKUP('Results and Rankings'!$A25,'Robot Game Scores'!$B$2:$B$201,'Robot Game Scores'!$H$2:$H$201,0,0,))</f>
        <v/>
      </c>
      <c r="H25" s="69" t="str">
        <f>IF('Results and Rankings'!$A25="","",IF(ISNA(LARGE('Results and Rankings'!$C25:$G25,1)+0.0001*LARGE('Results and Rankings'!$C25:$G25,2)+0.0000001*LARGE('Results and Rankings'!$C25:$G25,3)+1E-11*LARGE('Results and Rankings'!$C25:$G25,4)+1E-14*LARGE('Results and Rankings'!$C25:$G25,5)),0,LARGE('Results and Rankings'!$C25:$G25,1)+0.0001*LARGE('Results and Rankings'!$C25:$G25,2)+0.0000001*LARGE('Results and Rankings'!$C25:$G25,3)+1E-11*LARGE('Results and Rankings'!$C25:$G25,4)+1E-14*LARGE('Results and Rankings'!$C25:$G25,5)))</f>
        <v/>
      </c>
      <c r="I25" s="69" t="str">
        <f>IF('Results and Rankings'!$A25="","",_xlfn.RANK.EQ('Results and Rankings'!$H25,'Results and Rankings'!$H$3:$H$202))</f>
        <v/>
      </c>
      <c r="J25" s="69" t="str">
        <f t="array" ref="J25">IF('Results and Rankings'!$A25="","",XLOOKUP('Results and Rankings'!$A25,'Core Values Input'!$A$2:$A$201,'Core Values Input'!$V$2:$V$201,NumberOfTeams+1,0,))</f>
        <v/>
      </c>
      <c r="K25" s="69" t="str">
        <f t="array" ref="K25">IF('Results and Rankings'!$A25="","",XLOOKUP('Results and Rankings'!$A25,'Innovation Project Input'!$A$2:$A$201,'Innovation Project Input'!$N$2:$N$201,NumberOfTeams+1,0,))</f>
        <v/>
      </c>
      <c r="L25" s="69" t="str">
        <f t="array" ref="L25">IF('Results and Rankings'!$A25="","",XLOOKUP('Results and Rankings'!$A25,'Robot Design Input'!$A$2:$A$201,'Robot Design Input'!$N$2:$N$201,NumberOfTeams+1,0,))</f>
        <v/>
      </c>
      <c r="M25" s="69" t="str">
        <f> IF('Results and Rankings'!$A25="","",IF('Results and Rankings'!$J25="",NumberOfTeams+1,'Results and Rankings'!$J25) + IF('Results and Rankings'!$K25="",NumberOfTeams+1,'Results and Rankings'!$K25) + IF('Results and Rankings'!$L25="",NumberOfTeams+1,'Results and Rankings'!$L25) + 'Results and Rankings'!$I25)</f>
        <v/>
      </c>
      <c r="N25" s="70" t="str">
        <f>IF('Results and Rankings'!$A25="","",IF(M25,RANK(M25,M$3:M$202,1)-COUNTIF(M$3:M$202,0),NumberOfTeams+1))</f>
        <v/>
      </c>
      <c r="O25" s="71" t="str">
        <f t="array" ref="O25">XLOOKUP('Results and Rankings'!$A25,'Core Values Input'!$A$2:$A$201,'Core Values Input'!$W$2:$W$201,0,0,)</f>
        <v>#VALUE!</v>
      </c>
      <c r="P25" s="71" t="str">
        <f t="array" ref="P25">XLOOKUP('Results and Rankings'!$A25,'Core Values Input'!$A$2:$A$201,'Core Values Input'!$X$2:$X$201,0,0,)</f>
        <v>#VALUE!</v>
      </c>
      <c r="Q25" s="71" t="str">
        <f t="array" ref="Q25">XLOOKUP('Results and Rankings'!$A25,'Core Values Input'!$A$2:$A$201,'Core Values Input'!$Y$2:$Y$201,0,0,)</f>
        <v>#VALUE!</v>
      </c>
      <c r="R25" s="38"/>
      <c r="S25" s="38"/>
      <c r="T25" s="72"/>
      <c r="U25" s="69" t="str">
        <f t="array" ref="U25">XLOOKUP('Results and Rankings'!$A25,'Core Values Input'!$A$2:$A$201,'Core Values Input'!$U$2:$U$201,0,0,)</f>
        <v>#VALUE!</v>
      </c>
      <c r="V25" s="69" t="str">
        <f t="array" ref="V25">XLOOKUP('Results and Rankings'!$A25,'Innovation Project Input'!$A$2:$A$201,'Innovation Project Input'!$M$2:$M$201,0,0,)</f>
        <v>#VALUE!</v>
      </c>
      <c r="W25" s="69" t="str">
        <f t="array" ref="W25">XLOOKUP('Results and Rankings'!$A25,'Robot Design Input'!$A$2:$A$201,'Robot Design Input'!$M$2:$M$201,0,0,)</f>
        <v>#VALUE!</v>
      </c>
      <c r="X25" s="73">
        <f>IF(ISERR(GEOMEAN('Results and Rankings'!$H25,'Results and Rankings'!$U25,'Results and Rankings'!$V25,'Results and Rankings'!$W25)),0,GEOMEAN('Results and Rankings'!$H25,'Results and Rankings'!$U25,'Results and Rankings'!$V25,'Results and Rankings'!$W25))</f>
        <v>0</v>
      </c>
      <c r="Y25" s="74">
        <f>IF(X25,_xlfn.RANK.EQ(X25,X$3:X$110,0),NumberOfTeams)</f>
        <v>0</v>
      </c>
      <c r="Z25" s="38"/>
    </row>
    <row r="26" ht="21.0" customHeight="1">
      <c r="A26" s="67" t="str">
        <f t="array" ref="A26">XLOOKUP(24,'Team and Program Information'!$B$3:$B$202,'Team and Program Information'!$C$3:$C$202,"ERROR",0)</f>
        <v/>
      </c>
      <c r="B26" s="68" t="str">
        <f t="array" ref="B26">XLOOKUP('Results and Rankings'!$A26,'Team and Program Information'!$C$3:$C$202,'Team and Program Information'!$D$3:$D$202,"",0,)</f>
        <v>#VALUE!</v>
      </c>
      <c r="C26" s="69" t="str">
        <f t="array" ref="C26">IF('Results and Rankings'!$A26="","",XLOOKUP('Results and Rankings'!$A26,'Robot Game Scores'!$B$2:$B$201,'Robot Game Scores'!$D$2:$D$201,0,0,))</f>
        <v/>
      </c>
      <c r="D26" s="69" t="str">
        <f t="array" ref="D26">IF('Results and Rankings'!$A26="","",XLOOKUP('Results and Rankings'!$A26,'Robot Game Scores'!$B$2:$B$201,'Robot Game Scores'!$E$2:$E$201,0,0,))</f>
        <v/>
      </c>
      <c r="E26" s="69" t="str">
        <f t="array" ref="E26">IF('Results and Rankings'!$A26="","",XLOOKUP('Results and Rankings'!$A26,'Robot Game Scores'!$B$2:$B$201,'Robot Game Scores'!$F$2:$F$201,0,0,))</f>
        <v/>
      </c>
      <c r="F26" s="69" t="str">
        <f t="array" ref="F26">IF('Results and Rankings'!$A26="","",XLOOKUP('Results and Rankings'!$A26,'Robot Game Scores'!$B$2:$B$201,'Robot Game Scores'!$G$2:$G$201,0,0,))</f>
        <v/>
      </c>
      <c r="G26" s="69" t="str">
        <f t="array" ref="G26">IF('Results and Rankings'!$A26="","",XLOOKUP('Results and Rankings'!$A26,'Robot Game Scores'!$B$2:$B$201,'Robot Game Scores'!$H$2:$H$201,0,0,))</f>
        <v/>
      </c>
      <c r="H26" s="69" t="str">
        <f>IF('Results and Rankings'!$A26="","",IF(ISNA(LARGE('Results and Rankings'!$C26:$G26,1)+0.0001*LARGE('Results and Rankings'!$C26:$G26,2)+0.0000001*LARGE('Results and Rankings'!$C26:$G26,3)+1E-11*LARGE('Results and Rankings'!$C26:$G26,4)+1E-14*LARGE('Results and Rankings'!$C26:$G26,5)),0,LARGE('Results and Rankings'!$C26:$G26,1)+0.0001*LARGE('Results and Rankings'!$C26:$G26,2)+0.0000001*LARGE('Results and Rankings'!$C26:$G26,3)+1E-11*LARGE('Results and Rankings'!$C26:$G26,4)+1E-14*LARGE('Results and Rankings'!$C26:$G26,5)))</f>
        <v/>
      </c>
      <c r="I26" s="69" t="str">
        <f>IF('Results and Rankings'!$A26="","",_xlfn.RANK.EQ('Results and Rankings'!$H26,'Results and Rankings'!$H$3:$H$202))</f>
        <v/>
      </c>
      <c r="J26" s="69" t="str">
        <f t="array" ref="J26">IF('Results and Rankings'!$A26="","",XLOOKUP('Results and Rankings'!$A26,'Core Values Input'!$A$2:$A$201,'Core Values Input'!$V$2:$V$201,NumberOfTeams+1,0,))</f>
        <v/>
      </c>
      <c r="K26" s="69" t="str">
        <f t="array" ref="K26">IF('Results and Rankings'!$A26="","",XLOOKUP('Results and Rankings'!$A26,'Innovation Project Input'!$A$2:$A$201,'Innovation Project Input'!$N$2:$N$201,NumberOfTeams+1,0,))</f>
        <v/>
      </c>
      <c r="L26" s="69" t="str">
        <f t="array" ref="L26">IF('Results and Rankings'!$A26="","",XLOOKUP('Results and Rankings'!$A26,'Robot Design Input'!$A$2:$A$201,'Robot Design Input'!$N$2:$N$201,NumberOfTeams+1,0,))</f>
        <v/>
      </c>
      <c r="M26" s="69" t="str">
        <f> IF('Results and Rankings'!$A26="","",IF('Results and Rankings'!$J26="",NumberOfTeams+1,'Results and Rankings'!$J26) + IF('Results and Rankings'!$K26="",NumberOfTeams+1,'Results and Rankings'!$K26) + IF('Results and Rankings'!$L26="",NumberOfTeams+1,'Results and Rankings'!$L26) + 'Results and Rankings'!$I26)</f>
        <v/>
      </c>
      <c r="N26" s="70" t="str">
        <f>IF('Results and Rankings'!$A26="","",IF(M26,RANK(M26,M$3:M$202,1)-COUNTIF(M$3:M$202,0),NumberOfTeams+1))</f>
        <v/>
      </c>
      <c r="O26" s="72" t="str">
        <f t="array" ref="O26">XLOOKUP('Results and Rankings'!$A26,'Core Values Input'!$A$2:$A$201,'Core Values Input'!$W$2:$W$201,0,0,)</f>
        <v>#VALUE!</v>
      </c>
      <c r="P26" s="72" t="str">
        <f t="array" ref="P26">XLOOKUP('Results and Rankings'!$A26,'Core Values Input'!$A$2:$A$201,'Core Values Input'!$X$2:$X$201,0,0,)</f>
        <v>#VALUE!</v>
      </c>
      <c r="Q26" s="72" t="str">
        <f t="array" ref="Q26">XLOOKUP('Results and Rankings'!$A26,'Core Values Input'!$A$2:$A$201,'Core Values Input'!$Y$2:$Y$201,0,0,)</f>
        <v>#VALUE!</v>
      </c>
      <c r="R26" s="38"/>
      <c r="S26" s="38"/>
      <c r="T26" s="72"/>
      <c r="U26" s="69" t="str">
        <f t="array" ref="U26">XLOOKUP('Results and Rankings'!$A26,'Core Values Input'!$A$2:$A$201,'Core Values Input'!$U$2:$U$201,0,0,)</f>
        <v>#VALUE!</v>
      </c>
      <c r="V26" s="69" t="str">
        <f t="array" ref="V26">XLOOKUP('Results and Rankings'!$A26,'Innovation Project Input'!$A$2:$A$201,'Innovation Project Input'!$M$2:$M$201,0,0,)</f>
        <v>#VALUE!</v>
      </c>
      <c r="W26" s="69" t="str">
        <f t="array" ref="W26">XLOOKUP('Results and Rankings'!$A26,'Robot Design Input'!$A$2:$A$201,'Robot Design Input'!$M$2:$M$201,0,0,)</f>
        <v>#VALUE!</v>
      </c>
      <c r="X26" s="73">
        <f>IF(ISERR(GEOMEAN('Results and Rankings'!$H26,'Results and Rankings'!$U26,'Results and Rankings'!$V26,'Results and Rankings'!$W26)),0,GEOMEAN('Results and Rankings'!$H26,'Results and Rankings'!$U26,'Results and Rankings'!$V26,'Results and Rankings'!$W26))</f>
        <v>0</v>
      </c>
      <c r="Y26" s="74">
        <f>IF(X26,_xlfn.RANK.EQ(X26,X$3:X$110,0),NumberOfTeams)</f>
        <v>0</v>
      </c>
      <c r="Z26" s="38"/>
    </row>
    <row r="27" ht="21.0" customHeight="1">
      <c r="A27" s="67" t="str">
        <f t="array" ref="A27">XLOOKUP(25,'Team and Program Information'!$B$3:$B$202,'Team and Program Information'!$C$3:$C$202,"ERROR",0)</f>
        <v/>
      </c>
      <c r="B27" s="68" t="str">
        <f t="array" ref="B27">XLOOKUP('Results and Rankings'!$A27,'Team and Program Information'!$C$3:$C$202,'Team and Program Information'!$D$3:$D$202,"",0,)</f>
        <v>#VALUE!</v>
      </c>
      <c r="C27" s="69" t="str">
        <f t="array" ref="C27">IF('Results and Rankings'!$A27="","",XLOOKUP('Results and Rankings'!$A27,'Robot Game Scores'!$B$2:$B$201,'Robot Game Scores'!$D$2:$D$201,0,0,))</f>
        <v/>
      </c>
      <c r="D27" s="69" t="str">
        <f t="array" ref="D27">IF('Results and Rankings'!$A27="","",XLOOKUP('Results and Rankings'!$A27,'Robot Game Scores'!$B$2:$B$201,'Robot Game Scores'!$E$2:$E$201,0,0,))</f>
        <v/>
      </c>
      <c r="E27" s="69" t="str">
        <f t="array" ref="E27">IF('Results and Rankings'!$A27="","",XLOOKUP('Results and Rankings'!$A27,'Robot Game Scores'!$B$2:$B$201,'Robot Game Scores'!$F$2:$F$201,0,0,))</f>
        <v/>
      </c>
      <c r="F27" s="69" t="str">
        <f t="array" ref="F27">IF('Results and Rankings'!$A27="","",XLOOKUP('Results and Rankings'!$A27,'Robot Game Scores'!$B$2:$B$201,'Robot Game Scores'!$G$2:$G$201,0,0,))</f>
        <v/>
      </c>
      <c r="G27" s="69" t="str">
        <f t="array" ref="G27">IF('Results and Rankings'!$A27="","",XLOOKUP('Results and Rankings'!$A27,'Robot Game Scores'!$B$2:$B$201,'Robot Game Scores'!$H$2:$H$201,0,0,))</f>
        <v/>
      </c>
      <c r="H27" s="69" t="str">
        <f>IF('Results and Rankings'!$A27="","",IF(ISNA(LARGE('Results and Rankings'!$C27:$G27,1)+0.0001*LARGE('Results and Rankings'!$C27:$G27,2)+0.0000001*LARGE('Results and Rankings'!$C27:$G27,3)+1E-11*LARGE('Results and Rankings'!$C27:$G27,4)+1E-14*LARGE('Results and Rankings'!$C27:$G27,5)),0,LARGE('Results and Rankings'!$C27:$G27,1)+0.0001*LARGE('Results and Rankings'!$C27:$G27,2)+0.0000001*LARGE('Results and Rankings'!$C27:$G27,3)+1E-11*LARGE('Results and Rankings'!$C27:$G27,4)+1E-14*LARGE('Results and Rankings'!$C27:$G27,5)))</f>
        <v/>
      </c>
      <c r="I27" s="69" t="str">
        <f>IF('Results and Rankings'!$A27="","",_xlfn.RANK.EQ('Results and Rankings'!$H27,'Results and Rankings'!$H$3:$H$202))</f>
        <v/>
      </c>
      <c r="J27" s="69" t="str">
        <f t="array" ref="J27">IF('Results and Rankings'!$A27="","",XLOOKUP('Results and Rankings'!$A27,'Core Values Input'!$A$2:$A$201,'Core Values Input'!$V$2:$V$201,NumberOfTeams+1,0,))</f>
        <v/>
      </c>
      <c r="K27" s="69" t="str">
        <f t="array" ref="K27">IF('Results and Rankings'!$A27="","",XLOOKUP('Results and Rankings'!$A27,'Innovation Project Input'!$A$2:$A$201,'Innovation Project Input'!$N$2:$N$201,NumberOfTeams+1,0,))</f>
        <v/>
      </c>
      <c r="L27" s="69" t="str">
        <f t="array" ref="L27">IF('Results and Rankings'!$A27="","",XLOOKUP('Results and Rankings'!$A27,'Robot Design Input'!$A$2:$A$201,'Robot Design Input'!$N$2:$N$201,NumberOfTeams+1,0,))</f>
        <v/>
      </c>
      <c r="M27" s="69" t="str">
        <f> IF('Results and Rankings'!$A27="","",IF('Results and Rankings'!$J27="",NumberOfTeams+1,'Results and Rankings'!$J27) + IF('Results and Rankings'!$K27="",NumberOfTeams+1,'Results and Rankings'!$K27) + IF('Results and Rankings'!$L27="",NumberOfTeams+1,'Results and Rankings'!$L27) + 'Results and Rankings'!$I27)</f>
        <v/>
      </c>
      <c r="N27" s="70" t="str">
        <f>IF('Results and Rankings'!$A27="","",IF(M27,RANK(M27,M$3:M$202,1)-COUNTIF(M$3:M$202,0),NumberOfTeams+1))</f>
        <v/>
      </c>
      <c r="O27" s="71" t="str">
        <f t="array" ref="O27">XLOOKUP('Results and Rankings'!$A27,'Core Values Input'!$A$2:$A$201,'Core Values Input'!$W$2:$W$201,0,0,)</f>
        <v>#VALUE!</v>
      </c>
      <c r="P27" s="71" t="str">
        <f t="array" ref="P27">XLOOKUP('Results and Rankings'!$A27,'Core Values Input'!$A$2:$A$201,'Core Values Input'!$X$2:$X$201,0,0,)</f>
        <v>#VALUE!</v>
      </c>
      <c r="Q27" s="71" t="str">
        <f t="array" ref="Q27">XLOOKUP('Results and Rankings'!$A27,'Core Values Input'!$A$2:$A$201,'Core Values Input'!$Y$2:$Y$201,0,0,)</f>
        <v>#VALUE!</v>
      </c>
      <c r="R27" s="38"/>
      <c r="S27" s="38"/>
      <c r="T27" s="72"/>
      <c r="U27" s="69" t="str">
        <f t="array" ref="U27">XLOOKUP('Results and Rankings'!$A27,'Core Values Input'!$A$2:$A$201,'Core Values Input'!$U$2:$U$201,0,0,)</f>
        <v>#VALUE!</v>
      </c>
      <c r="V27" s="69" t="str">
        <f t="array" ref="V27">XLOOKUP('Results and Rankings'!$A27,'Innovation Project Input'!$A$2:$A$201,'Innovation Project Input'!$M$2:$M$201,0,0,)</f>
        <v>#VALUE!</v>
      </c>
      <c r="W27" s="69" t="str">
        <f t="array" ref="W27">XLOOKUP('Results and Rankings'!$A27,'Robot Design Input'!$A$2:$A$201,'Robot Design Input'!$M$2:$M$201,0,0,)</f>
        <v>#VALUE!</v>
      </c>
      <c r="X27" s="73">
        <f>IF(ISERR(GEOMEAN('Results and Rankings'!$H27,'Results and Rankings'!$U27,'Results and Rankings'!$V27,'Results and Rankings'!$W27)),0,GEOMEAN('Results and Rankings'!$H27,'Results and Rankings'!$U27,'Results and Rankings'!$V27,'Results and Rankings'!$W27))</f>
        <v>0</v>
      </c>
      <c r="Y27" s="74">
        <f>IF(X27,_xlfn.RANK.EQ(X27,X$3:X$110,0),NumberOfTeams)</f>
        <v>0</v>
      </c>
      <c r="Z27" s="38"/>
    </row>
    <row r="28" ht="21.0" customHeight="1">
      <c r="A28" s="67" t="str">
        <f t="array" ref="A28">XLOOKUP(26,'Team and Program Information'!$B$3:$B$202,'Team and Program Information'!$C$3:$C$202,"ERROR",0)</f>
        <v/>
      </c>
      <c r="B28" s="68" t="str">
        <f t="array" ref="B28">XLOOKUP('Results and Rankings'!$A28,'Team and Program Information'!$C$3:$C$202,'Team and Program Information'!$D$3:$D$202,"",0,)</f>
        <v>#VALUE!</v>
      </c>
      <c r="C28" s="69" t="str">
        <f t="array" ref="C28">IF('Results and Rankings'!$A28="","",XLOOKUP('Results and Rankings'!$A28,'Robot Game Scores'!$B$2:$B$201,'Robot Game Scores'!$D$2:$D$201,0,0,))</f>
        <v/>
      </c>
      <c r="D28" s="69" t="str">
        <f t="array" ref="D28">IF('Results and Rankings'!$A28="","",XLOOKUP('Results and Rankings'!$A28,'Robot Game Scores'!$B$2:$B$201,'Robot Game Scores'!$E$2:$E$201,0,0,))</f>
        <v/>
      </c>
      <c r="E28" s="69" t="str">
        <f t="array" ref="E28">IF('Results and Rankings'!$A28="","",XLOOKUP('Results and Rankings'!$A28,'Robot Game Scores'!$B$2:$B$201,'Robot Game Scores'!$F$2:$F$201,0,0,))</f>
        <v/>
      </c>
      <c r="F28" s="69" t="str">
        <f t="array" ref="F28">IF('Results and Rankings'!$A28="","",XLOOKUP('Results and Rankings'!$A28,'Robot Game Scores'!$B$2:$B$201,'Robot Game Scores'!$G$2:$G$201,0,0,))</f>
        <v/>
      </c>
      <c r="G28" s="69" t="str">
        <f t="array" ref="G28">IF('Results and Rankings'!$A28="","",XLOOKUP('Results and Rankings'!$A28,'Robot Game Scores'!$B$2:$B$201,'Robot Game Scores'!$H$2:$H$201,0,0,))</f>
        <v/>
      </c>
      <c r="H28" s="69" t="str">
        <f>IF('Results and Rankings'!$A28="","",IF(ISNA(LARGE('Results and Rankings'!$C28:$G28,1)+0.0001*LARGE('Results and Rankings'!$C28:$G28,2)+0.0000001*LARGE('Results and Rankings'!$C28:$G28,3)+1E-11*LARGE('Results and Rankings'!$C28:$G28,4)+1E-14*LARGE('Results and Rankings'!$C28:$G28,5)),0,LARGE('Results and Rankings'!$C28:$G28,1)+0.0001*LARGE('Results and Rankings'!$C28:$G28,2)+0.0000001*LARGE('Results and Rankings'!$C28:$G28,3)+1E-11*LARGE('Results and Rankings'!$C28:$G28,4)+1E-14*LARGE('Results and Rankings'!$C28:$G28,5)))</f>
        <v/>
      </c>
      <c r="I28" s="69" t="str">
        <f>IF('Results and Rankings'!$A28="","",_xlfn.RANK.EQ('Results and Rankings'!$H28,'Results and Rankings'!$H$3:$H$202))</f>
        <v/>
      </c>
      <c r="J28" s="69" t="str">
        <f t="array" ref="J28">IF('Results and Rankings'!$A28="","",XLOOKUP('Results and Rankings'!$A28,'Core Values Input'!$A$2:$A$201,'Core Values Input'!$V$2:$V$201,NumberOfTeams+1,0,))</f>
        <v/>
      </c>
      <c r="K28" s="69" t="str">
        <f t="array" ref="K28">IF('Results and Rankings'!$A28="","",XLOOKUP('Results and Rankings'!$A28,'Innovation Project Input'!$A$2:$A$201,'Innovation Project Input'!$N$2:$N$201,NumberOfTeams+1,0,))</f>
        <v/>
      </c>
      <c r="L28" s="69" t="str">
        <f t="array" ref="L28">IF('Results and Rankings'!$A28="","",XLOOKUP('Results and Rankings'!$A28,'Robot Design Input'!$A$2:$A$201,'Robot Design Input'!$N$2:$N$201,NumberOfTeams+1,0,))</f>
        <v/>
      </c>
      <c r="M28" s="69" t="str">
        <f> IF('Results and Rankings'!$A28="","",IF('Results and Rankings'!$J28="",NumberOfTeams+1,'Results and Rankings'!$J28) + IF('Results and Rankings'!$K28="",NumberOfTeams+1,'Results and Rankings'!$K28) + IF('Results and Rankings'!$L28="",NumberOfTeams+1,'Results and Rankings'!$L28) + 'Results and Rankings'!$I28)</f>
        <v/>
      </c>
      <c r="N28" s="70" t="str">
        <f>IF('Results and Rankings'!$A28="","",IF(M28,RANK(M28,M$3:M$202,1)-COUNTIF(M$3:M$202,0),NumberOfTeams+1))</f>
        <v/>
      </c>
      <c r="O28" s="71" t="str">
        <f t="array" ref="O28">XLOOKUP('Results and Rankings'!$A28,'Core Values Input'!$A$2:$A$201,'Core Values Input'!$W$2:$W$201,0,0,)</f>
        <v>#VALUE!</v>
      </c>
      <c r="P28" s="71" t="str">
        <f t="array" ref="P28">XLOOKUP('Results and Rankings'!$A28,'Core Values Input'!$A$2:$A$201,'Core Values Input'!$X$2:$X$201,0,0,)</f>
        <v>#VALUE!</v>
      </c>
      <c r="Q28" s="71" t="str">
        <f t="array" ref="Q28">XLOOKUP('Results and Rankings'!$A28,'Core Values Input'!$A$2:$A$201,'Core Values Input'!$Y$2:$Y$201,0,0,)</f>
        <v>#VALUE!</v>
      </c>
      <c r="R28" s="38"/>
      <c r="S28" s="38"/>
      <c r="T28" s="72"/>
      <c r="U28" s="69" t="str">
        <f t="array" ref="U28">XLOOKUP('Results and Rankings'!$A28,'Core Values Input'!$A$2:$A$201,'Core Values Input'!$U$2:$U$201,0,0,)</f>
        <v>#VALUE!</v>
      </c>
      <c r="V28" s="69" t="str">
        <f t="array" ref="V28">XLOOKUP('Results and Rankings'!$A28,'Innovation Project Input'!$A$2:$A$201,'Innovation Project Input'!$M$2:$M$201,0,0,)</f>
        <v>#VALUE!</v>
      </c>
      <c r="W28" s="69" t="str">
        <f t="array" ref="W28">XLOOKUP('Results and Rankings'!$A28,'Robot Design Input'!$A$2:$A$201,'Robot Design Input'!$M$2:$M$201,0,0,)</f>
        <v>#VALUE!</v>
      </c>
      <c r="X28" s="73">
        <f>IF(ISERR(GEOMEAN('Results and Rankings'!$H28,'Results and Rankings'!$U28,'Results and Rankings'!$V28,'Results and Rankings'!$W28)),0,GEOMEAN('Results and Rankings'!$H28,'Results and Rankings'!$U28,'Results and Rankings'!$V28,'Results and Rankings'!$W28))</f>
        <v>0</v>
      </c>
      <c r="Y28" s="74">
        <f>IF(X28,_xlfn.RANK.EQ(X28,X$3:X$110,0),NumberOfTeams)</f>
        <v>0</v>
      </c>
      <c r="Z28" s="38"/>
    </row>
    <row r="29" ht="21.0" customHeight="1">
      <c r="A29" s="67" t="str">
        <f t="array" ref="A29">XLOOKUP(27,'Team and Program Information'!$B$3:$B$202,'Team and Program Information'!$C$3:$C$202,"ERROR",0)</f>
        <v/>
      </c>
      <c r="B29" s="68" t="str">
        <f t="array" ref="B29">XLOOKUP('Results and Rankings'!$A29,'Team and Program Information'!$C$3:$C$202,'Team and Program Information'!$D$3:$D$202,"",0,)</f>
        <v>#VALUE!</v>
      </c>
      <c r="C29" s="69" t="str">
        <f t="array" ref="C29">IF('Results and Rankings'!$A29="","",XLOOKUP('Results and Rankings'!$A29,'Robot Game Scores'!$B$2:$B$201,'Robot Game Scores'!$D$2:$D$201,0,0,))</f>
        <v/>
      </c>
      <c r="D29" s="69" t="str">
        <f t="array" ref="D29">IF('Results and Rankings'!$A29="","",XLOOKUP('Results and Rankings'!$A29,'Robot Game Scores'!$B$2:$B$201,'Robot Game Scores'!$E$2:$E$201,0,0,))</f>
        <v/>
      </c>
      <c r="E29" s="69" t="str">
        <f t="array" ref="E29">IF('Results and Rankings'!$A29="","",XLOOKUP('Results and Rankings'!$A29,'Robot Game Scores'!$B$2:$B$201,'Robot Game Scores'!$F$2:$F$201,0,0,))</f>
        <v/>
      </c>
      <c r="F29" s="69" t="str">
        <f t="array" ref="F29">IF('Results and Rankings'!$A29="","",XLOOKUP('Results and Rankings'!$A29,'Robot Game Scores'!$B$2:$B$201,'Robot Game Scores'!$G$2:$G$201,0,0,))</f>
        <v/>
      </c>
      <c r="G29" s="69" t="str">
        <f t="array" ref="G29">IF('Results and Rankings'!$A29="","",XLOOKUP('Results and Rankings'!$A29,'Robot Game Scores'!$B$2:$B$201,'Robot Game Scores'!$H$2:$H$201,0,0,))</f>
        <v/>
      </c>
      <c r="H29" s="69" t="str">
        <f>IF('Results and Rankings'!$A29="","",IF(ISNA(LARGE('Results and Rankings'!$C29:$G29,1)+0.0001*LARGE('Results and Rankings'!$C29:$G29,2)+0.0000001*LARGE('Results and Rankings'!$C29:$G29,3)+1E-11*LARGE('Results and Rankings'!$C29:$G29,4)+1E-14*LARGE('Results and Rankings'!$C29:$G29,5)),0,LARGE('Results and Rankings'!$C29:$G29,1)+0.0001*LARGE('Results and Rankings'!$C29:$G29,2)+0.0000001*LARGE('Results and Rankings'!$C29:$G29,3)+1E-11*LARGE('Results and Rankings'!$C29:$G29,4)+1E-14*LARGE('Results and Rankings'!$C29:$G29,5)))</f>
        <v/>
      </c>
      <c r="I29" s="69" t="str">
        <f>IF('Results and Rankings'!$A29="","",_xlfn.RANK.EQ('Results and Rankings'!$H29,'Results and Rankings'!$H$3:$H$202))</f>
        <v/>
      </c>
      <c r="J29" s="69" t="str">
        <f t="array" ref="J29">IF('Results and Rankings'!$A29="","",XLOOKUP('Results and Rankings'!$A29,'Core Values Input'!$A$2:$A$201,'Core Values Input'!$V$2:$V$201,NumberOfTeams+1,0,))</f>
        <v/>
      </c>
      <c r="K29" s="69" t="str">
        <f t="array" ref="K29">IF('Results and Rankings'!$A29="","",XLOOKUP('Results and Rankings'!$A29,'Innovation Project Input'!$A$2:$A$201,'Innovation Project Input'!$N$2:$N$201,NumberOfTeams+1,0,))</f>
        <v/>
      </c>
      <c r="L29" s="69" t="str">
        <f t="array" ref="L29">IF('Results and Rankings'!$A29="","",XLOOKUP('Results and Rankings'!$A29,'Robot Design Input'!$A$2:$A$201,'Robot Design Input'!$N$2:$N$201,NumberOfTeams+1,0,))</f>
        <v/>
      </c>
      <c r="M29" s="69" t="str">
        <f> IF('Results and Rankings'!$A29="","",IF('Results and Rankings'!$J29="",NumberOfTeams+1,'Results and Rankings'!$J29) + IF('Results and Rankings'!$K29="",NumberOfTeams+1,'Results and Rankings'!$K29) + IF('Results and Rankings'!$L29="",NumberOfTeams+1,'Results and Rankings'!$L29) + 'Results and Rankings'!$I29)</f>
        <v/>
      </c>
      <c r="N29" s="70" t="str">
        <f>IF('Results and Rankings'!$A29="","",IF(M29,RANK(M29,M$3:M$202,1)-COUNTIF(M$3:M$202,0),NumberOfTeams+1))</f>
        <v/>
      </c>
      <c r="O29" s="71" t="str">
        <f t="array" ref="O29">XLOOKUP('Results and Rankings'!$A29,'Core Values Input'!$A$2:$A$201,'Core Values Input'!$W$2:$W$201,0,0,)</f>
        <v>#VALUE!</v>
      </c>
      <c r="P29" s="71" t="str">
        <f t="array" ref="P29">XLOOKUP('Results and Rankings'!$A29,'Core Values Input'!$A$2:$A$201,'Core Values Input'!$X$2:$X$201,0,0,)</f>
        <v>#VALUE!</v>
      </c>
      <c r="Q29" s="71" t="str">
        <f t="array" ref="Q29">XLOOKUP('Results and Rankings'!$A29,'Core Values Input'!$A$2:$A$201,'Core Values Input'!$Y$2:$Y$201,0,0,)</f>
        <v>#VALUE!</v>
      </c>
      <c r="R29" s="38"/>
      <c r="S29" s="38"/>
      <c r="T29" s="72"/>
      <c r="U29" s="69" t="str">
        <f t="array" ref="U29">XLOOKUP('Results and Rankings'!$A29,'Core Values Input'!$A$2:$A$201,'Core Values Input'!$U$2:$U$201,0,0,)</f>
        <v>#VALUE!</v>
      </c>
      <c r="V29" s="69" t="str">
        <f t="array" ref="V29">XLOOKUP('Results and Rankings'!$A29,'Innovation Project Input'!$A$2:$A$201,'Innovation Project Input'!$M$2:$M$201,0,0,)</f>
        <v>#VALUE!</v>
      </c>
      <c r="W29" s="69" t="str">
        <f t="array" ref="W29">XLOOKUP('Results and Rankings'!$A29,'Robot Design Input'!$A$2:$A$201,'Robot Design Input'!$M$2:$M$201,0,0,)</f>
        <v>#VALUE!</v>
      </c>
      <c r="X29" s="73">
        <f>IF(ISERR(GEOMEAN('Results and Rankings'!$H29,'Results and Rankings'!$U29,'Results and Rankings'!$V29,'Results and Rankings'!$W29)),0,GEOMEAN('Results and Rankings'!$H29,'Results and Rankings'!$U29,'Results and Rankings'!$V29,'Results and Rankings'!$W29))</f>
        <v>0</v>
      </c>
      <c r="Y29" s="74">
        <f>IF(X29,_xlfn.RANK.EQ(X29,X$3:X$110,0),NumberOfTeams)</f>
        <v>0</v>
      </c>
      <c r="Z29" s="38"/>
    </row>
    <row r="30" ht="21.0" customHeight="1">
      <c r="A30" s="67" t="str">
        <f t="array" ref="A30">XLOOKUP(28,'Team and Program Information'!$B$3:$B$202,'Team and Program Information'!$C$3:$C$202,"ERROR",0)</f>
        <v/>
      </c>
      <c r="B30" s="68" t="str">
        <f t="array" ref="B30">XLOOKUP('Results and Rankings'!$A30,'Team and Program Information'!$C$3:$C$202,'Team and Program Information'!$D$3:$D$202,"",0,)</f>
        <v>#VALUE!</v>
      </c>
      <c r="C30" s="69" t="str">
        <f t="array" ref="C30">IF('Results and Rankings'!$A30="","",XLOOKUP('Results and Rankings'!$A30,'Robot Game Scores'!$B$2:$B$201,'Robot Game Scores'!$D$2:$D$201,0,0,))</f>
        <v/>
      </c>
      <c r="D30" s="69" t="str">
        <f t="array" ref="D30">IF('Results and Rankings'!$A30="","",XLOOKUP('Results and Rankings'!$A30,'Robot Game Scores'!$B$2:$B$201,'Robot Game Scores'!$E$2:$E$201,0,0,))</f>
        <v/>
      </c>
      <c r="E30" s="69" t="str">
        <f t="array" ref="E30">IF('Results and Rankings'!$A30="","",XLOOKUP('Results and Rankings'!$A30,'Robot Game Scores'!$B$2:$B$201,'Robot Game Scores'!$F$2:$F$201,0,0,))</f>
        <v/>
      </c>
      <c r="F30" s="69" t="str">
        <f t="array" ref="F30">IF('Results and Rankings'!$A30="","",XLOOKUP('Results and Rankings'!$A30,'Robot Game Scores'!$B$2:$B$201,'Robot Game Scores'!$G$2:$G$201,0,0,))</f>
        <v/>
      </c>
      <c r="G30" s="69" t="str">
        <f t="array" ref="G30">IF('Results and Rankings'!$A30="","",XLOOKUP('Results and Rankings'!$A30,'Robot Game Scores'!$B$2:$B$201,'Robot Game Scores'!$H$2:$H$201,0,0,))</f>
        <v/>
      </c>
      <c r="H30" s="69" t="str">
        <f>IF('Results and Rankings'!$A30="","",IF(ISNA(LARGE('Results and Rankings'!$C30:$G30,1)+0.0001*LARGE('Results and Rankings'!$C30:$G30,2)+0.0000001*LARGE('Results and Rankings'!$C30:$G30,3)+1E-11*LARGE('Results and Rankings'!$C30:$G30,4)+1E-14*LARGE('Results and Rankings'!$C30:$G30,5)),0,LARGE('Results and Rankings'!$C30:$G30,1)+0.0001*LARGE('Results and Rankings'!$C30:$G30,2)+0.0000001*LARGE('Results and Rankings'!$C30:$G30,3)+1E-11*LARGE('Results and Rankings'!$C30:$G30,4)+1E-14*LARGE('Results and Rankings'!$C30:$G30,5)))</f>
        <v/>
      </c>
      <c r="I30" s="69" t="str">
        <f>IF('Results and Rankings'!$A30="","",_xlfn.RANK.EQ('Results and Rankings'!$H30,'Results and Rankings'!$H$3:$H$202))</f>
        <v/>
      </c>
      <c r="J30" s="69" t="str">
        <f t="array" ref="J30">IF('Results and Rankings'!$A30="","",XLOOKUP('Results and Rankings'!$A30,'Core Values Input'!$A$2:$A$201,'Core Values Input'!$V$2:$V$201,NumberOfTeams+1,0,))</f>
        <v/>
      </c>
      <c r="K30" s="69" t="str">
        <f t="array" ref="K30">IF('Results and Rankings'!$A30="","",XLOOKUP('Results and Rankings'!$A30,'Innovation Project Input'!$A$2:$A$201,'Innovation Project Input'!$N$2:$N$201,NumberOfTeams+1,0,))</f>
        <v/>
      </c>
      <c r="L30" s="69" t="str">
        <f t="array" ref="L30">IF('Results and Rankings'!$A30="","",XLOOKUP('Results and Rankings'!$A30,'Robot Design Input'!$A$2:$A$201,'Robot Design Input'!$N$2:$N$201,NumberOfTeams+1,0,))</f>
        <v/>
      </c>
      <c r="M30" s="69" t="str">
        <f> IF('Results and Rankings'!$A30="","",IF('Results and Rankings'!$J30="",NumberOfTeams+1,'Results and Rankings'!$J30) + IF('Results and Rankings'!$K30="",NumberOfTeams+1,'Results and Rankings'!$K30) + IF('Results and Rankings'!$L30="",NumberOfTeams+1,'Results and Rankings'!$L30) + 'Results and Rankings'!$I30)</f>
        <v/>
      </c>
      <c r="N30" s="70" t="str">
        <f>IF('Results and Rankings'!$A30="","",IF(M30,RANK(M30,M$3:M$202,1)-COUNTIF(M$3:M$202,0),NumberOfTeams+1))</f>
        <v/>
      </c>
      <c r="O30" s="72" t="str">
        <f t="array" ref="O30">XLOOKUP('Results and Rankings'!$A30,'Core Values Input'!$A$2:$A$201,'Core Values Input'!$W$2:$W$201,0,0,)</f>
        <v>#VALUE!</v>
      </c>
      <c r="P30" s="72" t="str">
        <f t="array" ref="P30">XLOOKUP('Results and Rankings'!$A30,'Core Values Input'!$A$2:$A$201,'Core Values Input'!$X$2:$X$201,0,0,)</f>
        <v>#VALUE!</v>
      </c>
      <c r="Q30" s="72" t="str">
        <f t="array" ref="Q30">XLOOKUP('Results and Rankings'!$A30,'Core Values Input'!$A$2:$A$201,'Core Values Input'!$Y$2:$Y$201,0,0,)</f>
        <v>#VALUE!</v>
      </c>
      <c r="R30" s="38"/>
      <c r="S30" s="38"/>
      <c r="T30" s="72"/>
      <c r="U30" s="69" t="str">
        <f t="array" ref="U30">XLOOKUP('Results and Rankings'!$A30,'Core Values Input'!$A$2:$A$201,'Core Values Input'!$U$2:$U$201,0,0,)</f>
        <v>#VALUE!</v>
      </c>
      <c r="V30" s="69" t="str">
        <f t="array" ref="V30">XLOOKUP('Results and Rankings'!$A30,'Innovation Project Input'!$A$2:$A$201,'Innovation Project Input'!$M$2:$M$201,0,0,)</f>
        <v>#VALUE!</v>
      </c>
      <c r="W30" s="69" t="str">
        <f t="array" ref="W30">XLOOKUP('Results and Rankings'!$A30,'Robot Design Input'!$A$2:$A$201,'Robot Design Input'!$M$2:$M$201,0,0,)</f>
        <v>#VALUE!</v>
      </c>
      <c r="X30" s="73">
        <f>IF(ISERR(GEOMEAN('Results and Rankings'!$H30,'Results and Rankings'!$U30,'Results and Rankings'!$V30,'Results and Rankings'!$W30)),0,GEOMEAN('Results and Rankings'!$H30,'Results and Rankings'!$U30,'Results and Rankings'!$V30,'Results and Rankings'!$W30))</f>
        <v>0</v>
      </c>
      <c r="Y30" s="74">
        <f>IF(X30,_xlfn.RANK.EQ(X30,X$3:X$110,0),NumberOfTeams)</f>
        <v>0</v>
      </c>
      <c r="Z30" s="38"/>
    </row>
    <row r="31" ht="21.0" customHeight="1">
      <c r="A31" s="67" t="str">
        <f t="array" ref="A31">XLOOKUP(29,'Team and Program Information'!$B$3:$B$202,'Team and Program Information'!$C$3:$C$202,"ERROR",0)</f>
        <v/>
      </c>
      <c r="B31" s="68" t="str">
        <f t="array" ref="B31">XLOOKUP('Results and Rankings'!$A31,'Team and Program Information'!$C$3:$C$202,'Team and Program Information'!$D$3:$D$202,"",0,)</f>
        <v>#VALUE!</v>
      </c>
      <c r="C31" s="69" t="str">
        <f t="array" ref="C31">IF('Results and Rankings'!$A31="","",XLOOKUP('Results and Rankings'!$A31,'Robot Game Scores'!$B$2:$B$201,'Robot Game Scores'!$D$2:$D$201,0,0,))</f>
        <v/>
      </c>
      <c r="D31" s="69" t="str">
        <f t="array" ref="D31">IF('Results and Rankings'!$A31="","",XLOOKUP('Results and Rankings'!$A31,'Robot Game Scores'!$B$2:$B$201,'Robot Game Scores'!$E$2:$E$201,0,0,))</f>
        <v/>
      </c>
      <c r="E31" s="69" t="str">
        <f t="array" ref="E31">IF('Results and Rankings'!$A31="","",XLOOKUP('Results and Rankings'!$A31,'Robot Game Scores'!$B$2:$B$201,'Robot Game Scores'!$F$2:$F$201,0,0,))</f>
        <v/>
      </c>
      <c r="F31" s="69" t="str">
        <f t="array" ref="F31">IF('Results and Rankings'!$A31="","",XLOOKUP('Results and Rankings'!$A31,'Robot Game Scores'!$B$2:$B$201,'Robot Game Scores'!$G$2:$G$201,0,0,))</f>
        <v/>
      </c>
      <c r="G31" s="69" t="str">
        <f t="array" ref="G31">IF('Results and Rankings'!$A31="","",XLOOKUP('Results and Rankings'!$A31,'Robot Game Scores'!$B$2:$B$201,'Robot Game Scores'!$H$2:$H$201,0,0,))</f>
        <v/>
      </c>
      <c r="H31" s="69" t="str">
        <f>IF('Results and Rankings'!$A31="","",IF(ISNA(LARGE('Results and Rankings'!$C31:$G31,1)+0.0001*LARGE('Results and Rankings'!$C31:$G31,2)+0.0000001*LARGE('Results and Rankings'!$C31:$G31,3)+1E-11*LARGE('Results and Rankings'!$C31:$G31,4)+1E-14*LARGE('Results and Rankings'!$C31:$G31,5)),0,LARGE('Results and Rankings'!$C31:$G31,1)+0.0001*LARGE('Results and Rankings'!$C31:$G31,2)+0.0000001*LARGE('Results and Rankings'!$C31:$G31,3)+1E-11*LARGE('Results and Rankings'!$C31:$G31,4)+1E-14*LARGE('Results and Rankings'!$C31:$G31,5)))</f>
        <v/>
      </c>
      <c r="I31" s="69" t="str">
        <f>IF('Results and Rankings'!$A31="","",_xlfn.RANK.EQ('Results and Rankings'!$H31,'Results and Rankings'!$H$3:$H$202))</f>
        <v/>
      </c>
      <c r="J31" s="69" t="str">
        <f t="array" ref="J31">IF('Results and Rankings'!$A31="","",XLOOKUP('Results and Rankings'!$A31,'Core Values Input'!$A$2:$A$201,'Core Values Input'!$V$2:$V$201,NumberOfTeams+1,0,))</f>
        <v/>
      </c>
      <c r="K31" s="69" t="str">
        <f t="array" ref="K31">IF('Results and Rankings'!$A31="","",XLOOKUP('Results and Rankings'!$A31,'Innovation Project Input'!$A$2:$A$201,'Innovation Project Input'!$N$2:$N$201,NumberOfTeams+1,0,))</f>
        <v/>
      </c>
      <c r="L31" s="69" t="str">
        <f t="array" ref="L31">IF('Results and Rankings'!$A31="","",XLOOKUP('Results and Rankings'!$A31,'Robot Design Input'!$A$2:$A$201,'Robot Design Input'!$N$2:$N$201,NumberOfTeams+1,0,))</f>
        <v/>
      </c>
      <c r="M31" s="69" t="str">
        <f> IF('Results and Rankings'!$A31="","",IF('Results and Rankings'!$J31="",NumberOfTeams+1,'Results and Rankings'!$J31) + IF('Results and Rankings'!$K31="",NumberOfTeams+1,'Results and Rankings'!$K31) + IF('Results and Rankings'!$L31="",NumberOfTeams+1,'Results and Rankings'!$L31) + 'Results and Rankings'!$I31)</f>
        <v/>
      </c>
      <c r="N31" s="70" t="str">
        <f>IF('Results and Rankings'!$A31="","",IF(M31,RANK(M31,M$3:M$202,1)-COUNTIF(M$3:M$202,0),NumberOfTeams+1))</f>
        <v/>
      </c>
      <c r="O31" s="71" t="str">
        <f t="array" ref="O31">XLOOKUP('Results and Rankings'!$A31,'Core Values Input'!$A$2:$A$201,'Core Values Input'!$W$2:$W$201,0,0,)</f>
        <v>#VALUE!</v>
      </c>
      <c r="P31" s="71" t="str">
        <f t="array" ref="P31">XLOOKUP('Results and Rankings'!$A31,'Core Values Input'!$A$2:$A$201,'Core Values Input'!$X$2:$X$201,0,0,)</f>
        <v>#VALUE!</v>
      </c>
      <c r="Q31" s="71" t="str">
        <f t="array" ref="Q31">XLOOKUP('Results and Rankings'!$A31,'Core Values Input'!$A$2:$A$201,'Core Values Input'!$Y$2:$Y$201,0,0,)</f>
        <v>#VALUE!</v>
      </c>
      <c r="R31" s="38"/>
      <c r="S31" s="38"/>
      <c r="T31" s="72"/>
      <c r="U31" s="69" t="str">
        <f t="array" ref="U31">XLOOKUP('Results and Rankings'!$A31,'Core Values Input'!$A$2:$A$201,'Core Values Input'!$U$2:$U$201,0,0,)</f>
        <v>#VALUE!</v>
      </c>
      <c r="V31" s="69" t="str">
        <f t="array" ref="V31">XLOOKUP('Results and Rankings'!$A31,'Innovation Project Input'!$A$2:$A$201,'Innovation Project Input'!$M$2:$M$201,0,0,)</f>
        <v>#VALUE!</v>
      </c>
      <c r="W31" s="69" t="str">
        <f t="array" ref="W31">XLOOKUP('Results and Rankings'!$A31,'Robot Design Input'!$A$2:$A$201,'Robot Design Input'!$M$2:$M$201,0,0,)</f>
        <v>#VALUE!</v>
      </c>
      <c r="X31" s="73">
        <f>IF(ISERR(GEOMEAN('Results and Rankings'!$H31,'Results and Rankings'!$U31,'Results and Rankings'!$V31,'Results and Rankings'!$W31)),0,GEOMEAN('Results and Rankings'!$H31,'Results and Rankings'!$U31,'Results and Rankings'!$V31,'Results and Rankings'!$W31))</f>
        <v>0</v>
      </c>
      <c r="Y31" s="74">
        <f>IF(X31,_xlfn.RANK.EQ(X31,X$3:X$110,0),NumberOfTeams)</f>
        <v>0</v>
      </c>
      <c r="Z31" s="38"/>
    </row>
    <row r="32" ht="21.0" customHeight="1">
      <c r="A32" s="67" t="str">
        <f t="array" ref="A32">XLOOKUP(30,'Team and Program Information'!$B$3:$B$202,'Team and Program Information'!$C$3:$C$202,"ERROR",0)</f>
        <v/>
      </c>
      <c r="B32" s="68" t="str">
        <f t="array" ref="B32">XLOOKUP('Results and Rankings'!$A32,'Team and Program Information'!$C$3:$C$202,'Team and Program Information'!$D$3:$D$202,"",0,)</f>
        <v>#VALUE!</v>
      </c>
      <c r="C32" s="69" t="str">
        <f t="array" ref="C32">IF('Results and Rankings'!$A32="","",XLOOKUP('Results and Rankings'!$A32,'Robot Game Scores'!$B$2:$B$201,'Robot Game Scores'!$D$2:$D$201,0,0,))</f>
        <v/>
      </c>
      <c r="D32" s="69" t="str">
        <f t="array" ref="D32">IF('Results and Rankings'!$A32="","",XLOOKUP('Results and Rankings'!$A32,'Robot Game Scores'!$B$2:$B$201,'Robot Game Scores'!$E$2:$E$201,0,0,))</f>
        <v/>
      </c>
      <c r="E32" s="69" t="str">
        <f t="array" ref="E32">IF('Results and Rankings'!$A32="","",XLOOKUP('Results and Rankings'!$A32,'Robot Game Scores'!$B$2:$B$201,'Robot Game Scores'!$F$2:$F$201,0,0,))</f>
        <v/>
      </c>
      <c r="F32" s="69" t="str">
        <f t="array" ref="F32">IF('Results and Rankings'!$A32="","",XLOOKUP('Results and Rankings'!$A32,'Robot Game Scores'!$B$2:$B$201,'Robot Game Scores'!$G$2:$G$201,0,0,))</f>
        <v/>
      </c>
      <c r="G32" s="69" t="str">
        <f t="array" ref="G32">IF('Results and Rankings'!$A32="","",XLOOKUP('Results and Rankings'!$A32,'Robot Game Scores'!$B$2:$B$201,'Robot Game Scores'!$H$2:$H$201,0,0,))</f>
        <v/>
      </c>
      <c r="H32" s="69" t="str">
        <f>IF('Results and Rankings'!$A32="","",IF(ISNA(LARGE('Results and Rankings'!$C32:$G32,1)+0.0001*LARGE('Results and Rankings'!$C32:$G32,2)+0.0000001*LARGE('Results and Rankings'!$C32:$G32,3)+1E-11*LARGE('Results and Rankings'!$C32:$G32,4)+1E-14*LARGE('Results and Rankings'!$C32:$G32,5)),0,LARGE('Results and Rankings'!$C32:$G32,1)+0.0001*LARGE('Results and Rankings'!$C32:$G32,2)+0.0000001*LARGE('Results and Rankings'!$C32:$G32,3)+1E-11*LARGE('Results and Rankings'!$C32:$G32,4)+1E-14*LARGE('Results and Rankings'!$C32:$G32,5)))</f>
        <v/>
      </c>
      <c r="I32" s="69" t="str">
        <f>IF('Results and Rankings'!$A32="","",_xlfn.RANK.EQ('Results and Rankings'!$H32,'Results and Rankings'!$H$3:$H$202))</f>
        <v/>
      </c>
      <c r="J32" s="69" t="str">
        <f t="array" ref="J32">IF('Results and Rankings'!$A32="","",XLOOKUP('Results and Rankings'!$A32,'Core Values Input'!$A$2:$A$201,'Core Values Input'!$V$2:$V$201,NumberOfTeams+1,0,))</f>
        <v/>
      </c>
      <c r="K32" s="69" t="str">
        <f t="array" ref="K32">IF('Results and Rankings'!$A32="","",XLOOKUP('Results and Rankings'!$A32,'Innovation Project Input'!$A$2:$A$201,'Innovation Project Input'!$N$2:$N$201,NumberOfTeams+1,0,))</f>
        <v/>
      </c>
      <c r="L32" s="69" t="str">
        <f t="array" ref="L32">IF('Results and Rankings'!$A32="","",XLOOKUP('Results and Rankings'!$A32,'Robot Design Input'!$A$2:$A$201,'Robot Design Input'!$N$2:$N$201,NumberOfTeams+1,0,))</f>
        <v/>
      </c>
      <c r="M32" s="69" t="str">
        <f> IF('Results and Rankings'!$A32="","",IF('Results and Rankings'!$J32="",NumberOfTeams+1,'Results and Rankings'!$J32) + IF('Results and Rankings'!$K32="",NumberOfTeams+1,'Results and Rankings'!$K32) + IF('Results and Rankings'!$L32="",NumberOfTeams+1,'Results and Rankings'!$L32) + 'Results and Rankings'!$I32)</f>
        <v/>
      </c>
      <c r="N32" s="70" t="str">
        <f>IF('Results and Rankings'!$A32="","",IF(M32,RANK(M32,M$3:M$202,1)-COUNTIF(M$3:M$202,0),NumberOfTeams+1))</f>
        <v/>
      </c>
      <c r="O32" s="71" t="str">
        <f t="array" ref="O32">XLOOKUP('Results and Rankings'!$A32,'Core Values Input'!$A$2:$A$201,'Core Values Input'!$W$2:$W$201,0,0,)</f>
        <v>#VALUE!</v>
      </c>
      <c r="P32" s="71" t="str">
        <f t="array" ref="P32">XLOOKUP('Results and Rankings'!$A32,'Core Values Input'!$A$2:$A$201,'Core Values Input'!$X$2:$X$201,0,0,)</f>
        <v>#VALUE!</v>
      </c>
      <c r="Q32" s="71" t="str">
        <f t="array" ref="Q32">XLOOKUP('Results and Rankings'!$A32,'Core Values Input'!$A$2:$A$201,'Core Values Input'!$Y$2:$Y$201,0,0,)</f>
        <v>#VALUE!</v>
      </c>
      <c r="R32" s="38"/>
      <c r="S32" s="38"/>
      <c r="T32" s="72"/>
      <c r="U32" s="69" t="str">
        <f t="array" ref="U32">XLOOKUP('Results and Rankings'!$A32,'Core Values Input'!$A$2:$A$201,'Core Values Input'!$U$2:$U$201,0,0,)</f>
        <v>#VALUE!</v>
      </c>
      <c r="V32" s="69" t="str">
        <f t="array" ref="V32">XLOOKUP('Results and Rankings'!$A32,'Innovation Project Input'!$A$2:$A$201,'Innovation Project Input'!$M$2:$M$201,0,0,)</f>
        <v>#VALUE!</v>
      </c>
      <c r="W32" s="69" t="str">
        <f t="array" ref="W32">XLOOKUP('Results and Rankings'!$A32,'Robot Design Input'!$A$2:$A$201,'Robot Design Input'!$M$2:$M$201,0,0,)</f>
        <v>#VALUE!</v>
      </c>
      <c r="X32" s="73">
        <f>IF(ISERR(GEOMEAN('Results and Rankings'!$H32,'Results and Rankings'!$U32,'Results and Rankings'!$V32,'Results and Rankings'!$W32)),0,GEOMEAN('Results and Rankings'!$H32,'Results and Rankings'!$U32,'Results and Rankings'!$V32,'Results and Rankings'!$W32))</f>
        <v>0</v>
      </c>
      <c r="Y32" s="74">
        <f>IF(X32,_xlfn.RANK.EQ(X32,X$3:X$110,0),NumberOfTeams)</f>
        <v>0</v>
      </c>
      <c r="Z32" s="38"/>
    </row>
    <row r="33" ht="21.0" customHeight="1">
      <c r="A33" s="67" t="str">
        <f t="array" ref="A33">XLOOKUP(31,'Team and Program Information'!$B$3:$B$202,'Team and Program Information'!$C$3:$C$202,"ERROR",0)</f>
        <v/>
      </c>
      <c r="B33" s="68" t="str">
        <f t="array" ref="B33">XLOOKUP('Results and Rankings'!$A33,'Team and Program Information'!$C$3:$C$202,'Team and Program Information'!$D$3:$D$202,"",0,)</f>
        <v>#VALUE!</v>
      </c>
      <c r="C33" s="69" t="str">
        <f t="array" ref="C33">IF('Results and Rankings'!$A33="","",XLOOKUP('Results and Rankings'!$A33,'Robot Game Scores'!$B$2:$B$201,'Robot Game Scores'!$D$2:$D$201,0,0,))</f>
        <v/>
      </c>
      <c r="D33" s="69" t="str">
        <f t="array" ref="D33">IF('Results and Rankings'!$A33="","",XLOOKUP('Results and Rankings'!$A33,'Robot Game Scores'!$B$2:$B$201,'Robot Game Scores'!$E$2:$E$201,0,0,))</f>
        <v/>
      </c>
      <c r="E33" s="69" t="str">
        <f t="array" ref="E33">IF('Results and Rankings'!$A33="","",XLOOKUP('Results and Rankings'!$A33,'Robot Game Scores'!$B$2:$B$201,'Robot Game Scores'!$F$2:$F$201,0,0,))</f>
        <v/>
      </c>
      <c r="F33" s="69" t="str">
        <f t="array" ref="F33">IF('Results and Rankings'!$A33="","",XLOOKUP('Results and Rankings'!$A33,'Robot Game Scores'!$B$2:$B$201,'Robot Game Scores'!$G$2:$G$201,0,0,))</f>
        <v/>
      </c>
      <c r="G33" s="69" t="str">
        <f t="array" ref="G33">IF('Results and Rankings'!$A33="","",XLOOKUP('Results and Rankings'!$A33,'Robot Game Scores'!$B$2:$B$201,'Robot Game Scores'!$H$2:$H$201,0,0,))</f>
        <v/>
      </c>
      <c r="H33" s="69" t="str">
        <f>IF('Results and Rankings'!$A33="","",IF(ISNA(LARGE('Results and Rankings'!$C33:$G33,1)+0.0001*LARGE('Results and Rankings'!$C33:$G33,2)+0.0000001*LARGE('Results and Rankings'!$C33:$G33,3)+1E-11*LARGE('Results and Rankings'!$C33:$G33,4)+1E-14*LARGE('Results and Rankings'!$C33:$G33,5)),0,LARGE('Results and Rankings'!$C33:$G33,1)+0.0001*LARGE('Results and Rankings'!$C33:$G33,2)+0.0000001*LARGE('Results and Rankings'!$C33:$G33,3)+1E-11*LARGE('Results and Rankings'!$C33:$G33,4)+1E-14*LARGE('Results and Rankings'!$C33:$G33,5)))</f>
        <v/>
      </c>
      <c r="I33" s="69" t="str">
        <f>IF('Results and Rankings'!$A33="","",_xlfn.RANK.EQ('Results and Rankings'!$H33,'Results and Rankings'!$H$3:$H$202))</f>
        <v/>
      </c>
      <c r="J33" s="69" t="str">
        <f t="array" ref="J33">IF('Results and Rankings'!$A33="","",XLOOKUP('Results and Rankings'!$A33,'Core Values Input'!$A$2:$A$201,'Core Values Input'!$V$2:$V$201,NumberOfTeams+1,0,))</f>
        <v/>
      </c>
      <c r="K33" s="69" t="str">
        <f t="array" ref="K33">IF('Results and Rankings'!$A33="","",XLOOKUP('Results and Rankings'!$A33,'Innovation Project Input'!$A$2:$A$201,'Innovation Project Input'!$N$2:$N$201,NumberOfTeams+1,0,))</f>
        <v/>
      </c>
      <c r="L33" s="69" t="str">
        <f t="array" ref="L33">IF('Results and Rankings'!$A33="","",XLOOKUP('Results and Rankings'!$A33,'Robot Design Input'!$A$2:$A$201,'Robot Design Input'!$N$2:$N$201,NumberOfTeams+1,0,))</f>
        <v/>
      </c>
      <c r="M33" s="69" t="str">
        <f> IF('Results and Rankings'!$A33="","",IF('Results and Rankings'!$J33="",NumberOfTeams+1,'Results and Rankings'!$J33) + IF('Results and Rankings'!$K33="",NumberOfTeams+1,'Results and Rankings'!$K33) + IF('Results and Rankings'!$L33="",NumberOfTeams+1,'Results and Rankings'!$L33) + 'Results and Rankings'!$I33)</f>
        <v/>
      </c>
      <c r="N33" s="70" t="str">
        <f>IF('Results and Rankings'!$A33="","",IF(M33,RANK(M33,M$3:M$202,1)-COUNTIF(M$3:M$202,0),NumberOfTeams+1))</f>
        <v/>
      </c>
      <c r="O33" s="71" t="str">
        <f t="array" ref="O33">XLOOKUP('Results and Rankings'!$A33,'Core Values Input'!$A$2:$A$201,'Core Values Input'!$W$2:$W$201,0,0,)</f>
        <v>#VALUE!</v>
      </c>
      <c r="P33" s="71" t="str">
        <f t="array" ref="P33">XLOOKUP('Results and Rankings'!$A33,'Core Values Input'!$A$2:$A$201,'Core Values Input'!$X$2:$X$201,0,0,)</f>
        <v>#VALUE!</v>
      </c>
      <c r="Q33" s="71" t="str">
        <f t="array" ref="Q33">XLOOKUP('Results and Rankings'!$A33,'Core Values Input'!$A$2:$A$201,'Core Values Input'!$Y$2:$Y$201,0,0,)</f>
        <v>#VALUE!</v>
      </c>
      <c r="R33" s="38"/>
      <c r="S33" s="38"/>
      <c r="T33" s="72"/>
      <c r="U33" s="69" t="str">
        <f t="array" ref="U33">XLOOKUP('Results and Rankings'!$A33,'Core Values Input'!$A$2:$A$201,'Core Values Input'!$U$2:$U$201,0,0,)</f>
        <v>#VALUE!</v>
      </c>
      <c r="V33" s="69" t="str">
        <f t="array" ref="V33">XLOOKUP('Results and Rankings'!$A33,'Innovation Project Input'!$A$2:$A$201,'Innovation Project Input'!$M$2:$M$201,0,0,)</f>
        <v>#VALUE!</v>
      </c>
      <c r="W33" s="69" t="str">
        <f t="array" ref="W33">XLOOKUP('Results and Rankings'!$A33,'Robot Design Input'!$A$2:$A$201,'Robot Design Input'!$M$2:$M$201,0,0,)</f>
        <v>#VALUE!</v>
      </c>
      <c r="X33" s="73">
        <f>IF(ISERR(GEOMEAN('Results and Rankings'!$H33,'Results and Rankings'!$U33,'Results and Rankings'!$V33,'Results and Rankings'!$W33)),0,GEOMEAN('Results and Rankings'!$H33,'Results and Rankings'!$U33,'Results and Rankings'!$V33,'Results and Rankings'!$W33))</f>
        <v>0</v>
      </c>
      <c r="Y33" s="74">
        <f>IF(X33,_xlfn.RANK.EQ(X33,X$3:X$110,0),NumberOfTeams)</f>
        <v>0</v>
      </c>
      <c r="Z33" s="38"/>
    </row>
    <row r="34" ht="21.0" customHeight="1">
      <c r="A34" s="67" t="str">
        <f t="array" ref="A34">XLOOKUP(32,'Team and Program Information'!$B$3:$B$202,'Team and Program Information'!$C$3:$C$202,"ERROR",0)</f>
        <v/>
      </c>
      <c r="B34" s="68" t="str">
        <f t="array" ref="B34">XLOOKUP('Results and Rankings'!$A34,'Team and Program Information'!$C$3:$C$202,'Team and Program Information'!$D$3:$D$202,"",0,)</f>
        <v>#VALUE!</v>
      </c>
      <c r="C34" s="69" t="str">
        <f t="array" ref="C34">IF('Results and Rankings'!$A34="","",XLOOKUP('Results and Rankings'!$A34,'Robot Game Scores'!$B$2:$B$201,'Robot Game Scores'!$D$2:$D$201,0,0,))</f>
        <v/>
      </c>
      <c r="D34" s="69" t="str">
        <f t="array" ref="D34">IF('Results and Rankings'!$A34="","",XLOOKUP('Results and Rankings'!$A34,'Robot Game Scores'!$B$2:$B$201,'Robot Game Scores'!$E$2:$E$201,0,0,))</f>
        <v/>
      </c>
      <c r="E34" s="69" t="str">
        <f t="array" ref="E34">IF('Results and Rankings'!$A34="","",XLOOKUP('Results and Rankings'!$A34,'Robot Game Scores'!$B$2:$B$201,'Robot Game Scores'!$F$2:$F$201,0,0,))</f>
        <v/>
      </c>
      <c r="F34" s="69" t="str">
        <f t="array" ref="F34">IF('Results and Rankings'!$A34="","",XLOOKUP('Results and Rankings'!$A34,'Robot Game Scores'!$B$2:$B$201,'Robot Game Scores'!$G$2:$G$201,0,0,))</f>
        <v/>
      </c>
      <c r="G34" s="69" t="str">
        <f t="array" ref="G34">IF('Results and Rankings'!$A34="","",XLOOKUP('Results and Rankings'!$A34,'Robot Game Scores'!$B$2:$B$201,'Robot Game Scores'!$H$2:$H$201,0,0,))</f>
        <v/>
      </c>
      <c r="H34" s="69" t="str">
        <f>IF('Results and Rankings'!$A34="","",IF(ISNA(LARGE('Results and Rankings'!$C34:$G34,1)+0.0001*LARGE('Results and Rankings'!$C34:$G34,2)+0.0000001*LARGE('Results and Rankings'!$C34:$G34,3)+1E-11*LARGE('Results and Rankings'!$C34:$G34,4)+1E-14*LARGE('Results and Rankings'!$C34:$G34,5)),0,LARGE('Results and Rankings'!$C34:$G34,1)+0.0001*LARGE('Results and Rankings'!$C34:$G34,2)+0.0000001*LARGE('Results and Rankings'!$C34:$G34,3)+1E-11*LARGE('Results and Rankings'!$C34:$G34,4)+1E-14*LARGE('Results and Rankings'!$C34:$G34,5)))</f>
        <v/>
      </c>
      <c r="I34" s="69" t="str">
        <f>IF('Results and Rankings'!$A34="","",_xlfn.RANK.EQ('Results and Rankings'!$H34,'Results and Rankings'!$H$3:$H$202))</f>
        <v/>
      </c>
      <c r="J34" s="69" t="str">
        <f t="array" ref="J34">IF('Results and Rankings'!$A34="","",XLOOKUP('Results and Rankings'!$A34,'Core Values Input'!$A$2:$A$201,'Core Values Input'!$V$2:$V$201,NumberOfTeams+1,0,))</f>
        <v/>
      </c>
      <c r="K34" s="69" t="str">
        <f t="array" ref="K34">IF('Results and Rankings'!$A34="","",XLOOKUP('Results and Rankings'!$A34,'Innovation Project Input'!$A$2:$A$201,'Innovation Project Input'!$N$2:$N$201,NumberOfTeams+1,0,))</f>
        <v/>
      </c>
      <c r="L34" s="69" t="str">
        <f t="array" ref="L34">IF('Results and Rankings'!$A34="","",XLOOKUP('Results and Rankings'!$A34,'Robot Design Input'!$A$2:$A$201,'Robot Design Input'!$N$2:$N$201,NumberOfTeams+1,0,))</f>
        <v/>
      </c>
      <c r="M34" s="69" t="str">
        <f> IF('Results and Rankings'!$A34="","",IF('Results and Rankings'!$J34="",NumberOfTeams+1,'Results and Rankings'!$J34) + IF('Results and Rankings'!$K34="",NumberOfTeams+1,'Results and Rankings'!$K34) + IF('Results and Rankings'!$L34="",NumberOfTeams+1,'Results and Rankings'!$L34) + 'Results and Rankings'!$I34)</f>
        <v/>
      </c>
      <c r="N34" s="70" t="str">
        <f>IF('Results and Rankings'!$A34="","",IF(M34,RANK(M34,M$3:M$202,1)-COUNTIF(M$3:M$202,0),NumberOfTeams+1))</f>
        <v/>
      </c>
      <c r="O34" s="71" t="str">
        <f t="array" ref="O34">XLOOKUP('Results and Rankings'!$A34,'Core Values Input'!$A$2:$A$201,'Core Values Input'!$W$2:$W$201,0,0,)</f>
        <v>#VALUE!</v>
      </c>
      <c r="P34" s="71" t="str">
        <f t="array" ref="P34">XLOOKUP('Results and Rankings'!$A34,'Core Values Input'!$A$2:$A$201,'Core Values Input'!$X$2:$X$201,0,0,)</f>
        <v>#VALUE!</v>
      </c>
      <c r="Q34" s="71" t="str">
        <f t="array" ref="Q34">XLOOKUP('Results and Rankings'!$A34,'Core Values Input'!$A$2:$A$201,'Core Values Input'!$Y$2:$Y$201,0,0,)</f>
        <v>#VALUE!</v>
      </c>
      <c r="R34" s="38"/>
      <c r="S34" s="38"/>
      <c r="T34" s="72"/>
      <c r="U34" s="69" t="str">
        <f t="array" ref="U34">XLOOKUP('Results and Rankings'!$A34,'Core Values Input'!$A$2:$A$201,'Core Values Input'!$U$2:$U$201,0,0,)</f>
        <v>#VALUE!</v>
      </c>
      <c r="V34" s="69" t="str">
        <f t="array" ref="V34">XLOOKUP('Results and Rankings'!$A34,'Innovation Project Input'!$A$2:$A$201,'Innovation Project Input'!$M$2:$M$201,0,0,)</f>
        <v>#VALUE!</v>
      </c>
      <c r="W34" s="69" t="str">
        <f t="array" ref="W34">XLOOKUP('Results and Rankings'!$A34,'Robot Design Input'!$A$2:$A$201,'Robot Design Input'!$M$2:$M$201,0,0,)</f>
        <v>#VALUE!</v>
      </c>
      <c r="X34" s="73">
        <f>IF(ISERR(GEOMEAN('Results and Rankings'!$H34,'Results and Rankings'!$U34,'Results and Rankings'!$V34,'Results and Rankings'!$W34)),0,GEOMEAN('Results and Rankings'!$H34,'Results and Rankings'!$U34,'Results and Rankings'!$V34,'Results and Rankings'!$W34))</f>
        <v>0</v>
      </c>
      <c r="Y34" s="74">
        <f>IF(X34,_xlfn.RANK.EQ(X34,X$3:X$110,0),NumberOfTeams)</f>
        <v>0</v>
      </c>
      <c r="Z34" s="38"/>
    </row>
    <row r="35" ht="21.0" customHeight="1">
      <c r="A35" s="67" t="str">
        <f t="array" ref="A35">XLOOKUP(33,'Team and Program Information'!$B$3:$B$202,'Team and Program Information'!$C$3:$C$202,"ERROR",0)</f>
        <v/>
      </c>
      <c r="B35" s="68" t="str">
        <f t="array" ref="B35">XLOOKUP('Results and Rankings'!$A35,'Team and Program Information'!$C$3:$C$202,'Team and Program Information'!$D$3:$D$202,"",0,)</f>
        <v>#VALUE!</v>
      </c>
      <c r="C35" s="69" t="str">
        <f t="array" ref="C35">IF('Results and Rankings'!$A35="","",XLOOKUP('Results and Rankings'!$A35,'Robot Game Scores'!$B$2:$B$201,'Robot Game Scores'!$D$2:$D$201,0,0,))</f>
        <v/>
      </c>
      <c r="D35" s="69" t="str">
        <f t="array" ref="D35">IF('Results and Rankings'!$A35="","",XLOOKUP('Results and Rankings'!$A35,'Robot Game Scores'!$B$2:$B$201,'Robot Game Scores'!$E$2:$E$201,0,0,))</f>
        <v/>
      </c>
      <c r="E35" s="69" t="str">
        <f t="array" ref="E35">IF('Results and Rankings'!$A35="","",XLOOKUP('Results and Rankings'!$A35,'Robot Game Scores'!$B$2:$B$201,'Robot Game Scores'!$F$2:$F$201,0,0,))</f>
        <v/>
      </c>
      <c r="F35" s="69" t="str">
        <f t="array" ref="F35">IF('Results and Rankings'!$A35="","",XLOOKUP('Results and Rankings'!$A35,'Robot Game Scores'!$B$2:$B$201,'Robot Game Scores'!$G$2:$G$201,0,0,))</f>
        <v/>
      </c>
      <c r="G35" s="69" t="str">
        <f t="array" ref="G35">IF('Results and Rankings'!$A35="","",XLOOKUP('Results and Rankings'!$A35,'Robot Game Scores'!$B$2:$B$201,'Robot Game Scores'!$H$2:$H$201,0,0,))</f>
        <v/>
      </c>
      <c r="H35" s="69" t="str">
        <f>IF('Results and Rankings'!$A35="","",IF(ISNA(LARGE('Results and Rankings'!$C35:$G35,1)+0.0001*LARGE('Results and Rankings'!$C35:$G35,2)+0.0000001*LARGE('Results and Rankings'!$C35:$G35,3)+1E-11*LARGE('Results and Rankings'!$C35:$G35,4)+1E-14*LARGE('Results and Rankings'!$C35:$G35,5)),0,LARGE('Results and Rankings'!$C35:$G35,1)+0.0001*LARGE('Results and Rankings'!$C35:$G35,2)+0.0000001*LARGE('Results and Rankings'!$C35:$G35,3)+1E-11*LARGE('Results and Rankings'!$C35:$G35,4)+1E-14*LARGE('Results and Rankings'!$C35:$G35,5)))</f>
        <v/>
      </c>
      <c r="I35" s="69" t="str">
        <f>IF('Results and Rankings'!$A35="","",_xlfn.RANK.EQ('Results and Rankings'!$H35,'Results and Rankings'!$H$3:$H$202))</f>
        <v/>
      </c>
      <c r="J35" s="69" t="str">
        <f t="array" ref="J35">IF('Results and Rankings'!$A35="","",XLOOKUP('Results and Rankings'!$A35,'Core Values Input'!$A$2:$A$201,'Core Values Input'!$V$2:$V$201,NumberOfTeams+1,0,))</f>
        <v/>
      </c>
      <c r="K35" s="69" t="str">
        <f t="array" ref="K35">IF('Results and Rankings'!$A35="","",XLOOKUP('Results and Rankings'!$A35,'Innovation Project Input'!$A$2:$A$201,'Innovation Project Input'!$N$2:$N$201,NumberOfTeams+1,0,))</f>
        <v/>
      </c>
      <c r="L35" s="69" t="str">
        <f t="array" ref="L35">IF('Results and Rankings'!$A35="","",XLOOKUP('Results and Rankings'!$A35,'Robot Design Input'!$A$2:$A$201,'Robot Design Input'!$N$2:$N$201,NumberOfTeams+1,0,))</f>
        <v/>
      </c>
      <c r="M35" s="69" t="str">
        <f> IF('Results and Rankings'!$A35="","",IF('Results and Rankings'!$J35="",NumberOfTeams+1,'Results and Rankings'!$J35) + IF('Results and Rankings'!$K35="",NumberOfTeams+1,'Results and Rankings'!$K35) + IF('Results and Rankings'!$L35="",NumberOfTeams+1,'Results and Rankings'!$L35) + 'Results and Rankings'!$I35)</f>
        <v/>
      </c>
      <c r="N35" s="70" t="str">
        <f>IF('Results and Rankings'!$A35="","",IF(M35,RANK(M35,M$3:M$202,1)-COUNTIF(M$3:M$202,0),NumberOfTeams+1))</f>
        <v/>
      </c>
      <c r="O35" s="71" t="str">
        <f t="array" ref="O35">XLOOKUP('Results and Rankings'!$A35,'Core Values Input'!$A$2:$A$201,'Core Values Input'!$W$2:$W$201,0,0,)</f>
        <v>#VALUE!</v>
      </c>
      <c r="P35" s="71" t="str">
        <f t="array" ref="P35">XLOOKUP('Results and Rankings'!$A35,'Core Values Input'!$A$2:$A$201,'Core Values Input'!$X$2:$X$201,0,0,)</f>
        <v>#VALUE!</v>
      </c>
      <c r="Q35" s="71" t="str">
        <f t="array" ref="Q35">XLOOKUP('Results and Rankings'!$A35,'Core Values Input'!$A$2:$A$201,'Core Values Input'!$Y$2:$Y$201,0,0,)</f>
        <v>#VALUE!</v>
      </c>
      <c r="R35" s="38"/>
      <c r="S35" s="38"/>
      <c r="T35" s="72"/>
      <c r="U35" s="69" t="str">
        <f t="array" ref="U35">XLOOKUP('Results and Rankings'!$A35,'Core Values Input'!$A$2:$A$201,'Core Values Input'!$U$2:$U$201,0,0,)</f>
        <v>#VALUE!</v>
      </c>
      <c r="V35" s="69" t="str">
        <f t="array" ref="V35">XLOOKUP('Results and Rankings'!$A35,'Innovation Project Input'!$A$2:$A$201,'Innovation Project Input'!$M$2:$M$201,0,0,)</f>
        <v>#VALUE!</v>
      </c>
      <c r="W35" s="69" t="str">
        <f t="array" ref="W35">XLOOKUP('Results and Rankings'!$A35,'Robot Design Input'!$A$2:$A$201,'Robot Design Input'!$M$2:$M$201,0,0,)</f>
        <v>#VALUE!</v>
      </c>
      <c r="X35" s="73">
        <f>IF(ISERR(GEOMEAN('Results and Rankings'!$H35,'Results and Rankings'!$U35,'Results and Rankings'!$V35,'Results and Rankings'!$W35)),0,GEOMEAN('Results and Rankings'!$H35,'Results and Rankings'!$U35,'Results and Rankings'!$V35,'Results and Rankings'!$W35))</f>
        <v>0</v>
      </c>
      <c r="Y35" s="74">
        <f>IF(X35,_xlfn.RANK.EQ(X35,X$3:X$110,0),NumberOfTeams)</f>
        <v>0</v>
      </c>
      <c r="Z35" s="38"/>
    </row>
    <row r="36" ht="21.0" customHeight="1">
      <c r="A36" s="67" t="str">
        <f t="array" ref="A36">XLOOKUP(34,'Team and Program Information'!$B$3:$B$202,'Team and Program Information'!$C$3:$C$202,"ERROR",0)</f>
        <v/>
      </c>
      <c r="B36" s="68" t="str">
        <f t="array" ref="B36">XLOOKUP('Results and Rankings'!$A36,'Team and Program Information'!$C$3:$C$202,'Team and Program Information'!$D$3:$D$202,"",0,)</f>
        <v>#VALUE!</v>
      </c>
      <c r="C36" s="69" t="str">
        <f t="array" ref="C36">IF('Results and Rankings'!$A36="","",XLOOKUP('Results and Rankings'!$A36,'Robot Game Scores'!$B$2:$B$201,'Robot Game Scores'!$D$2:$D$201,0,0,))</f>
        <v/>
      </c>
      <c r="D36" s="69" t="str">
        <f t="array" ref="D36">IF('Results and Rankings'!$A36="","",XLOOKUP('Results and Rankings'!$A36,'Robot Game Scores'!$B$2:$B$201,'Robot Game Scores'!$E$2:$E$201,0,0,))</f>
        <v/>
      </c>
      <c r="E36" s="69" t="str">
        <f t="array" ref="E36">IF('Results and Rankings'!$A36="","",XLOOKUP('Results and Rankings'!$A36,'Robot Game Scores'!$B$2:$B$201,'Robot Game Scores'!$F$2:$F$201,0,0,))</f>
        <v/>
      </c>
      <c r="F36" s="69" t="str">
        <f t="array" ref="F36">IF('Results and Rankings'!$A36="","",XLOOKUP('Results and Rankings'!$A36,'Robot Game Scores'!$B$2:$B$201,'Robot Game Scores'!$G$2:$G$201,0,0,))</f>
        <v/>
      </c>
      <c r="G36" s="69" t="str">
        <f t="array" ref="G36">IF('Results and Rankings'!$A36="","",XLOOKUP('Results and Rankings'!$A36,'Robot Game Scores'!$B$2:$B$201,'Robot Game Scores'!$H$2:$H$201,0,0,))</f>
        <v/>
      </c>
      <c r="H36" s="69" t="str">
        <f>IF('Results and Rankings'!$A36="","",IF(ISNA(LARGE('Results and Rankings'!$C36:$G36,1)+0.0001*LARGE('Results and Rankings'!$C36:$G36,2)+0.0000001*LARGE('Results and Rankings'!$C36:$G36,3)+1E-11*LARGE('Results and Rankings'!$C36:$G36,4)+1E-14*LARGE('Results and Rankings'!$C36:$G36,5)),0,LARGE('Results and Rankings'!$C36:$G36,1)+0.0001*LARGE('Results and Rankings'!$C36:$G36,2)+0.0000001*LARGE('Results and Rankings'!$C36:$G36,3)+1E-11*LARGE('Results and Rankings'!$C36:$G36,4)+1E-14*LARGE('Results and Rankings'!$C36:$G36,5)))</f>
        <v/>
      </c>
      <c r="I36" s="69" t="str">
        <f>IF('Results and Rankings'!$A36="","",_xlfn.RANK.EQ('Results and Rankings'!$H36,'Results and Rankings'!$H$3:$H$202))</f>
        <v/>
      </c>
      <c r="J36" s="69" t="str">
        <f t="array" ref="J36">IF('Results and Rankings'!$A36="","",XLOOKUP('Results and Rankings'!$A36,'Core Values Input'!$A$2:$A$201,'Core Values Input'!$V$2:$V$201,NumberOfTeams+1,0,))</f>
        <v/>
      </c>
      <c r="K36" s="69" t="str">
        <f t="array" ref="K36">IF('Results and Rankings'!$A36="","",XLOOKUP('Results and Rankings'!$A36,'Innovation Project Input'!$A$2:$A$201,'Innovation Project Input'!$N$2:$N$201,NumberOfTeams+1,0,))</f>
        <v/>
      </c>
      <c r="L36" s="69" t="str">
        <f t="array" ref="L36">IF('Results and Rankings'!$A36="","",XLOOKUP('Results and Rankings'!$A36,'Robot Design Input'!$A$2:$A$201,'Robot Design Input'!$N$2:$N$201,NumberOfTeams+1,0,))</f>
        <v/>
      </c>
      <c r="M36" s="69" t="str">
        <f> IF('Results and Rankings'!$A36="","",IF('Results and Rankings'!$J36="",NumberOfTeams+1,'Results and Rankings'!$J36) + IF('Results and Rankings'!$K36="",NumberOfTeams+1,'Results and Rankings'!$K36) + IF('Results and Rankings'!$L36="",NumberOfTeams+1,'Results and Rankings'!$L36) + 'Results and Rankings'!$I36)</f>
        <v/>
      </c>
      <c r="N36" s="70" t="str">
        <f>IF('Results and Rankings'!$A36="","",IF(M36,RANK(M36,M$3:M$202,1)-COUNTIF(M$3:M$202,0),NumberOfTeams+1))</f>
        <v/>
      </c>
      <c r="O36" s="72" t="str">
        <f t="array" ref="O36">XLOOKUP('Results and Rankings'!$A36,'Core Values Input'!$A$2:$A$201,'Core Values Input'!$W$2:$W$201,0,0,)</f>
        <v>#VALUE!</v>
      </c>
      <c r="P36" s="72" t="str">
        <f t="array" ref="P36">XLOOKUP('Results and Rankings'!$A36,'Core Values Input'!$A$2:$A$201,'Core Values Input'!$X$2:$X$201,0,0,)</f>
        <v>#VALUE!</v>
      </c>
      <c r="Q36" s="72" t="str">
        <f t="array" ref="Q36">XLOOKUP('Results and Rankings'!$A36,'Core Values Input'!$A$2:$A$201,'Core Values Input'!$Y$2:$Y$201,0,0,)</f>
        <v>#VALUE!</v>
      </c>
      <c r="R36" s="38"/>
      <c r="S36" s="38"/>
      <c r="T36" s="72"/>
      <c r="U36" s="69" t="str">
        <f t="array" ref="U36">XLOOKUP('Results and Rankings'!$A36,'Core Values Input'!$A$2:$A$201,'Core Values Input'!$U$2:$U$201,0,0,)</f>
        <v>#VALUE!</v>
      </c>
      <c r="V36" s="69" t="str">
        <f t="array" ref="V36">XLOOKUP('Results and Rankings'!$A36,'Innovation Project Input'!$A$2:$A$201,'Innovation Project Input'!$M$2:$M$201,0,0,)</f>
        <v>#VALUE!</v>
      </c>
      <c r="W36" s="69" t="str">
        <f t="array" ref="W36">XLOOKUP('Results and Rankings'!$A36,'Robot Design Input'!$A$2:$A$201,'Robot Design Input'!$M$2:$M$201,0,0,)</f>
        <v>#VALUE!</v>
      </c>
      <c r="X36" s="73">
        <f>IF(ISERR(GEOMEAN('Results and Rankings'!$H36,'Results and Rankings'!$U36,'Results and Rankings'!$V36,'Results and Rankings'!$W36)),0,GEOMEAN('Results and Rankings'!$H36,'Results and Rankings'!$U36,'Results and Rankings'!$V36,'Results and Rankings'!$W36))</f>
        <v>0</v>
      </c>
      <c r="Y36" s="74">
        <f>IF(X36,_xlfn.RANK.EQ(X36,X$3:X$110,0),NumberOfTeams)</f>
        <v>0</v>
      </c>
      <c r="Z36" s="38"/>
    </row>
    <row r="37" ht="21.0" customHeight="1">
      <c r="A37" s="67" t="str">
        <f t="array" ref="A37">XLOOKUP(35,'Team and Program Information'!$B$3:$B$202,'Team and Program Information'!$C$3:$C$202,"ERROR",0)</f>
        <v/>
      </c>
      <c r="B37" s="68" t="str">
        <f t="array" ref="B37">XLOOKUP('Results and Rankings'!$A37,'Team and Program Information'!$C$3:$C$202,'Team and Program Information'!$D$3:$D$202,"",0,)</f>
        <v>#VALUE!</v>
      </c>
      <c r="C37" s="69" t="str">
        <f t="array" ref="C37">IF('Results and Rankings'!$A37="","",XLOOKUP('Results and Rankings'!$A37,'Robot Game Scores'!$B$2:$B$201,'Robot Game Scores'!$D$2:$D$201,0,0,))</f>
        <v/>
      </c>
      <c r="D37" s="69" t="str">
        <f t="array" ref="D37">IF('Results and Rankings'!$A37="","",XLOOKUP('Results and Rankings'!$A37,'Robot Game Scores'!$B$2:$B$201,'Robot Game Scores'!$E$2:$E$201,0,0,))</f>
        <v/>
      </c>
      <c r="E37" s="69" t="str">
        <f t="array" ref="E37">IF('Results and Rankings'!$A37="","",XLOOKUP('Results and Rankings'!$A37,'Robot Game Scores'!$B$2:$B$201,'Robot Game Scores'!$F$2:$F$201,0,0,))</f>
        <v/>
      </c>
      <c r="F37" s="69" t="str">
        <f t="array" ref="F37">IF('Results and Rankings'!$A37="","",XLOOKUP('Results and Rankings'!$A37,'Robot Game Scores'!$B$2:$B$201,'Robot Game Scores'!$G$2:$G$201,0,0,))</f>
        <v/>
      </c>
      <c r="G37" s="69" t="str">
        <f t="array" ref="G37">IF('Results and Rankings'!$A37="","",XLOOKUP('Results and Rankings'!$A37,'Robot Game Scores'!$B$2:$B$201,'Robot Game Scores'!$H$2:$H$201,0,0,))</f>
        <v/>
      </c>
      <c r="H37" s="69" t="str">
        <f>IF('Results and Rankings'!$A37="","",IF(ISNA(LARGE('Results and Rankings'!$C37:$G37,1)+0.0001*LARGE('Results and Rankings'!$C37:$G37,2)+0.0000001*LARGE('Results and Rankings'!$C37:$G37,3)+1E-11*LARGE('Results and Rankings'!$C37:$G37,4)+1E-14*LARGE('Results and Rankings'!$C37:$G37,5)),0,LARGE('Results and Rankings'!$C37:$G37,1)+0.0001*LARGE('Results and Rankings'!$C37:$G37,2)+0.0000001*LARGE('Results and Rankings'!$C37:$G37,3)+1E-11*LARGE('Results and Rankings'!$C37:$G37,4)+1E-14*LARGE('Results and Rankings'!$C37:$G37,5)))</f>
        <v/>
      </c>
      <c r="I37" s="69" t="str">
        <f>IF('Results and Rankings'!$A37="","",_xlfn.RANK.EQ('Results and Rankings'!$H37,'Results and Rankings'!$H$3:$H$202))</f>
        <v/>
      </c>
      <c r="J37" s="69" t="str">
        <f t="array" ref="J37">IF('Results and Rankings'!$A37="","",XLOOKUP('Results and Rankings'!$A37,'Core Values Input'!$A$2:$A$201,'Core Values Input'!$V$2:$V$201,NumberOfTeams+1,0,))</f>
        <v/>
      </c>
      <c r="K37" s="69" t="str">
        <f t="array" ref="K37">IF('Results and Rankings'!$A37="","",XLOOKUP('Results and Rankings'!$A37,'Innovation Project Input'!$A$2:$A$201,'Innovation Project Input'!$N$2:$N$201,NumberOfTeams+1,0,))</f>
        <v/>
      </c>
      <c r="L37" s="69" t="str">
        <f t="array" ref="L37">IF('Results and Rankings'!$A37="","",XLOOKUP('Results and Rankings'!$A37,'Robot Design Input'!$A$2:$A$201,'Robot Design Input'!$N$2:$N$201,NumberOfTeams+1,0,))</f>
        <v/>
      </c>
      <c r="M37" s="69" t="str">
        <f> IF('Results and Rankings'!$A37="","",IF('Results and Rankings'!$J37="",NumberOfTeams+1,'Results and Rankings'!$J37) + IF('Results and Rankings'!$K37="",NumberOfTeams+1,'Results and Rankings'!$K37) + IF('Results and Rankings'!$L37="",NumberOfTeams+1,'Results and Rankings'!$L37) + 'Results and Rankings'!$I37)</f>
        <v/>
      </c>
      <c r="N37" s="70" t="str">
        <f>IF('Results and Rankings'!$A37="","",IF(M37,RANK(M37,M$3:M$202,1)-COUNTIF(M$3:M$202,0),NumberOfTeams+1))</f>
        <v/>
      </c>
      <c r="O37" s="71" t="str">
        <f t="array" ref="O37">XLOOKUP('Results and Rankings'!$A37,'Core Values Input'!$A$2:$A$201,'Core Values Input'!$W$2:$W$201,0,0,)</f>
        <v>#VALUE!</v>
      </c>
      <c r="P37" s="71" t="str">
        <f t="array" ref="P37">XLOOKUP('Results and Rankings'!$A37,'Core Values Input'!$A$2:$A$201,'Core Values Input'!$X$2:$X$201,0,0,)</f>
        <v>#VALUE!</v>
      </c>
      <c r="Q37" s="71" t="str">
        <f t="array" ref="Q37">XLOOKUP('Results and Rankings'!$A37,'Core Values Input'!$A$2:$A$201,'Core Values Input'!$Y$2:$Y$201,0,0,)</f>
        <v>#VALUE!</v>
      </c>
      <c r="R37" s="38"/>
      <c r="S37" s="38"/>
      <c r="T37" s="72"/>
      <c r="U37" s="69" t="str">
        <f t="array" ref="U37">XLOOKUP('Results and Rankings'!$A37,'Core Values Input'!$A$2:$A$201,'Core Values Input'!$U$2:$U$201,0,0,)</f>
        <v>#VALUE!</v>
      </c>
      <c r="V37" s="69" t="str">
        <f t="array" ref="V37">XLOOKUP('Results and Rankings'!$A37,'Innovation Project Input'!$A$2:$A$201,'Innovation Project Input'!$M$2:$M$201,0,0,)</f>
        <v>#VALUE!</v>
      </c>
      <c r="W37" s="69" t="str">
        <f t="array" ref="W37">XLOOKUP('Results and Rankings'!$A37,'Robot Design Input'!$A$2:$A$201,'Robot Design Input'!$M$2:$M$201,0,0,)</f>
        <v>#VALUE!</v>
      </c>
      <c r="X37" s="73">
        <f>IF(ISERR(GEOMEAN('Results and Rankings'!$H37,'Results and Rankings'!$U37,'Results and Rankings'!$V37,'Results and Rankings'!$W37)),0,GEOMEAN('Results and Rankings'!$H37,'Results and Rankings'!$U37,'Results and Rankings'!$V37,'Results and Rankings'!$W37))</f>
        <v>0</v>
      </c>
      <c r="Y37" s="74">
        <f>IF(X37,_xlfn.RANK.EQ(X37,X$3:X$110,0),NumberOfTeams)</f>
        <v>0</v>
      </c>
      <c r="Z37" s="38"/>
    </row>
    <row r="38" ht="21.0" customHeight="1">
      <c r="A38" s="67" t="str">
        <f t="array" ref="A38">XLOOKUP(36,'Team and Program Information'!$B$3:$B$202,'Team and Program Information'!$C$3:$C$202,"ERROR",0)</f>
        <v/>
      </c>
      <c r="B38" s="68" t="str">
        <f t="array" ref="B38">XLOOKUP('Results and Rankings'!$A38,'Team and Program Information'!$C$3:$C$202,'Team and Program Information'!$D$3:$D$202,"",0,)</f>
        <v>#VALUE!</v>
      </c>
      <c r="C38" s="69" t="str">
        <f t="array" ref="C38">IF('Results and Rankings'!$A38="","",XLOOKUP('Results and Rankings'!$A38,'Robot Game Scores'!$B$2:$B$201,'Robot Game Scores'!$D$2:$D$201,0,0,))</f>
        <v/>
      </c>
      <c r="D38" s="69" t="str">
        <f t="array" ref="D38">IF('Results and Rankings'!$A38="","",XLOOKUP('Results and Rankings'!$A38,'Robot Game Scores'!$B$2:$B$201,'Robot Game Scores'!$E$2:$E$201,0,0,))</f>
        <v/>
      </c>
      <c r="E38" s="69" t="str">
        <f t="array" ref="E38">IF('Results and Rankings'!$A38="","",XLOOKUP('Results and Rankings'!$A38,'Robot Game Scores'!$B$2:$B$201,'Robot Game Scores'!$F$2:$F$201,0,0,))</f>
        <v/>
      </c>
      <c r="F38" s="69" t="str">
        <f t="array" ref="F38">IF('Results and Rankings'!$A38="","",XLOOKUP('Results and Rankings'!$A38,'Robot Game Scores'!$B$2:$B$201,'Robot Game Scores'!$G$2:$G$201,0,0,))</f>
        <v/>
      </c>
      <c r="G38" s="69" t="str">
        <f t="array" ref="G38">IF('Results and Rankings'!$A38="","",XLOOKUP('Results and Rankings'!$A38,'Robot Game Scores'!$B$2:$B$201,'Robot Game Scores'!$H$2:$H$201,0,0,))</f>
        <v/>
      </c>
      <c r="H38" s="69" t="str">
        <f>IF('Results and Rankings'!$A38="","",IF(ISNA(LARGE('Results and Rankings'!$C38:$G38,1)+0.0001*LARGE('Results and Rankings'!$C38:$G38,2)+0.0000001*LARGE('Results and Rankings'!$C38:$G38,3)+1E-11*LARGE('Results and Rankings'!$C38:$G38,4)+1E-14*LARGE('Results and Rankings'!$C38:$G38,5)),0,LARGE('Results and Rankings'!$C38:$G38,1)+0.0001*LARGE('Results and Rankings'!$C38:$G38,2)+0.0000001*LARGE('Results and Rankings'!$C38:$G38,3)+1E-11*LARGE('Results and Rankings'!$C38:$G38,4)+1E-14*LARGE('Results and Rankings'!$C38:$G38,5)))</f>
        <v/>
      </c>
      <c r="I38" s="69" t="str">
        <f>IF('Results and Rankings'!$A38="","",_xlfn.RANK.EQ('Results and Rankings'!$H38,'Results and Rankings'!$H$3:$H$202))</f>
        <v/>
      </c>
      <c r="J38" s="69" t="str">
        <f t="array" ref="J38">IF('Results and Rankings'!$A38="","",XLOOKUP('Results and Rankings'!$A38,'Core Values Input'!$A$2:$A$201,'Core Values Input'!$V$2:$V$201,NumberOfTeams+1,0,))</f>
        <v/>
      </c>
      <c r="K38" s="69" t="str">
        <f t="array" ref="K38">IF('Results and Rankings'!$A38="","",XLOOKUP('Results and Rankings'!$A38,'Innovation Project Input'!$A$2:$A$201,'Innovation Project Input'!$N$2:$N$201,NumberOfTeams+1,0,))</f>
        <v/>
      </c>
      <c r="L38" s="69" t="str">
        <f t="array" ref="L38">IF('Results and Rankings'!$A38="","",XLOOKUP('Results and Rankings'!$A38,'Robot Design Input'!$A$2:$A$201,'Robot Design Input'!$N$2:$N$201,NumberOfTeams+1,0,))</f>
        <v/>
      </c>
      <c r="M38" s="69" t="str">
        <f> IF('Results and Rankings'!$A38="","",IF('Results and Rankings'!$J38="",NumberOfTeams+1,'Results and Rankings'!$J38) + IF('Results and Rankings'!$K38="",NumberOfTeams+1,'Results and Rankings'!$K38) + IF('Results and Rankings'!$L38="",NumberOfTeams+1,'Results and Rankings'!$L38) + 'Results and Rankings'!$I38)</f>
        <v/>
      </c>
      <c r="N38" s="70" t="str">
        <f>IF('Results and Rankings'!$A38="","",IF(M38,RANK(M38,M$3:M$202,1)-COUNTIF(M$3:M$202,0),NumberOfTeams+1))</f>
        <v/>
      </c>
      <c r="O38" s="71" t="str">
        <f t="array" ref="O38">XLOOKUP('Results and Rankings'!$A38,'Core Values Input'!$A$2:$A$201,'Core Values Input'!$W$2:$W$201,0,0,)</f>
        <v>#VALUE!</v>
      </c>
      <c r="P38" s="71" t="str">
        <f t="array" ref="P38">XLOOKUP('Results and Rankings'!$A38,'Core Values Input'!$A$2:$A$201,'Core Values Input'!$X$2:$X$201,0,0,)</f>
        <v>#VALUE!</v>
      </c>
      <c r="Q38" s="71" t="str">
        <f t="array" ref="Q38">XLOOKUP('Results and Rankings'!$A38,'Core Values Input'!$A$2:$A$201,'Core Values Input'!$Y$2:$Y$201,0,0,)</f>
        <v>#VALUE!</v>
      </c>
      <c r="R38" s="38"/>
      <c r="S38" s="38"/>
      <c r="T38" s="72"/>
      <c r="U38" s="69" t="str">
        <f t="array" ref="U38">XLOOKUP('Results and Rankings'!$A38,'Core Values Input'!$A$2:$A$201,'Core Values Input'!$U$2:$U$201,0,0,)</f>
        <v>#VALUE!</v>
      </c>
      <c r="V38" s="69" t="str">
        <f t="array" ref="V38">XLOOKUP('Results and Rankings'!$A38,'Innovation Project Input'!$A$2:$A$201,'Innovation Project Input'!$M$2:$M$201,0,0,)</f>
        <v>#VALUE!</v>
      </c>
      <c r="W38" s="69" t="str">
        <f t="array" ref="W38">XLOOKUP('Results and Rankings'!$A38,'Robot Design Input'!$A$2:$A$201,'Robot Design Input'!$M$2:$M$201,0,0,)</f>
        <v>#VALUE!</v>
      </c>
      <c r="X38" s="73">
        <f>IF(ISERR(GEOMEAN('Results and Rankings'!$H38,'Results and Rankings'!$U38,'Results and Rankings'!$V38,'Results and Rankings'!$W38)),0,GEOMEAN('Results and Rankings'!$H38,'Results and Rankings'!$U38,'Results and Rankings'!$V38,'Results and Rankings'!$W38))</f>
        <v>0</v>
      </c>
      <c r="Y38" s="74">
        <f>IF(X38,_xlfn.RANK.EQ(X38,X$3:X$110,0),NumberOfTeams)</f>
        <v>0</v>
      </c>
      <c r="Z38" s="38"/>
    </row>
    <row r="39" ht="21.0" customHeight="1">
      <c r="A39" s="67" t="str">
        <f t="array" ref="A39">XLOOKUP(37,'Team and Program Information'!$B$3:$B$202,'Team and Program Information'!$C$3:$C$202,"ERROR",0)</f>
        <v/>
      </c>
      <c r="B39" s="68" t="str">
        <f t="array" ref="B39">XLOOKUP('Results and Rankings'!$A39,'Team and Program Information'!$C$3:$C$202,'Team and Program Information'!$D$3:$D$202,"",0,)</f>
        <v>#VALUE!</v>
      </c>
      <c r="C39" s="69" t="str">
        <f t="array" ref="C39">IF('Results and Rankings'!$A39="","",XLOOKUP('Results and Rankings'!$A39,'Robot Game Scores'!$B$2:$B$201,'Robot Game Scores'!$D$2:$D$201,0,0,))</f>
        <v/>
      </c>
      <c r="D39" s="69" t="str">
        <f t="array" ref="D39">IF('Results and Rankings'!$A39="","",XLOOKUP('Results and Rankings'!$A39,'Robot Game Scores'!$B$2:$B$201,'Robot Game Scores'!$E$2:$E$201,0,0,))</f>
        <v/>
      </c>
      <c r="E39" s="69" t="str">
        <f t="array" ref="E39">IF('Results and Rankings'!$A39="","",XLOOKUP('Results and Rankings'!$A39,'Robot Game Scores'!$B$2:$B$201,'Robot Game Scores'!$F$2:$F$201,0,0,))</f>
        <v/>
      </c>
      <c r="F39" s="69" t="str">
        <f t="array" ref="F39">IF('Results and Rankings'!$A39="","",XLOOKUP('Results and Rankings'!$A39,'Robot Game Scores'!$B$2:$B$201,'Robot Game Scores'!$G$2:$G$201,0,0,))</f>
        <v/>
      </c>
      <c r="G39" s="69" t="str">
        <f t="array" ref="G39">IF('Results and Rankings'!$A39="","",XLOOKUP('Results and Rankings'!$A39,'Robot Game Scores'!$B$2:$B$201,'Robot Game Scores'!$H$2:$H$201,0,0,))</f>
        <v/>
      </c>
      <c r="H39" s="69" t="str">
        <f>IF('Results and Rankings'!$A39="","",IF(ISNA(LARGE('Results and Rankings'!$C39:$G39,1)+0.0001*LARGE('Results and Rankings'!$C39:$G39,2)+0.0000001*LARGE('Results and Rankings'!$C39:$G39,3)+1E-11*LARGE('Results and Rankings'!$C39:$G39,4)+1E-14*LARGE('Results and Rankings'!$C39:$G39,5)),0,LARGE('Results and Rankings'!$C39:$G39,1)+0.0001*LARGE('Results and Rankings'!$C39:$G39,2)+0.0000001*LARGE('Results and Rankings'!$C39:$G39,3)+1E-11*LARGE('Results and Rankings'!$C39:$G39,4)+1E-14*LARGE('Results and Rankings'!$C39:$G39,5)))</f>
        <v/>
      </c>
      <c r="I39" s="69" t="str">
        <f>IF('Results and Rankings'!$A39="","",_xlfn.RANK.EQ('Results and Rankings'!$H39,'Results and Rankings'!$H$3:$H$202))</f>
        <v/>
      </c>
      <c r="J39" s="69" t="str">
        <f t="array" ref="J39">IF('Results and Rankings'!$A39="","",XLOOKUP('Results and Rankings'!$A39,'Core Values Input'!$A$2:$A$201,'Core Values Input'!$V$2:$V$201,NumberOfTeams+1,0,))</f>
        <v/>
      </c>
      <c r="K39" s="69" t="str">
        <f t="array" ref="K39">IF('Results and Rankings'!$A39="","",XLOOKUP('Results and Rankings'!$A39,'Innovation Project Input'!$A$2:$A$201,'Innovation Project Input'!$N$2:$N$201,NumberOfTeams+1,0,))</f>
        <v/>
      </c>
      <c r="L39" s="69" t="str">
        <f t="array" ref="L39">IF('Results and Rankings'!$A39="","",XLOOKUP('Results and Rankings'!$A39,'Robot Design Input'!$A$2:$A$201,'Robot Design Input'!$N$2:$N$201,NumberOfTeams+1,0,))</f>
        <v/>
      </c>
      <c r="M39" s="69" t="str">
        <f> IF('Results and Rankings'!$A39="","",IF('Results and Rankings'!$J39="",NumberOfTeams+1,'Results and Rankings'!$J39) + IF('Results and Rankings'!$K39="",NumberOfTeams+1,'Results and Rankings'!$K39) + IF('Results and Rankings'!$L39="",NumberOfTeams+1,'Results and Rankings'!$L39) + 'Results and Rankings'!$I39)</f>
        <v/>
      </c>
      <c r="N39" s="70" t="str">
        <f>IF('Results and Rankings'!$A39="","",IF(M39,RANK(M39,M$3:M$202,1)-COUNTIF(M$3:M$202,0),NumberOfTeams+1))</f>
        <v/>
      </c>
      <c r="O39" s="71" t="str">
        <f t="array" ref="O39">XLOOKUP('Results and Rankings'!$A39,'Core Values Input'!$A$2:$A$201,'Core Values Input'!$W$2:$W$201,0,0,)</f>
        <v>#VALUE!</v>
      </c>
      <c r="P39" s="71" t="str">
        <f t="array" ref="P39">XLOOKUP('Results and Rankings'!$A39,'Core Values Input'!$A$2:$A$201,'Core Values Input'!$X$2:$X$201,0,0,)</f>
        <v>#VALUE!</v>
      </c>
      <c r="Q39" s="71" t="str">
        <f t="array" ref="Q39">XLOOKUP('Results and Rankings'!$A39,'Core Values Input'!$A$2:$A$201,'Core Values Input'!$Y$2:$Y$201,0,0,)</f>
        <v>#VALUE!</v>
      </c>
      <c r="R39" s="38"/>
      <c r="S39" s="38"/>
      <c r="T39" s="72"/>
      <c r="U39" s="69" t="str">
        <f t="array" ref="U39">XLOOKUP('Results and Rankings'!$A39,'Core Values Input'!$A$2:$A$201,'Core Values Input'!$U$2:$U$201,0,0,)</f>
        <v>#VALUE!</v>
      </c>
      <c r="V39" s="69" t="str">
        <f t="array" ref="V39">XLOOKUP('Results and Rankings'!$A39,'Innovation Project Input'!$A$2:$A$201,'Innovation Project Input'!$M$2:$M$201,0,0,)</f>
        <v>#VALUE!</v>
      </c>
      <c r="W39" s="69" t="str">
        <f t="array" ref="W39">XLOOKUP('Results and Rankings'!$A39,'Robot Design Input'!$A$2:$A$201,'Robot Design Input'!$M$2:$M$201,0,0,)</f>
        <v>#VALUE!</v>
      </c>
      <c r="X39" s="73">
        <f>IF(ISERR(GEOMEAN('Results and Rankings'!$H39,'Results and Rankings'!$U39,'Results and Rankings'!$V39,'Results and Rankings'!$W39)),0,GEOMEAN('Results and Rankings'!$H39,'Results and Rankings'!$U39,'Results and Rankings'!$V39,'Results and Rankings'!$W39))</f>
        <v>0</v>
      </c>
      <c r="Y39" s="74">
        <f>IF(X39,_xlfn.RANK.EQ(X39,X$3:X$110,0),NumberOfTeams)</f>
        <v>0</v>
      </c>
      <c r="Z39" s="38"/>
    </row>
    <row r="40" ht="21.0" customHeight="1">
      <c r="A40" s="67" t="str">
        <f t="array" ref="A40">XLOOKUP(38,'Team and Program Information'!$B$3:$B$202,'Team and Program Information'!$C$3:$C$202,"ERROR",0)</f>
        <v/>
      </c>
      <c r="B40" s="68" t="str">
        <f t="array" ref="B40">XLOOKUP('Results and Rankings'!$A40,'Team and Program Information'!$C$3:$C$202,'Team and Program Information'!$D$3:$D$202,"",0,)</f>
        <v>#VALUE!</v>
      </c>
      <c r="C40" s="69" t="str">
        <f t="array" ref="C40">IF('Results and Rankings'!$A40="","",XLOOKUP('Results and Rankings'!$A40,'Robot Game Scores'!$B$2:$B$201,'Robot Game Scores'!$D$2:$D$201,0,0,))</f>
        <v/>
      </c>
      <c r="D40" s="69" t="str">
        <f t="array" ref="D40">IF('Results and Rankings'!$A40="","",XLOOKUP('Results and Rankings'!$A40,'Robot Game Scores'!$B$2:$B$201,'Robot Game Scores'!$E$2:$E$201,0,0,))</f>
        <v/>
      </c>
      <c r="E40" s="69" t="str">
        <f t="array" ref="E40">IF('Results and Rankings'!$A40="","",XLOOKUP('Results and Rankings'!$A40,'Robot Game Scores'!$B$2:$B$201,'Robot Game Scores'!$F$2:$F$201,0,0,))</f>
        <v/>
      </c>
      <c r="F40" s="69" t="str">
        <f t="array" ref="F40">IF('Results and Rankings'!$A40="","",XLOOKUP('Results and Rankings'!$A40,'Robot Game Scores'!$B$2:$B$201,'Robot Game Scores'!$G$2:$G$201,0,0,))</f>
        <v/>
      </c>
      <c r="G40" s="69" t="str">
        <f t="array" ref="G40">IF('Results and Rankings'!$A40="","",XLOOKUP('Results and Rankings'!$A40,'Robot Game Scores'!$B$2:$B$201,'Robot Game Scores'!$H$2:$H$201,0,0,))</f>
        <v/>
      </c>
      <c r="H40" s="69" t="str">
        <f>IF('Results and Rankings'!$A40="","",IF(ISNA(LARGE('Results and Rankings'!$C40:$G40,1)+0.0001*LARGE('Results and Rankings'!$C40:$G40,2)+0.0000001*LARGE('Results and Rankings'!$C40:$G40,3)+1E-11*LARGE('Results and Rankings'!$C40:$G40,4)+1E-14*LARGE('Results and Rankings'!$C40:$G40,5)),0,LARGE('Results and Rankings'!$C40:$G40,1)+0.0001*LARGE('Results and Rankings'!$C40:$G40,2)+0.0000001*LARGE('Results and Rankings'!$C40:$G40,3)+1E-11*LARGE('Results and Rankings'!$C40:$G40,4)+1E-14*LARGE('Results and Rankings'!$C40:$G40,5)))</f>
        <v/>
      </c>
      <c r="I40" s="69" t="str">
        <f>IF('Results and Rankings'!$A40="","",_xlfn.RANK.EQ('Results and Rankings'!$H40,'Results and Rankings'!$H$3:$H$202))</f>
        <v/>
      </c>
      <c r="J40" s="69" t="str">
        <f t="array" ref="J40">IF('Results and Rankings'!$A40="","",XLOOKUP('Results and Rankings'!$A40,'Core Values Input'!$A$2:$A$201,'Core Values Input'!$V$2:$V$201,NumberOfTeams+1,0,))</f>
        <v/>
      </c>
      <c r="K40" s="69" t="str">
        <f t="array" ref="K40">IF('Results and Rankings'!$A40="","",XLOOKUP('Results and Rankings'!$A40,'Innovation Project Input'!$A$2:$A$201,'Innovation Project Input'!$N$2:$N$201,NumberOfTeams+1,0,))</f>
        <v/>
      </c>
      <c r="L40" s="69" t="str">
        <f t="array" ref="L40">IF('Results and Rankings'!$A40="","",XLOOKUP('Results and Rankings'!$A40,'Robot Design Input'!$A$2:$A$201,'Robot Design Input'!$N$2:$N$201,NumberOfTeams+1,0,))</f>
        <v/>
      </c>
      <c r="M40" s="69" t="str">
        <f> IF('Results and Rankings'!$A40="","",IF('Results and Rankings'!$J40="",NumberOfTeams+1,'Results and Rankings'!$J40) + IF('Results and Rankings'!$K40="",NumberOfTeams+1,'Results and Rankings'!$K40) + IF('Results and Rankings'!$L40="",NumberOfTeams+1,'Results and Rankings'!$L40) + 'Results and Rankings'!$I40)</f>
        <v/>
      </c>
      <c r="N40" s="70" t="str">
        <f>IF('Results and Rankings'!$A40="","",IF(M40,RANK(M40,M$3:M$202,1)-COUNTIF(M$3:M$202,0),NumberOfTeams+1))</f>
        <v/>
      </c>
      <c r="O40" s="71" t="str">
        <f t="array" ref="O40">XLOOKUP('Results and Rankings'!$A40,'Core Values Input'!$A$2:$A$201,'Core Values Input'!$W$2:$W$201,0,0,)</f>
        <v>#VALUE!</v>
      </c>
      <c r="P40" s="71" t="str">
        <f t="array" ref="P40">XLOOKUP('Results and Rankings'!$A40,'Core Values Input'!$A$2:$A$201,'Core Values Input'!$X$2:$X$201,0,0,)</f>
        <v>#VALUE!</v>
      </c>
      <c r="Q40" s="71" t="str">
        <f t="array" ref="Q40">XLOOKUP('Results and Rankings'!$A40,'Core Values Input'!$A$2:$A$201,'Core Values Input'!$Y$2:$Y$201,0,0,)</f>
        <v>#VALUE!</v>
      </c>
      <c r="R40" s="38"/>
      <c r="S40" s="38"/>
      <c r="T40" s="72"/>
      <c r="U40" s="69" t="str">
        <f t="array" ref="U40">XLOOKUP('Results and Rankings'!$A40,'Core Values Input'!$A$2:$A$201,'Core Values Input'!$U$2:$U$201,0,0,)</f>
        <v>#VALUE!</v>
      </c>
      <c r="V40" s="69" t="str">
        <f t="array" ref="V40">XLOOKUP('Results and Rankings'!$A40,'Innovation Project Input'!$A$2:$A$201,'Innovation Project Input'!$M$2:$M$201,0,0,)</f>
        <v>#VALUE!</v>
      </c>
      <c r="W40" s="69" t="str">
        <f t="array" ref="W40">XLOOKUP('Results and Rankings'!$A40,'Robot Design Input'!$A$2:$A$201,'Robot Design Input'!$M$2:$M$201,0,0,)</f>
        <v>#VALUE!</v>
      </c>
      <c r="X40" s="73">
        <f>IF(ISERR(GEOMEAN('Results and Rankings'!$H40,'Results and Rankings'!$U40,'Results and Rankings'!$V40,'Results and Rankings'!$W40)),0,GEOMEAN('Results and Rankings'!$H40,'Results and Rankings'!$U40,'Results and Rankings'!$V40,'Results and Rankings'!$W40))</f>
        <v>0</v>
      </c>
      <c r="Y40" s="74">
        <f>IF(X40,_xlfn.RANK.EQ(X40,X$3:X$110,0),NumberOfTeams)</f>
        <v>0</v>
      </c>
      <c r="Z40" s="38"/>
    </row>
    <row r="41" ht="21.0" customHeight="1">
      <c r="A41" s="67" t="str">
        <f t="array" ref="A41">XLOOKUP(39,'Team and Program Information'!$B$3:$B$202,'Team and Program Information'!$C$3:$C$202,"ERROR",0)</f>
        <v/>
      </c>
      <c r="B41" s="68" t="str">
        <f t="array" ref="B41">XLOOKUP('Results and Rankings'!$A41,'Team and Program Information'!$C$3:$C$202,'Team and Program Information'!$D$3:$D$202,"",0,)</f>
        <v>#VALUE!</v>
      </c>
      <c r="C41" s="69" t="str">
        <f t="array" ref="C41">IF('Results and Rankings'!$A41="","",XLOOKUP('Results and Rankings'!$A41,'Robot Game Scores'!$B$2:$B$201,'Robot Game Scores'!$D$2:$D$201,0,0,))</f>
        <v/>
      </c>
      <c r="D41" s="69" t="str">
        <f t="array" ref="D41">IF('Results and Rankings'!$A41="","",XLOOKUP('Results and Rankings'!$A41,'Robot Game Scores'!$B$2:$B$201,'Robot Game Scores'!$E$2:$E$201,0,0,))</f>
        <v/>
      </c>
      <c r="E41" s="69" t="str">
        <f t="array" ref="E41">IF('Results and Rankings'!$A41="","",XLOOKUP('Results and Rankings'!$A41,'Robot Game Scores'!$B$2:$B$201,'Robot Game Scores'!$F$2:$F$201,0,0,))</f>
        <v/>
      </c>
      <c r="F41" s="69" t="str">
        <f t="array" ref="F41">IF('Results and Rankings'!$A41="","",XLOOKUP('Results and Rankings'!$A41,'Robot Game Scores'!$B$2:$B$201,'Robot Game Scores'!$G$2:$G$201,0,0,))</f>
        <v/>
      </c>
      <c r="G41" s="69" t="str">
        <f t="array" ref="G41">IF('Results and Rankings'!$A41="","",XLOOKUP('Results and Rankings'!$A41,'Robot Game Scores'!$B$2:$B$201,'Robot Game Scores'!$H$2:$H$201,0,0,))</f>
        <v/>
      </c>
      <c r="H41" s="69" t="str">
        <f>IF('Results and Rankings'!$A41="","",IF(ISNA(LARGE('Results and Rankings'!$C41:$G41,1)+0.0001*LARGE('Results and Rankings'!$C41:$G41,2)+0.0000001*LARGE('Results and Rankings'!$C41:$G41,3)+1E-11*LARGE('Results and Rankings'!$C41:$G41,4)+1E-14*LARGE('Results and Rankings'!$C41:$G41,5)),0,LARGE('Results and Rankings'!$C41:$G41,1)+0.0001*LARGE('Results and Rankings'!$C41:$G41,2)+0.0000001*LARGE('Results and Rankings'!$C41:$G41,3)+1E-11*LARGE('Results and Rankings'!$C41:$G41,4)+1E-14*LARGE('Results and Rankings'!$C41:$G41,5)))</f>
        <v/>
      </c>
      <c r="I41" s="69" t="str">
        <f>IF('Results and Rankings'!$A41="","",_xlfn.RANK.EQ('Results and Rankings'!$H41,'Results and Rankings'!$H$3:$H$202))</f>
        <v/>
      </c>
      <c r="J41" s="69" t="str">
        <f t="array" ref="J41">IF('Results and Rankings'!$A41="","",XLOOKUP('Results and Rankings'!$A41,'Core Values Input'!$A$2:$A$201,'Core Values Input'!$V$2:$V$201,NumberOfTeams+1,0,))</f>
        <v/>
      </c>
      <c r="K41" s="69" t="str">
        <f t="array" ref="K41">IF('Results and Rankings'!$A41="","",XLOOKUP('Results and Rankings'!$A41,'Innovation Project Input'!$A$2:$A$201,'Innovation Project Input'!$N$2:$N$201,NumberOfTeams+1,0,))</f>
        <v/>
      </c>
      <c r="L41" s="69" t="str">
        <f t="array" ref="L41">IF('Results and Rankings'!$A41="","",XLOOKUP('Results and Rankings'!$A41,'Robot Design Input'!$A$2:$A$201,'Robot Design Input'!$N$2:$N$201,NumberOfTeams+1,0,))</f>
        <v/>
      </c>
      <c r="M41" s="69" t="str">
        <f> IF('Results and Rankings'!$A41="","",IF('Results and Rankings'!$J41="",NumberOfTeams+1,'Results and Rankings'!$J41) + IF('Results and Rankings'!$K41="",NumberOfTeams+1,'Results and Rankings'!$K41) + IF('Results and Rankings'!$L41="",NumberOfTeams+1,'Results and Rankings'!$L41) + 'Results and Rankings'!$I41)</f>
        <v/>
      </c>
      <c r="N41" s="70" t="str">
        <f>IF('Results and Rankings'!$A41="","",IF(M41,RANK(M41,M$3:M$202,1)-COUNTIF(M$3:M$202,0),NumberOfTeams+1))</f>
        <v/>
      </c>
      <c r="O41" s="71" t="str">
        <f t="array" ref="O41">XLOOKUP('Results and Rankings'!$A41,'Core Values Input'!$A$2:$A$201,'Core Values Input'!$W$2:$W$201,0,0,)</f>
        <v>#VALUE!</v>
      </c>
      <c r="P41" s="71" t="str">
        <f t="array" ref="P41">XLOOKUP('Results and Rankings'!$A41,'Core Values Input'!$A$2:$A$201,'Core Values Input'!$X$2:$X$201,0,0,)</f>
        <v>#VALUE!</v>
      </c>
      <c r="Q41" s="71" t="str">
        <f t="array" ref="Q41">XLOOKUP('Results and Rankings'!$A41,'Core Values Input'!$A$2:$A$201,'Core Values Input'!$Y$2:$Y$201,0,0,)</f>
        <v>#VALUE!</v>
      </c>
      <c r="R41" s="38"/>
      <c r="S41" s="38"/>
      <c r="T41" s="72"/>
      <c r="U41" s="69" t="str">
        <f t="array" ref="U41">XLOOKUP('Results and Rankings'!$A41,'Core Values Input'!$A$2:$A$201,'Core Values Input'!$U$2:$U$201,0,0,)</f>
        <v>#VALUE!</v>
      </c>
      <c r="V41" s="69" t="str">
        <f t="array" ref="V41">XLOOKUP('Results and Rankings'!$A41,'Innovation Project Input'!$A$2:$A$201,'Innovation Project Input'!$M$2:$M$201,0,0,)</f>
        <v>#VALUE!</v>
      </c>
      <c r="W41" s="69" t="str">
        <f t="array" ref="W41">XLOOKUP('Results and Rankings'!$A41,'Robot Design Input'!$A$2:$A$201,'Robot Design Input'!$M$2:$M$201,0,0,)</f>
        <v>#VALUE!</v>
      </c>
      <c r="X41" s="73">
        <f>IF(ISERR(GEOMEAN('Results and Rankings'!$H41,'Results and Rankings'!$U41,'Results and Rankings'!$V41,'Results and Rankings'!$W41)),0,GEOMEAN('Results and Rankings'!$H41,'Results and Rankings'!$U41,'Results and Rankings'!$V41,'Results and Rankings'!$W41))</f>
        <v>0</v>
      </c>
      <c r="Y41" s="74">
        <f>IF(X41,_xlfn.RANK.EQ(X41,X$3:X$110,0),NumberOfTeams)</f>
        <v>0</v>
      </c>
      <c r="Z41" s="38"/>
    </row>
    <row r="42" ht="21.0" customHeight="1">
      <c r="A42" s="67" t="str">
        <f t="array" ref="A42">XLOOKUP(40,'Team and Program Information'!$B$3:$B$202,'Team and Program Information'!$C$3:$C$202,"ERROR",0)</f>
        <v/>
      </c>
      <c r="B42" s="68" t="str">
        <f t="array" ref="B42">XLOOKUP('Results and Rankings'!$A42,'Team and Program Information'!$C$3:$C$202,'Team and Program Information'!$D$3:$D$202,"",0,)</f>
        <v>#VALUE!</v>
      </c>
      <c r="C42" s="69" t="str">
        <f t="array" ref="C42">IF('Results and Rankings'!$A42="","",XLOOKUP('Results and Rankings'!$A42,'Robot Game Scores'!$B$2:$B$201,'Robot Game Scores'!$D$2:$D$201,0,0,))</f>
        <v/>
      </c>
      <c r="D42" s="69" t="str">
        <f t="array" ref="D42">IF('Results and Rankings'!$A42="","",XLOOKUP('Results and Rankings'!$A42,'Robot Game Scores'!$B$2:$B$201,'Robot Game Scores'!$E$2:$E$201,0,0,))</f>
        <v/>
      </c>
      <c r="E42" s="69" t="str">
        <f t="array" ref="E42">IF('Results and Rankings'!$A42="","",XLOOKUP('Results and Rankings'!$A42,'Robot Game Scores'!$B$2:$B$201,'Robot Game Scores'!$F$2:$F$201,0,0,))</f>
        <v/>
      </c>
      <c r="F42" s="69" t="str">
        <f t="array" ref="F42">IF('Results and Rankings'!$A42="","",XLOOKUP('Results and Rankings'!$A42,'Robot Game Scores'!$B$2:$B$201,'Robot Game Scores'!$G$2:$G$201,0,0,))</f>
        <v/>
      </c>
      <c r="G42" s="69" t="str">
        <f t="array" ref="G42">IF('Results and Rankings'!$A42="","",XLOOKUP('Results and Rankings'!$A42,'Robot Game Scores'!$B$2:$B$201,'Robot Game Scores'!$H$2:$H$201,0,0,))</f>
        <v/>
      </c>
      <c r="H42" s="69" t="str">
        <f>IF('Results and Rankings'!$A42="","",IF(ISNA(LARGE('Results and Rankings'!$C42:$G42,1)+0.0001*LARGE('Results and Rankings'!$C42:$G42,2)+0.0000001*LARGE('Results and Rankings'!$C42:$G42,3)+1E-11*LARGE('Results and Rankings'!$C42:$G42,4)+1E-14*LARGE('Results and Rankings'!$C42:$G42,5)),0,LARGE('Results and Rankings'!$C42:$G42,1)+0.0001*LARGE('Results and Rankings'!$C42:$G42,2)+0.0000001*LARGE('Results and Rankings'!$C42:$G42,3)+1E-11*LARGE('Results and Rankings'!$C42:$G42,4)+1E-14*LARGE('Results and Rankings'!$C42:$G42,5)))</f>
        <v/>
      </c>
      <c r="I42" s="69" t="str">
        <f>IF('Results and Rankings'!$A42="","",_xlfn.RANK.EQ('Results and Rankings'!$H42,'Results and Rankings'!$H$3:$H$202))</f>
        <v/>
      </c>
      <c r="J42" s="69" t="str">
        <f t="array" ref="J42">IF('Results and Rankings'!$A42="","",XLOOKUP('Results and Rankings'!$A42,'Core Values Input'!$A$2:$A$201,'Core Values Input'!$V$2:$V$201,NumberOfTeams+1,0,))</f>
        <v/>
      </c>
      <c r="K42" s="69" t="str">
        <f t="array" ref="K42">IF('Results and Rankings'!$A42="","",XLOOKUP('Results and Rankings'!$A42,'Innovation Project Input'!$A$2:$A$201,'Innovation Project Input'!$N$2:$N$201,NumberOfTeams+1,0,))</f>
        <v/>
      </c>
      <c r="L42" s="69" t="str">
        <f t="array" ref="L42">IF('Results and Rankings'!$A42="","",XLOOKUP('Results and Rankings'!$A42,'Robot Design Input'!$A$2:$A$201,'Robot Design Input'!$N$2:$N$201,NumberOfTeams+1,0,))</f>
        <v/>
      </c>
      <c r="M42" s="69" t="str">
        <f> IF('Results and Rankings'!$A42="","",IF('Results and Rankings'!$J42="",NumberOfTeams+1,'Results and Rankings'!$J42) + IF('Results and Rankings'!$K42="",NumberOfTeams+1,'Results and Rankings'!$K42) + IF('Results and Rankings'!$L42="",NumberOfTeams+1,'Results and Rankings'!$L42) + 'Results and Rankings'!$I42)</f>
        <v/>
      </c>
      <c r="N42" s="70" t="str">
        <f>IF('Results and Rankings'!$A42="","",IF(M42,RANK(M42,M$3:M$202,1)-COUNTIF(M$3:M$202,0),NumberOfTeams+1))</f>
        <v/>
      </c>
      <c r="O42" s="71" t="str">
        <f t="array" ref="O42">XLOOKUP('Results and Rankings'!$A42,'Core Values Input'!$A$2:$A$201,'Core Values Input'!$W$2:$W$201,0,0,)</f>
        <v>#VALUE!</v>
      </c>
      <c r="P42" s="71" t="str">
        <f t="array" ref="P42">XLOOKUP('Results and Rankings'!$A42,'Core Values Input'!$A$2:$A$201,'Core Values Input'!$X$2:$X$201,0,0,)</f>
        <v>#VALUE!</v>
      </c>
      <c r="Q42" s="71" t="str">
        <f t="array" ref="Q42">XLOOKUP('Results and Rankings'!$A42,'Core Values Input'!$A$2:$A$201,'Core Values Input'!$Y$2:$Y$201,0,0,)</f>
        <v>#VALUE!</v>
      </c>
      <c r="R42" s="38"/>
      <c r="S42" s="38"/>
      <c r="T42" s="72"/>
      <c r="U42" s="69" t="str">
        <f t="array" ref="U42">XLOOKUP('Results and Rankings'!$A42,'Core Values Input'!$A$2:$A$201,'Core Values Input'!$U$2:$U$201,0,0,)</f>
        <v>#VALUE!</v>
      </c>
      <c r="V42" s="69" t="str">
        <f t="array" ref="V42">XLOOKUP('Results and Rankings'!$A42,'Innovation Project Input'!$A$2:$A$201,'Innovation Project Input'!$M$2:$M$201,0,0,)</f>
        <v>#VALUE!</v>
      </c>
      <c r="W42" s="69" t="str">
        <f t="array" ref="W42">XLOOKUP('Results and Rankings'!$A42,'Robot Design Input'!$A$2:$A$201,'Robot Design Input'!$M$2:$M$201,0,0,)</f>
        <v>#VALUE!</v>
      </c>
      <c r="X42" s="73">
        <f>IF(ISERR(GEOMEAN('Results and Rankings'!$H42,'Results and Rankings'!$U42,'Results and Rankings'!$V42,'Results and Rankings'!$W42)),0,GEOMEAN('Results and Rankings'!$H42,'Results and Rankings'!$U42,'Results and Rankings'!$V42,'Results and Rankings'!$W42))</f>
        <v>0</v>
      </c>
      <c r="Y42" s="74">
        <f>IF(X42,_xlfn.RANK.EQ(X42,X$3:X$110,0),NumberOfTeams)</f>
        <v>0</v>
      </c>
      <c r="Z42" s="38"/>
    </row>
    <row r="43" ht="21.0" customHeight="1">
      <c r="A43" s="67" t="str">
        <f t="array" ref="A43">XLOOKUP(41,'Team and Program Information'!$B$3:$B$202,'Team and Program Information'!$C$3:$C$202,"ERROR",0)</f>
        <v/>
      </c>
      <c r="B43" s="68" t="str">
        <f t="array" ref="B43">XLOOKUP('Results and Rankings'!$A43,'Team and Program Information'!$C$3:$C$202,'Team and Program Information'!$D$3:$D$202,"",0,)</f>
        <v>#VALUE!</v>
      </c>
      <c r="C43" s="69" t="str">
        <f t="array" ref="C43">IF('Results and Rankings'!$A43="","",XLOOKUP('Results and Rankings'!$A43,'Robot Game Scores'!$B$2:$B$201,'Robot Game Scores'!$D$2:$D$201,0,0,))</f>
        <v/>
      </c>
      <c r="D43" s="69" t="str">
        <f t="array" ref="D43">IF('Results and Rankings'!$A43="","",XLOOKUP('Results and Rankings'!$A43,'Robot Game Scores'!$B$2:$B$201,'Robot Game Scores'!$E$2:$E$201,0,0,))</f>
        <v/>
      </c>
      <c r="E43" s="69" t="str">
        <f t="array" ref="E43">IF('Results and Rankings'!$A43="","",XLOOKUP('Results and Rankings'!$A43,'Robot Game Scores'!$B$2:$B$201,'Robot Game Scores'!$F$2:$F$201,0,0,))</f>
        <v/>
      </c>
      <c r="F43" s="69" t="str">
        <f t="array" ref="F43">IF('Results and Rankings'!$A43="","",XLOOKUP('Results and Rankings'!$A43,'Robot Game Scores'!$B$2:$B$201,'Robot Game Scores'!$G$2:$G$201,0,0,))</f>
        <v/>
      </c>
      <c r="G43" s="69" t="str">
        <f t="array" ref="G43">IF('Results and Rankings'!$A43="","",XLOOKUP('Results and Rankings'!$A43,'Robot Game Scores'!$B$2:$B$201,'Robot Game Scores'!$H$2:$H$201,0,0,))</f>
        <v/>
      </c>
      <c r="H43" s="69" t="str">
        <f>IF('Results and Rankings'!$A43="","",IF(ISNA(LARGE('Results and Rankings'!$C43:$G43,1)+0.0001*LARGE('Results and Rankings'!$C43:$G43,2)+0.0000001*LARGE('Results and Rankings'!$C43:$G43,3)+1E-11*LARGE('Results and Rankings'!$C43:$G43,4)+1E-14*LARGE('Results and Rankings'!$C43:$G43,5)),0,LARGE('Results and Rankings'!$C43:$G43,1)+0.0001*LARGE('Results and Rankings'!$C43:$G43,2)+0.0000001*LARGE('Results and Rankings'!$C43:$G43,3)+1E-11*LARGE('Results and Rankings'!$C43:$G43,4)+1E-14*LARGE('Results and Rankings'!$C43:$G43,5)))</f>
        <v/>
      </c>
      <c r="I43" s="69" t="str">
        <f>IF('Results and Rankings'!$A43="","",_xlfn.RANK.EQ('Results and Rankings'!$H43,'Results and Rankings'!$H$3:$H$202))</f>
        <v/>
      </c>
      <c r="J43" s="69" t="str">
        <f t="array" ref="J43">IF('Results and Rankings'!$A43="","",XLOOKUP('Results and Rankings'!$A43,'Core Values Input'!$A$2:$A$201,'Core Values Input'!$V$2:$V$201,NumberOfTeams+1,0,))</f>
        <v/>
      </c>
      <c r="K43" s="69" t="str">
        <f t="array" ref="K43">IF('Results and Rankings'!$A43="","",XLOOKUP('Results and Rankings'!$A43,'Innovation Project Input'!$A$2:$A$201,'Innovation Project Input'!$N$2:$N$201,NumberOfTeams+1,0,))</f>
        <v/>
      </c>
      <c r="L43" s="69" t="str">
        <f t="array" ref="L43">IF('Results and Rankings'!$A43="","",XLOOKUP('Results and Rankings'!$A43,'Robot Design Input'!$A$2:$A$201,'Robot Design Input'!$N$2:$N$201,NumberOfTeams+1,0,))</f>
        <v/>
      </c>
      <c r="M43" s="69" t="str">
        <f> IF('Results and Rankings'!$A43="","",IF('Results and Rankings'!$J43="",NumberOfTeams+1,'Results and Rankings'!$J43) + IF('Results and Rankings'!$K43="",NumberOfTeams+1,'Results and Rankings'!$K43) + IF('Results and Rankings'!$L43="",NumberOfTeams+1,'Results and Rankings'!$L43) + 'Results and Rankings'!$I43)</f>
        <v/>
      </c>
      <c r="N43" s="70" t="str">
        <f>IF('Results and Rankings'!$A43="","",IF(M43,RANK(M43,M$3:M$202,1)-COUNTIF(M$3:M$202,0),NumberOfTeams+1))</f>
        <v/>
      </c>
      <c r="O43" s="71" t="str">
        <f t="array" ref="O43">XLOOKUP('Results and Rankings'!$A43,'Core Values Input'!$A$2:$A$201,'Core Values Input'!$W$2:$W$201,0,0,)</f>
        <v>#VALUE!</v>
      </c>
      <c r="P43" s="71" t="str">
        <f t="array" ref="P43">XLOOKUP('Results and Rankings'!$A43,'Core Values Input'!$A$2:$A$201,'Core Values Input'!$X$2:$X$201,0,0,)</f>
        <v>#VALUE!</v>
      </c>
      <c r="Q43" s="71" t="str">
        <f t="array" ref="Q43">XLOOKUP('Results and Rankings'!$A43,'Core Values Input'!$A$2:$A$201,'Core Values Input'!$Y$2:$Y$201,0,0,)</f>
        <v>#VALUE!</v>
      </c>
      <c r="R43" s="38"/>
      <c r="S43" s="38"/>
      <c r="T43" s="72"/>
      <c r="U43" s="69" t="str">
        <f t="array" ref="U43">XLOOKUP('Results and Rankings'!$A43,'Core Values Input'!$A$2:$A$201,'Core Values Input'!$U$2:$U$201,0,0,)</f>
        <v>#VALUE!</v>
      </c>
      <c r="V43" s="69" t="str">
        <f t="array" ref="V43">XLOOKUP('Results and Rankings'!$A43,'Innovation Project Input'!$A$2:$A$201,'Innovation Project Input'!$M$2:$M$201,0,0,)</f>
        <v>#VALUE!</v>
      </c>
      <c r="W43" s="69" t="str">
        <f t="array" ref="W43">XLOOKUP('Results and Rankings'!$A43,'Robot Design Input'!$A$2:$A$201,'Robot Design Input'!$M$2:$M$201,0,0,)</f>
        <v>#VALUE!</v>
      </c>
      <c r="X43" s="73">
        <f>IF(ISERR(GEOMEAN('Results and Rankings'!$H43,'Results and Rankings'!$U43,'Results and Rankings'!$V43,'Results and Rankings'!$W43)),0,GEOMEAN('Results and Rankings'!$H43,'Results and Rankings'!$U43,'Results and Rankings'!$V43,'Results and Rankings'!$W43))</f>
        <v>0</v>
      </c>
      <c r="Y43" s="74">
        <f>IF(X43,_xlfn.RANK.EQ(X43,X$3:X$110,0),NumberOfTeams)</f>
        <v>0</v>
      </c>
      <c r="Z43" s="38"/>
    </row>
    <row r="44" ht="21.0" customHeight="1">
      <c r="A44" s="67" t="str">
        <f t="array" ref="A44">XLOOKUP(42,'Team and Program Information'!$B$3:$B$202,'Team and Program Information'!$C$3:$C$202,"ERROR",0)</f>
        <v/>
      </c>
      <c r="B44" s="68" t="str">
        <f t="array" ref="B44">XLOOKUP('Results and Rankings'!$A44,'Team and Program Information'!$C$3:$C$202,'Team and Program Information'!$D$3:$D$202,"",0,)</f>
        <v>#VALUE!</v>
      </c>
      <c r="C44" s="69" t="str">
        <f t="array" ref="C44">IF('Results and Rankings'!$A44="","",XLOOKUP('Results and Rankings'!$A44,'Robot Game Scores'!$B$2:$B$201,'Robot Game Scores'!$D$2:$D$201,0,0,))</f>
        <v/>
      </c>
      <c r="D44" s="69" t="str">
        <f t="array" ref="D44">IF('Results and Rankings'!$A44="","",XLOOKUP('Results and Rankings'!$A44,'Robot Game Scores'!$B$2:$B$201,'Robot Game Scores'!$E$2:$E$201,0,0,))</f>
        <v/>
      </c>
      <c r="E44" s="69" t="str">
        <f t="array" ref="E44">IF('Results and Rankings'!$A44="","",XLOOKUP('Results and Rankings'!$A44,'Robot Game Scores'!$B$2:$B$201,'Robot Game Scores'!$F$2:$F$201,0,0,))</f>
        <v/>
      </c>
      <c r="F44" s="69" t="str">
        <f t="array" ref="F44">IF('Results and Rankings'!$A44="","",XLOOKUP('Results and Rankings'!$A44,'Robot Game Scores'!$B$2:$B$201,'Robot Game Scores'!$G$2:$G$201,0,0,))</f>
        <v/>
      </c>
      <c r="G44" s="69" t="str">
        <f t="array" ref="G44">IF('Results and Rankings'!$A44="","",XLOOKUP('Results and Rankings'!$A44,'Robot Game Scores'!$B$2:$B$201,'Robot Game Scores'!$H$2:$H$201,0,0,))</f>
        <v/>
      </c>
      <c r="H44" s="69" t="str">
        <f>IF('Results and Rankings'!$A44="","",IF(ISNA(LARGE('Results and Rankings'!$C44:$G44,1)+0.0001*LARGE('Results and Rankings'!$C44:$G44,2)+0.0000001*LARGE('Results and Rankings'!$C44:$G44,3)+1E-11*LARGE('Results and Rankings'!$C44:$G44,4)+1E-14*LARGE('Results and Rankings'!$C44:$G44,5)),0,LARGE('Results and Rankings'!$C44:$G44,1)+0.0001*LARGE('Results and Rankings'!$C44:$G44,2)+0.0000001*LARGE('Results and Rankings'!$C44:$G44,3)+1E-11*LARGE('Results and Rankings'!$C44:$G44,4)+1E-14*LARGE('Results and Rankings'!$C44:$G44,5)))</f>
        <v/>
      </c>
      <c r="I44" s="69" t="str">
        <f>IF('Results and Rankings'!$A44="","",_xlfn.RANK.EQ('Results and Rankings'!$H44,'Results and Rankings'!$H$3:$H$202))</f>
        <v/>
      </c>
      <c r="J44" s="69" t="str">
        <f t="array" ref="J44">IF('Results and Rankings'!$A44="","",XLOOKUP('Results and Rankings'!$A44,'Core Values Input'!$A$2:$A$201,'Core Values Input'!$V$2:$V$201,NumberOfTeams+1,0,))</f>
        <v/>
      </c>
      <c r="K44" s="69" t="str">
        <f t="array" ref="K44">IF('Results and Rankings'!$A44="","",XLOOKUP('Results and Rankings'!$A44,'Innovation Project Input'!$A$2:$A$201,'Innovation Project Input'!$N$2:$N$201,NumberOfTeams+1,0,))</f>
        <v/>
      </c>
      <c r="L44" s="69" t="str">
        <f t="array" ref="L44">IF('Results and Rankings'!$A44="","",XLOOKUP('Results and Rankings'!$A44,'Robot Design Input'!$A$2:$A$201,'Robot Design Input'!$N$2:$N$201,NumberOfTeams+1,0,))</f>
        <v/>
      </c>
      <c r="M44" s="69" t="str">
        <f> IF('Results and Rankings'!$A44="","",IF('Results and Rankings'!$J44="",NumberOfTeams+1,'Results and Rankings'!$J44) + IF('Results and Rankings'!$K44="",NumberOfTeams+1,'Results and Rankings'!$K44) + IF('Results and Rankings'!$L44="",NumberOfTeams+1,'Results and Rankings'!$L44) + 'Results and Rankings'!$I44)</f>
        <v/>
      </c>
      <c r="N44" s="70" t="str">
        <f>IF('Results and Rankings'!$A44="","",IF(M44,RANK(M44,M$3:M$202,1)-COUNTIF(M$3:M$202,0),NumberOfTeams+1))</f>
        <v/>
      </c>
      <c r="O44" s="72" t="str">
        <f t="array" ref="O44">XLOOKUP('Results and Rankings'!$A44,'Core Values Input'!$A$2:$A$201,'Core Values Input'!$W$2:$W$201,0,0,)</f>
        <v>#VALUE!</v>
      </c>
      <c r="P44" s="72" t="str">
        <f t="array" ref="P44">XLOOKUP('Results and Rankings'!$A44,'Core Values Input'!$A$2:$A$201,'Core Values Input'!$X$2:$X$201,0,0,)</f>
        <v>#VALUE!</v>
      </c>
      <c r="Q44" s="72" t="str">
        <f t="array" ref="Q44">XLOOKUP('Results and Rankings'!$A44,'Core Values Input'!$A$2:$A$201,'Core Values Input'!$Y$2:$Y$201,0,0,)</f>
        <v>#VALUE!</v>
      </c>
      <c r="R44" s="38"/>
      <c r="S44" s="38"/>
      <c r="T44" s="72"/>
      <c r="U44" s="69" t="str">
        <f t="array" ref="U44">XLOOKUP('Results and Rankings'!$A44,'Core Values Input'!$A$2:$A$201,'Core Values Input'!$U$2:$U$201,0,0,)</f>
        <v>#VALUE!</v>
      </c>
      <c r="V44" s="69" t="str">
        <f t="array" ref="V44">XLOOKUP('Results and Rankings'!$A44,'Innovation Project Input'!$A$2:$A$201,'Innovation Project Input'!$M$2:$M$201,0,0,)</f>
        <v>#VALUE!</v>
      </c>
      <c r="W44" s="69" t="str">
        <f t="array" ref="W44">XLOOKUP('Results and Rankings'!$A44,'Robot Design Input'!$A$2:$A$201,'Robot Design Input'!$M$2:$M$201,0,0,)</f>
        <v>#VALUE!</v>
      </c>
      <c r="X44" s="73">
        <f>IF(ISERR(GEOMEAN('Results and Rankings'!$H44,'Results and Rankings'!$U44,'Results and Rankings'!$V44,'Results and Rankings'!$W44)),0,GEOMEAN('Results and Rankings'!$H44,'Results and Rankings'!$U44,'Results and Rankings'!$V44,'Results and Rankings'!$W44))</f>
        <v>0</v>
      </c>
      <c r="Y44" s="74">
        <f>IF(X44,_xlfn.RANK.EQ(X44,X$3:X$110,0),NumberOfTeams)</f>
        <v>0</v>
      </c>
      <c r="Z44" s="38"/>
    </row>
    <row r="45" ht="21.0" customHeight="1">
      <c r="A45" s="67" t="str">
        <f t="array" ref="A45">XLOOKUP(43,'Team and Program Information'!$B$3:$B$202,'Team and Program Information'!$C$3:$C$202,"ERROR",0)</f>
        <v/>
      </c>
      <c r="B45" s="68" t="str">
        <f t="array" ref="B45">XLOOKUP('Results and Rankings'!$A45,'Team and Program Information'!$C$3:$C$202,'Team and Program Information'!$D$3:$D$202,"",0,)</f>
        <v>#VALUE!</v>
      </c>
      <c r="C45" s="69" t="str">
        <f t="array" ref="C45">IF('Results and Rankings'!$A45="","",XLOOKUP('Results and Rankings'!$A45,'Robot Game Scores'!$B$2:$B$201,'Robot Game Scores'!$D$2:$D$201,0,0,))</f>
        <v/>
      </c>
      <c r="D45" s="69" t="str">
        <f t="array" ref="D45">IF('Results and Rankings'!$A45="","",XLOOKUP('Results and Rankings'!$A45,'Robot Game Scores'!$B$2:$B$201,'Robot Game Scores'!$E$2:$E$201,0,0,))</f>
        <v/>
      </c>
      <c r="E45" s="69" t="str">
        <f t="array" ref="E45">IF('Results and Rankings'!$A45="","",XLOOKUP('Results and Rankings'!$A45,'Robot Game Scores'!$B$2:$B$201,'Robot Game Scores'!$F$2:$F$201,0,0,))</f>
        <v/>
      </c>
      <c r="F45" s="69" t="str">
        <f t="array" ref="F45">IF('Results and Rankings'!$A45="","",XLOOKUP('Results and Rankings'!$A45,'Robot Game Scores'!$B$2:$B$201,'Robot Game Scores'!$G$2:$G$201,0,0,))</f>
        <v/>
      </c>
      <c r="G45" s="69" t="str">
        <f t="array" ref="G45">IF('Results and Rankings'!$A45="","",XLOOKUP('Results and Rankings'!$A45,'Robot Game Scores'!$B$2:$B$201,'Robot Game Scores'!$H$2:$H$201,0,0,))</f>
        <v/>
      </c>
      <c r="H45" s="69" t="str">
        <f>IF('Results and Rankings'!$A45="","",IF(ISNA(LARGE('Results and Rankings'!$C45:$G45,1)+0.0001*LARGE('Results and Rankings'!$C45:$G45,2)+0.0000001*LARGE('Results and Rankings'!$C45:$G45,3)+1E-11*LARGE('Results and Rankings'!$C45:$G45,4)+1E-14*LARGE('Results and Rankings'!$C45:$G45,5)),0,LARGE('Results and Rankings'!$C45:$G45,1)+0.0001*LARGE('Results and Rankings'!$C45:$G45,2)+0.0000001*LARGE('Results and Rankings'!$C45:$G45,3)+1E-11*LARGE('Results and Rankings'!$C45:$G45,4)+1E-14*LARGE('Results and Rankings'!$C45:$G45,5)))</f>
        <v/>
      </c>
      <c r="I45" s="69" t="str">
        <f>IF('Results and Rankings'!$A45="","",_xlfn.RANK.EQ('Results and Rankings'!$H45,'Results and Rankings'!$H$3:$H$202))</f>
        <v/>
      </c>
      <c r="J45" s="69" t="str">
        <f t="array" ref="J45">IF('Results and Rankings'!$A45="","",XLOOKUP('Results and Rankings'!$A45,'Core Values Input'!$A$2:$A$201,'Core Values Input'!$V$2:$V$201,NumberOfTeams+1,0,))</f>
        <v/>
      </c>
      <c r="K45" s="69" t="str">
        <f t="array" ref="K45">IF('Results and Rankings'!$A45="","",XLOOKUP('Results and Rankings'!$A45,'Innovation Project Input'!$A$2:$A$201,'Innovation Project Input'!$N$2:$N$201,NumberOfTeams+1,0,))</f>
        <v/>
      </c>
      <c r="L45" s="69" t="str">
        <f t="array" ref="L45">IF('Results and Rankings'!$A45="","",XLOOKUP('Results and Rankings'!$A45,'Robot Design Input'!$A$2:$A$201,'Robot Design Input'!$N$2:$N$201,NumberOfTeams+1,0,))</f>
        <v/>
      </c>
      <c r="M45" s="69" t="str">
        <f> IF('Results and Rankings'!$A45="","",IF('Results and Rankings'!$J45="",NumberOfTeams+1,'Results and Rankings'!$J45) + IF('Results and Rankings'!$K45="",NumberOfTeams+1,'Results and Rankings'!$K45) + IF('Results and Rankings'!$L45="",NumberOfTeams+1,'Results and Rankings'!$L45) + 'Results and Rankings'!$I45)</f>
        <v/>
      </c>
      <c r="N45" s="70" t="str">
        <f>IF('Results and Rankings'!$A45="","",IF(M45,RANK(M45,M$3:M$202,1)-COUNTIF(M$3:M$202,0),NumberOfTeams+1))</f>
        <v/>
      </c>
      <c r="O45" s="71" t="str">
        <f t="array" ref="O45">XLOOKUP('Results and Rankings'!$A45,'Core Values Input'!$A$2:$A$201,'Core Values Input'!$W$2:$W$201,0,0,)</f>
        <v>#VALUE!</v>
      </c>
      <c r="P45" s="71" t="str">
        <f t="array" ref="P45">XLOOKUP('Results and Rankings'!$A45,'Core Values Input'!$A$2:$A$201,'Core Values Input'!$X$2:$X$201,0,0,)</f>
        <v>#VALUE!</v>
      </c>
      <c r="Q45" s="71" t="str">
        <f t="array" ref="Q45">XLOOKUP('Results and Rankings'!$A45,'Core Values Input'!$A$2:$A$201,'Core Values Input'!$Y$2:$Y$201,0,0,)</f>
        <v>#VALUE!</v>
      </c>
      <c r="R45" s="38"/>
      <c r="S45" s="38"/>
      <c r="T45" s="72"/>
      <c r="U45" s="69" t="str">
        <f t="array" ref="U45">XLOOKUP('Results and Rankings'!$A45,'Core Values Input'!$A$2:$A$201,'Core Values Input'!$U$2:$U$201,0,0,)</f>
        <v>#VALUE!</v>
      </c>
      <c r="V45" s="69" t="str">
        <f t="array" ref="V45">XLOOKUP('Results and Rankings'!$A45,'Innovation Project Input'!$A$2:$A$201,'Innovation Project Input'!$M$2:$M$201,0,0,)</f>
        <v>#VALUE!</v>
      </c>
      <c r="W45" s="69" t="str">
        <f t="array" ref="W45">XLOOKUP('Results and Rankings'!$A45,'Robot Design Input'!$A$2:$A$201,'Robot Design Input'!$M$2:$M$201,0,0,)</f>
        <v>#VALUE!</v>
      </c>
      <c r="X45" s="73">
        <f>IF(ISERR(GEOMEAN('Results and Rankings'!$H45,'Results and Rankings'!$U45,'Results and Rankings'!$V45,'Results and Rankings'!$W45)),0,GEOMEAN('Results and Rankings'!$H45,'Results and Rankings'!$U45,'Results and Rankings'!$V45,'Results and Rankings'!$W45))</f>
        <v>0</v>
      </c>
      <c r="Y45" s="74">
        <f>IF(X45,_xlfn.RANK.EQ(X45,X$3:X$110,0),NumberOfTeams)</f>
        <v>0</v>
      </c>
      <c r="Z45" s="38"/>
    </row>
    <row r="46" ht="21.0" customHeight="1">
      <c r="A46" s="67" t="str">
        <f t="array" ref="A46">XLOOKUP(44,'Team and Program Information'!$B$3:$B$202,'Team and Program Information'!$C$3:$C$202,"ERROR",0)</f>
        <v/>
      </c>
      <c r="B46" s="68" t="str">
        <f t="array" ref="B46">XLOOKUP('Results and Rankings'!$A46,'Team and Program Information'!$C$3:$C$202,'Team and Program Information'!$D$3:$D$202,"",0,)</f>
        <v>#VALUE!</v>
      </c>
      <c r="C46" s="69" t="str">
        <f t="array" ref="C46">IF('Results and Rankings'!$A46="","",XLOOKUP('Results and Rankings'!$A46,'Robot Game Scores'!$B$2:$B$201,'Robot Game Scores'!$D$2:$D$201,0,0,))</f>
        <v/>
      </c>
      <c r="D46" s="69" t="str">
        <f t="array" ref="D46">IF('Results and Rankings'!$A46="","",XLOOKUP('Results and Rankings'!$A46,'Robot Game Scores'!$B$2:$B$201,'Robot Game Scores'!$E$2:$E$201,0,0,))</f>
        <v/>
      </c>
      <c r="E46" s="69" t="str">
        <f t="array" ref="E46">IF('Results and Rankings'!$A46="","",XLOOKUP('Results and Rankings'!$A46,'Robot Game Scores'!$B$2:$B$201,'Robot Game Scores'!$F$2:$F$201,0,0,))</f>
        <v/>
      </c>
      <c r="F46" s="69" t="str">
        <f t="array" ref="F46">IF('Results and Rankings'!$A46="","",XLOOKUP('Results and Rankings'!$A46,'Robot Game Scores'!$B$2:$B$201,'Robot Game Scores'!$G$2:$G$201,0,0,))</f>
        <v/>
      </c>
      <c r="G46" s="69" t="str">
        <f t="array" ref="G46">IF('Results and Rankings'!$A46="","",XLOOKUP('Results and Rankings'!$A46,'Robot Game Scores'!$B$2:$B$201,'Robot Game Scores'!$H$2:$H$201,0,0,))</f>
        <v/>
      </c>
      <c r="H46" s="69" t="str">
        <f>IF('Results and Rankings'!$A46="","",IF(ISNA(LARGE('Results and Rankings'!$C46:$G46,1)+0.0001*LARGE('Results and Rankings'!$C46:$G46,2)+0.0000001*LARGE('Results and Rankings'!$C46:$G46,3)+1E-11*LARGE('Results and Rankings'!$C46:$G46,4)+1E-14*LARGE('Results and Rankings'!$C46:$G46,5)),0,LARGE('Results and Rankings'!$C46:$G46,1)+0.0001*LARGE('Results and Rankings'!$C46:$G46,2)+0.0000001*LARGE('Results and Rankings'!$C46:$G46,3)+1E-11*LARGE('Results and Rankings'!$C46:$G46,4)+1E-14*LARGE('Results and Rankings'!$C46:$G46,5)))</f>
        <v/>
      </c>
      <c r="I46" s="69" t="str">
        <f>IF('Results and Rankings'!$A46="","",_xlfn.RANK.EQ('Results and Rankings'!$H46,'Results and Rankings'!$H$3:$H$202))</f>
        <v/>
      </c>
      <c r="J46" s="69" t="str">
        <f t="array" ref="J46">IF('Results and Rankings'!$A46="","",XLOOKUP('Results and Rankings'!$A46,'Core Values Input'!$A$2:$A$201,'Core Values Input'!$V$2:$V$201,NumberOfTeams+1,0,))</f>
        <v/>
      </c>
      <c r="K46" s="69" t="str">
        <f t="array" ref="K46">IF('Results and Rankings'!$A46="","",XLOOKUP('Results and Rankings'!$A46,'Innovation Project Input'!$A$2:$A$201,'Innovation Project Input'!$N$2:$N$201,NumberOfTeams+1,0,))</f>
        <v/>
      </c>
      <c r="L46" s="69" t="str">
        <f t="array" ref="L46">IF('Results and Rankings'!$A46="","",XLOOKUP('Results and Rankings'!$A46,'Robot Design Input'!$A$2:$A$201,'Robot Design Input'!$N$2:$N$201,NumberOfTeams+1,0,))</f>
        <v/>
      </c>
      <c r="M46" s="69" t="str">
        <f> IF('Results and Rankings'!$A46="","",IF('Results and Rankings'!$J46="",NumberOfTeams+1,'Results and Rankings'!$J46) + IF('Results and Rankings'!$K46="",NumberOfTeams+1,'Results and Rankings'!$K46) + IF('Results and Rankings'!$L46="",NumberOfTeams+1,'Results and Rankings'!$L46) + 'Results and Rankings'!$I46)</f>
        <v/>
      </c>
      <c r="N46" s="70" t="str">
        <f>IF('Results and Rankings'!$A46="","",IF(M46,RANK(M46,M$3:M$202,1)-COUNTIF(M$3:M$202,0),NumberOfTeams+1))</f>
        <v/>
      </c>
      <c r="O46" s="72" t="str">
        <f t="array" ref="O46">XLOOKUP('Results and Rankings'!$A46,'Core Values Input'!$A$2:$A$201,'Core Values Input'!$W$2:$W$201,0,0,)</f>
        <v>#VALUE!</v>
      </c>
      <c r="P46" s="72" t="str">
        <f t="array" ref="P46">XLOOKUP('Results and Rankings'!$A46,'Core Values Input'!$A$2:$A$201,'Core Values Input'!$X$2:$X$201,0,0,)</f>
        <v>#VALUE!</v>
      </c>
      <c r="Q46" s="72" t="str">
        <f t="array" ref="Q46">XLOOKUP('Results and Rankings'!$A46,'Core Values Input'!$A$2:$A$201,'Core Values Input'!$Y$2:$Y$201,0,0,)</f>
        <v>#VALUE!</v>
      </c>
      <c r="R46" s="38"/>
      <c r="S46" s="38"/>
      <c r="T46" s="72"/>
      <c r="U46" s="69" t="str">
        <f t="array" ref="U46">XLOOKUP('Results and Rankings'!$A46,'Core Values Input'!$A$2:$A$201,'Core Values Input'!$U$2:$U$201,0,0,)</f>
        <v>#VALUE!</v>
      </c>
      <c r="V46" s="69" t="str">
        <f t="array" ref="V46">XLOOKUP('Results and Rankings'!$A46,'Innovation Project Input'!$A$2:$A$201,'Innovation Project Input'!$M$2:$M$201,0,0,)</f>
        <v>#VALUE!</v>
      </c>
      <c r="W46" s="69" t="str">
        <f t="array" ref="W46">XLOOKUP('Results and Rankings'!$A46,'Robot Design Input'!$A$2:$A$201,'Robot Design Input'!$M$2:$M$201,0,0,)</f>
        <v>#VALUE!</v>
      </c>
      <c r="X46" s="73">
        <f>IF(ISERR(GEOMEAN('Results and Rankings'!$H46,'Results and Rankings'!$U46,'Results and Rankings'!$V46,'Results and Rankings'!$W46)),0,GEOMEAN('Results and Rankings'!$H46,'Results and Rankings'!$U46,'Results and Rankings'!$V46,'Results and Rankings'!$W46))</f>
        <v>0</v>
      </c>
      <c r="Y46" s="74">
        <f>IF(X46,_xlfn.RANK.EQ(X46,X$3:X$110,0),NumberOfTeams)</f>
        <v>0</v>
      </c>
      <c r="Z46" s="38"/>
    </row>
    <row r="47" ht="21.0" customHeight="1">
      <c r="A47" s="67" t="str">
        <f t="array" ref="A47">XLOOKUP(45,'Team and Program Information'!$B$3:$B$202,'Team and Program Information'!$C$3:$C$202,"ERROR",0)</f>
        <v/>
      </c>
      <c r="B47" s="68" t="str">
        <f t="array" ref="B47">XLOOKUP('Results and Rankings'!$A47,'Team and Program Information'!$C$3:$C$202,'Team and Program Information'!$D$3:$D$202,"",0,)</f>
        <v>#VALUE!</v>
      </c>
      <c r="C47" s="69" t="str">
        <f t="array" ref="C47">IF('Results and Rankings'!$A47="","",XLOOKUP('Results and Rankings'!$A47,'Robot Game Scores'!$B$2:$B$201,'Robot Game Scores'!$D$2:$D$201,0,0,))</f>
        <v/>
      </c>
      <c r="D47" s="69" t="str">
        <f t="array" ref="D47">IF('Results and Rankings'!$A47="","",XLOOKUP('Results and Rankings'!$A47,'Robot Game Scores'!$B$2:$B$201,'Robot Game Scores'!$E$2:$E$201,0,0,))</f>
        <v/>
      </c>
      <c r="E47" s="69" t="str">
        <f t="array" ref="E47">IF('Results and Rankings'!$A47="","",XLOOKUP('Results and Rankings'!$A47,'Robot Game Scores'!$B$2:$B$201,'Robot Game Scores'!$F$2:$F$201,0,0,))</f>
        <v/>
      </c>
      <c r="F47" s="69" t="str">
        <f t="array" ref="F47">IF('Results and Rankings'!$A47="","",XLOOKUP('Results and Rankings'!$A47,'Robot Game Scores'!$B$2:$B$201,'Robot Game Scores'!$G$2:$G$201,0,0,))</f>
        <v/>
      </c>
      <c r="G47" s="69" t="str">
        <f t="array" ref="G47">IF('Results and Rankings'!$A47="","",XLOOKUP('Results and Rankings'!$A47,'Robot Game Scores'!$B$2:$B$201,'Robot Game Scores'!$H$2:$H$201,0,0,))</f>
        <v/>
      </c>
      <c r="H47" s="69" t="str">
        <f>IF('Results and Rankings'!$A47="","",IF(ISNA(LARGE('Results and Rankings'!$C47:$G47,1)+0.0001*LARGE('Results and Rankings'!$C47:$G47,2)+0.0000001*LARGE('Results and Rankings'!$C47:$G47,3)+1E-11*LARGE('Results and Rankings'!$C47:$G47,4)+1E-14*LARGE('Results and Rankings'!$C47:$G47,5)),0,LARGE('Results and Rankings'!$C47:$G47,1)+0.0001*LARGE('Results and Rankings'!$C47:$G47,2)+0.0000001*LARGE('Results and Rankings'!$C47:$G47,3)+1E-11*LARGE('Results and Rankings'!$C47:$G47,4)+1E-14*LARGE('Results and Rankings'!$C47:$G47,5)))</f>
        <v/>
      </c>
      <c r="I47" s="69" t="str">
        <f>IF('Results and Rankings'!$A47="","",_xlfn.RANK.EQ('Results and Rankings'!$H47,'Results and Rankings'!$H$3:$H$202))</f>
        <v/>
      </c>
      <c r="J47" s="69" t="str">
        <f t="array" ref="J47">IF('Results and Rankings'!$A47="","",XLOOKUP('Results and Rankings'!$A47,'Core Values Input'!$A$2:$A$201,'Core Values Input'!$V$2:$V$201,NumberOfTeams+1,0,))</f>
        <v/>
      </c>
      <c r="K47" s="69" t="str">
        <f t="array" ref="K47">IF('Results and Rankings'!$A47="","",XLOOKUP('Results and Rankings'!$A47,'Innovation Project Input'!$A$2:$A$201,'Innovation Project Input'!$N$2:$N$201,NumberOfTeams+1,0,))</f>
        <v/>
      </c>
      <c r="L47" s="69" t="str">
        <f t="array" ref="L47">IF('Results and Rankings'!$A47="","",XLOOKUP('Results and Rankings'!$A47,'Robot Design Input'!$A$2:$A$201,'Robot Design Input'!$N$2:$N$201,NumberOfTeams+1,0,))</f>
        <v/>
      </c>
      <c r="M47" s="69" t="str">
        <f> IF('Results and Rankings'!$A47="","",IF('Results and Rankings'!$J47="",NumberOfTeams+1,'Results and Rankings'!$J47) + IF('Results and Rankings'!$K47="",NumberOfTeams+1,'Results and Rankings'!$K47) + IF('Results and Rankings'!$L47="",NumberOfTeams+1,'Results and Rankings'!$L47) + 'Results and Rankings'!$I47)</f>
        <v/>
      </c>
      <c r="N47" s="70" t="str">
        <f>IF('Results and Rankings'!$A47="","",IF(M47,RANK(M47,M$3:M$202,1)-COUNTIF(M$3:M$202,0),NumberOfTeams+1))</f>
        <v/>
      </c>
      <c r="O47" s="71" t="str">
        <f t="array" ref="O47">XLOOKUP('Results and Rankings'!$A47,'Core Values Input'!$A$2:$A$201,'Core Values Input'!$W$2:$W$201,0,0,)</f>
        <v>#VALUE!</v>
      </c>
      <c r="P47" s="71" t="str">
        <f t="array" ref="P47">XLOOKUP('Results and Rankings'!$A47,'Core Values Input'!$A$2:$A$201,'Core Values Input'!$X$2:$X$201,0,0,)</f>
        <v>#VALUE!</v>
      </c>
      <c r="Q47" s="71" t="str">
        <f t="array" ref="Q47">XLOOKUP('Results and Rankings'!$A47,'Core Values Input'!$A$2:$A$201,'Core Values Input'!$Y$2:$Y$201,0,0,)</f>
        <v>#VALUE!</v>
      </c>
      <c r="R47" s="38"/>
      <c r="S47" s="38"/>
      <c r="T47" s="72"/>
      <c r="U47" s="69" t="str">
        <f t="array" ref="U47">XLOOKUP('Results and Rankings'!$A47,'Core Values Input'!$A$2:$A$201,'Core Values Input'!$U$2:$U$201,0,0,)</f>
        <v>#VALUE!</v>
      </c>
      <c r="V47" s="69" t="str">
        <f t="array" ref="V47">XLOOKUP('Results and Rankings'!$A47,'Innovation Project Input'!$A$2:$A$201,'Innovation Project Input'!$M$2:$M$201,0,0,)</f>
        <v>#VALUE!</v>
      </c>
      <c r="W47" s="69" t="str">
        <f t="array" ref="W47">XLOOKUP('Results and Rankings'!$A47,'Robot Design Input'!$A$2:$A$201,'Robot Design Input'!$M$2:$M$201,0,0,)</f>
        <v>#VALUE!</v>
      </c>
      <c r="X47" s="73">
        <f>IF(ISERR(GEOMEAN('Results and Rankings'!$H47,'Results and Rankings'!$U47,'Results and Rankings'!$V47,'Results and Rankings'!$W47)),0,GEOMEAN('Results and Rankings'!$H47,'Results and Rankings'!$U47,'Results and Rankings'!$V47,'Results and Rankings'!$W47))</f>
        <v>0</v>
      </c>
      <c r="Y47" s="74">
        <f>IF(X47,_xlfn.RANK.EQ(X47,X$3:X$110,0),NumberOfTeams)</f>
        <v>0</v>
      </c>
      <c r="Z47" s="38"/>
    </row>
    <row r="48" ht="21.0" customHeight="1">
      <c r="A48" s="67" t="str">
        <f t="array" ref="A48">XLOOKUP(46,'Team and Program Information'!$B$3:$B$202,'Team and Program Information'!$C$3:$C$202,"ERROR",0)</f>
        <v/>
      </c>
      <c r="B48" s="68" t="str">
        <f t="array" ref="B48">XLOOKUP('Results and Rankings'!$A48,'Team and Program Information'!$C$3:$C$202,'Team and Program Information'!$D$3:$D$202,"",0,)</f>
        <v>#VALUE!</v>
      </c>
      <c r="C48" s="69" t="str">
        <f t="array" ref="C48">IF('Results and Rankings'!$A48="","",XLOOKUP('Results and Rankings'!$A48,'Robot Game Scores'!$B$2:$B$201,'Robot Game Scores'!$D$2:$D$201,0,0,))</f>
        <v/>
      </c>
      <c r="D48" s="69" t="str">
        <f t="array" ref="D48">IF('Results and Rankings'!$A48="","",XLOOKUP('Results and Rankings'!$A48,'Robot Game Scores'!$B$2:$B$201,'Robot Game Scores'!$E$2:$E$201,0,0,))</f>
        <v/>
      </c>
      <c r="E48" s="69" t="str">
        <f t="array" ref="E48">IF('Results and Rankings'!$A48="","",XLOOKUP('Results and Rankings'!$A48,'Robot Game Scores'!$B$2:$B$201,'Robot Game Scores'!$F$2:$F$201,0,0,))</f>
        <v/>
      </c>
      <c r="F48" s="69" t="str">
        <f t="array" ref="F48">IF('Results and Rankings'!$A48="","",XLOOKUP('Results and Rankings'!$A48,'Robot Game Scores'!$B$2:$B$201,'Robot Game Scores'!$G$2:$G$201,0,0,))</f>
        <v/>
      </c>
      <c r="G48" s="69" t="str">
        <f t="array" ref="G48">IF('Results and Rankings'!$A48="","",XLOOKUP('Results and Rankings'!$A48,'Robot Game Scores'!$B$2:$B$201,'Robot Game Scores'!$H$2:$H$201,0,0,))</f>
        <v/>
      </c>
      <c r="H48" s="69" t="str">
        <f>IF('Results and Rankings'!$A48="","",IF(ISNA(LARGE('Results and Rankings'!$C48:$G48,1)+0.0001*LARGE('Results and Rankings'!$C48:$G48,2)+0.0000001*LARGE('Results and Rankings'!$C48:$G48,3)+1E-11*LARGE('Results and Rankings'!$C48:$G48,4)+1E-14*LARGE('Results and Rankings'!$C48:$G48,5)),0,LARGE('Results and Rankings'!$C48:$G48,1)+0.0001*LARGE('Results and Rankings'!$C48:$G48,2)+0.0000001*LARGE('Results and Rankings'!$C48:$G48,3)+1E-11*LARGE('Results and Rankings'!$C48:$G48,4)+1E-14*LARGE('Results and Rankings'!$C48:$G48,5)))</f>
        <v/>
      </c>
      <c r="I48" s="69" t="str">
        <f>IF('Results and Rankings'!$A48="","",_xlfn.RANK.EQ('Results and Rankings'!$H48,'Results and Rankings'!$H$3:$H$202))</f>
        <v/>
      </c>
      <c r="J48" s="69" t="str">
        <f t="array" ref="J48">IF('Results and Rankings'!$A48="","",XLOOKUP('Results and Rankings'!$A48,'Core Values Input'!$A$2:$A$201,'Core Values Input'!$V$2:$V$201,NumberOfTeams+1,0,))</f>
        <v/>
      </c>
      <c r="K48" s="69" t="str">
        <f t="array" ref="K48">IF('Results and Rankings'!$A48="","",XLOOKUP('Results and Rankings'!$A48,'Innovation Project Input'!$A$2:$A$201,'Innovation Project Input'!$N$2:$N$201,NumberOfTeams+1,0,))</f>
        <v/>
      </c>
      <c r="L48" s="69" t="str">
        <f t="array" ref="L48">IF('Results and Rankings'!$A48="","",XLOOKUP('Results and Rankings'!$A48,'Robot Design Input'!$A$2:$A$201,'Robot Design Input'!$N$2:$N$201,NumberOfTeams+1,0,))</f>
        <v/>
      </c>
      <c r="M48" s="69" t="str">
        <f> IF('Results and Rankings'!$A48="","",IF('Results and Rankings'!$J48="",NumberOfTeams+1,'Results and Rankings'!$J48) + IF('Results and Rankings'!$K48="",NumberOfTeams+1,'Results and Rankings'!$K48) + IF('Results and Rankings'!$L48="",NumberOfTeams+1,'Results and Rankings'!$L48) + 'Results and Rankings'!$I48)</f>
        <v/>
      </c>
      <c r="N48" s="70" t="str">
        <f>IF('Results and Rankings'!$A48="","",IF(M48,RANK(M48,M$3:M$202,1)-COUNTIF(M$3:M$202,0),NumberOfTeams+1))</f>
        <v/>
      </c>
      <c r="O48" s="71" t="str">
        <f t="array" ref="O48">XLOOKUP('Results and Rankings'!$A48,'Core Values Input'!$A$2:$A$201,'Core Values Input'!$W$2:$W$201,0,0,)</f>
        <v>#VALUE!</v>
      </c>
      <c r="P48" s="71" t="str">
        <f t="array" ref="P48">XLOOKUP('Results and Rankings'!$A48,'Core Values Input'!$A$2:$A$201,'Core Values Input'!$X$2:$X$201,0,0,)</f>
        <v>#VALUE!</v>
      </c>
      <c r="Q48" s="71" t="str">
        <f t="array" ref="Q48">XLOOKUP('Results and Rankings'!$A48,'Core Values Input'!$A$2:$A$201,'Core Values Input'!$Y$2:$Y$201,0,0,)</f>
        <v>#VALUE!</v>
      </c>
      <c r="R48" s="38"/>
      <c r="S48" s="38"/>
      <c r="T48" s="72"/>
      <c r="U48" s="69" t="str">
        <f t="array" ref="U48">XLOOKUP('Results and Rankings'!$A48,'Core Values Input'!$A$2:$A$201,'Core Values Input'!$U$2:$U$201,0,0,)</f>
        <v>#VALUE!</v>
      </c>
      <c r="V48" s="69" t="str">
        <f t="array" ref="V48">XLOOKUP('Results and Rankings'!$A48,'Innovation Project Input'!$A$2:$A$201,'Innovation Project Input'!$M$2:$M$201,0,0,)</f>
        <v>#VALUE!</v>
      </c>
      <c r="W48" s="69" t="str">
        <f t="array" ref="W48">XLOOKUP('Results and Rankings'!$A48,'Robot Design Input'!$A$2:$A$201,'Robot Design Input'!$M$2:$M$201,0,0,)</f>
        <v>#VALUE!</v>
      </c>
      <c r="X48" s="73">
        <f>IF(ISERR(GEOMEAN('Results and Rankings'!$H48,'Results and Rankings'!$U48,'Results and Rankings'!$V48,'Results and Rankings'!$W48)),0,GEOMEAN('Results and Rankings'!$H48,'Results and Rankings'!$U48,'Results and Rankings'!$V48,'Results and Rankings'!$W48))</f>
        <v>0</v>
      </c>
      <c r="Y48" s="74">
        <f>IF(X48,_xlfn.RANK.EQ(X48,X$3:X$110,0),NumberOfTeams)</f>
        <v>0</v>
      </c>
      <c r="Z48" s="38"/>
    </row>
    <row r="49" ht="21.0" customHeight="1">
      <c r="A49" s="67" t="str">
        <f t="array" ref="A49">XLOOKUP(47,'Team and Program Information'!$B$3:$B$202,'Team and Program Information'!$C$3:$C$202,"ERROR",0)</f>
        <v/>
      </c>
      <c r="B49" s="68" t="str">
        <f t="array" ref="B49">XLOOKUP('Results and Rankings'!$A49,'Team and Program Information'!$C$3:$C$202,'Team and Program Information'!$D$3:$D$202,"",0,)</f>
        <v>#VALUE!</v>
      </c>
      <c r="C49" s="69" t="str">
        <f t="array" ref="C49">IF('Results and Rankings'!$A49="","",XLOOKUP('Results and Rankings'!$A49,'Robot Game Scores'!$B$2:$B$201,'Robot Game Scores'!$D$2:$D$201,0,0,))</f>
        <v/>
      </c>
      <c r="D49" s="69" t="str">
        <f t="array" ref="D49">IF('Results and Rankings'!$A49="","",XLOOKUP('Results and Rankings'!$A49,'Robot Game Scores'!$B$2:$B$201,'Robot Game Scores'!$E$2:$E$201,0,0,))</f>
        <v/>
      </c>
      <c r="E49" s="69" t="str">
        <f t="array" ref="E49">IF('Results and Rankings'!$A49="","",XLOOKUP('Results and Rankings'!$A49,'Robot Game Scores'!$B$2:$B$201,'Robot Game Scores'!$F$2:$F$201,0,0,))</f>
        <v/>
      </c>
      <c r="F49" s="69" t="str">
        <f t="array" ref="F49">IF('Results and Rankings'!$A49="","",XLOOKUP('Results and Rankings'!$A49,'Robot Game Scores'!$B$2:$B$201,'Robot Game Scores'!$G$2:$G$201,0,0,))</f>
        <v/>
      </c>
      <c r="G49" s="69" t="str">
        <f t="array" ref="G49">IF('Results and Rankings'!$A49="","",XLOOKUP('Results and Rankings'!$A49,'Robot Game Scores'!$B$2:$B$201,'Robot Game Scores'!$H$2:$H$201,0,0,))</f>
        <v/>
      </c>
      <c r="H49" s="69" t="str">
        <f>IF('Results and Rankings'!$A49="","",IF(ISNA(LARGE('Results and Rankings'!$C49:$G49,1)+0.0001*LARGE('Results and Rankings'!$C49:$G49,2)+0.0000001*LARGE('Results and Rankings'!$C49:$G49,3)+1E-11*LARGE('Results and Rankings'!$C49:$G49,4)+1E-14*LARGE('Results and Rankings'!$C49:$G49,5)),0,LARGE('Results and Rankings'!$C49:$G49,1)+0.0001*LARGE('Results and Rankings'!$C49:$G49,2)+0.0000001*LARGE('Results and Rankings'!$C49:$G49,3)+1E-11*LARGE('Results and Rankings'!$C49:$G49,4)+1E-14*LARGE('Results and Rankings'!$C49:$G49,5)))</f>
        <v/>
      </c>
      <c r="I49" s="69" t="str">
        <f>IF('Results and Rankings'!$A49="","",_xlfn.RANK.EQ('Results and Rankings'!$H49,'Results and Rankings'!$H$3:$H$202))</f>
        <v/>
      </c>
      <c r="J49" s="69" t="str">
        <f t="array" ref="J49">IF('Results and Rankings'!$A49="","",XLOOKUP('Results and Rankings'!$A49,'Core Values Input'!$A$2:$A$201,'Core Values Input'!$V$2:$V$201,NumberOfTeams+1,0,))</f>
        <v/>
      </c>
      <c r="K49" s="69" t="str">
        <f t="array" ref="K49">IF('Results and Rankings'!$A49="","",XLOOKUP('Results and Rankings'!$A49,'Innovation Project Input'!$A$2:$A$201,'Innovation Project Input'!$N$2:$N$201,NumberOfTeams+1,0,))</f>
        <v/>
      </c>
      <c r="L49" s="69" t="str">
        <f t="array" ref="L49">IF('Results and Rankings'!$A49="","",XLOOKUP('Results and Rankings'!$A49,'Robot Design Input'!$A$2:$A$201,'Robot Design Input'!$N$2:$N$201,NumberOfTeams+1,0,))</f>
        <v/>
      </c>
      <c r="M49" s="69" t="str">
        <f> IF('Results and Rankings'!$A49="","",IF('Results and Rankings'!$J49="",NumberOfTeams+1,'Results and Rankings'!$J49) + IF('Results and Rankings'!$K49="",NumberOfTeams+1,'Results and Rankings'!$K49) + IF('Results and Rankings'!$L49="",NumberOfTeams+1,'Results and Rankings'!$L49) + 'Results and Rankings'!$I49)</f>
        <v/>
      </c>
      <c r="N49" s="70" t="str">
        <f>IF('Results and Rankings'!$A49="","",IF(M49,RANK(M49,M$3:M$202,1)-COUNTIF(M$3:M$202,0),NumberOfTeams+1))</f>
        <v/>
      </c>
      <c r="O49" s="72" t="str">
        <f t="array" ref="O49">XLOOKUP('Results and Rankings'!$A49,'Core Values Input'!$A$2:$A$201,'Core Values Input'!$W$2:$W$201,0,0,)</f>
        <v>#VALUE!</v>
      </c>
      <c r="P49" s="72" t="str">
        <f t="array" ref="P49">XLOOKUP('Results and Rankings'!$A49,'Core Values Input'!$A$2:$A$201,'Core Values Input'!$X$2:$X$201,0,0,)</f>
        <v>#VALUE!</v>
      </c>
      <c r="Q49" s="72" t="str">
        <f t="array" ref="Q49">XLOOKUP('Results and Rankings'!$A49,'Core Values Input'!$A$2:$A$201,'Core Values Input'!$Y$2:$Y$201,0,0,)</f>
        <v>#VALUE!</v>
      </c>
      <c r="R49" s="38"/>
      <c r="S49" s="38"/>
      <c r="T49" s="72"/>
      <c r="U49" s="69" t="str">
        <f t="array" ref="U49">XLOOKUP('Results and Rankings'!$A49,'Core Values Input'!$A$2:$A$201,'Core Values Input'!$U$2:$U$201,0,0,)</f>
        <v>#VALUE!</v>
      </c>
      <c r="V49" s="69" t="str">
        <f t="array" ref="V49">XLOOKUP('Results and Rankings'!$A49,'Innovation Project Input'!$A$2:$A$201,'Innovation Project Input'!$M$2:$M$201,0,0,)</f>
        <v>#VALUE!</v>
      </c>
      <c r="W49" s="69" t="str">
        <f t="array" ref="W49">XLOOKUP('Results and Rankings'!$A49,'Robot Design Input'!$A$2:$A$201,'Robot Design Input'!$M$2:$M$201,0,0,)</f>
        <v>#VALUE!</v>
      </c>
      <c r="X49" s="73">
        <f>IF(ISERR(GEOMEAN('Results and Rankings'!$H49,'Results and Rankings'!$U49,'Results and Rankings'!$V49,'Results and Rankings'!$W49)),0,GEOMEAN('Results and Rankings'!$H49,'Results and Rankings'!$U49,'Results and Rankings'!$V49,'Results and Rankings'!$W49))</f>
        <v>0</v>
      </c>
      <c r="Y49" s="74">
        <f>IF(X49,_xlfn.RANK.EQ(X49,X$3:X$110,0),NumberOfTeams)</f>
        <v>0</v>
      </c>
      <c r="Z49" s="38"/>
    </row>
    <row r="50" ht="21.0" customHeight="1">
      <c r="A50" s="67" t="str">
        <f t="array" ref="A50">XLOOKUP(48,'Team and Program Information'!$B$3:$B$202,'Team and Program Information'!$C$3:$C$202,"ERROR",0)</f>
        <v/>
      </c>
      <c r="B50" s="68" t="str">
        <f t="array" ref="B50">XLOOKUP('Results and Rankings'!$A50,'Team and Program Information'!$C$3:$C$202,'Team and Program Information'!$D$3:$D$202,"",0,)</f>
        <v>#VALUE!</v>
      </c>
      <c r="C50" s="69" t="str">
        <f t="array" ref="C50">IF('Results and Rankings'!$A50="","",XLOOKUP('Results and Rankings'!$A50,'Robot Game Scores'!$B$2:$B$201,'Robot Game Scores'!$D$2:$D$201,0,0,))</f>
        <v/>
      </c>
      <c r="D50" s="69" t="str">
        <f t="array" ref="D50">IF('Results and Rankings'!$A50="","",XLOOKUP('Results and Rankings'!$A50,'Robot Game Scores'!$B$2:$B$201,'Robot Game Scores'!$E$2:$E$201,0,0,))</f>
        <v/>
      </c>
      <c r="E50" s="69" t="str">
        <f t="array" ref="E50">IF('Results and Rankings'!$A50="","",XLOOKUP('Results and Rankings'!$A50,'Robot Game Scores'!$B$2:$B$201,'Robot Game Scores'!$F$2:$F$201,0,0,))</f>
        <v/>
      </c>
      <c r="F50" s="69" t="str">
        <f t="array" ref="F50">IF('Results and Rankings'!$A50="","",XLOOKUP('Results and Rankings'!$A50,'Robot Game Scores'!$B$2:$B$201,'Robot Game Scores'!$G$2:$G$201,0,0,))</f>
        <v/>
      </c>
      <c r="G50" s="69" t="str">
        <f t="array" ref="G50">IF('Results and Rankings'!$A50="","",XLOOKUP('Results and Rankings'!$A50,'Robot Game Scores'!$B$2:$B$201,'Robot Game Scores'!$H$2:$H$201,0,0,))</f>
        <v/>
      </c>
      <c r="H50" s="69" t="str">
        <f>IF('Results and Rankings'!$A50="","",IF(ISNA(LARGE('Results and Rankings'!$C50:$G50,1)+0.0001*LARGE('Results and Rankings'!$C50:$G50,2)+0.0000001*LARGE('Results and Rankings'!$C50:$G50,3)+1E-11*LARGE('Results and Rankings'!$C50:$G50,4)+1E-14*LARGE('Results and Rankings'!$C50:$G50,5)),0,LARGE('Results and Rankings'!$C50:$G50,1)+0.0001*LARGE('Results and Rankings'!$C50:$G50,2)+0.0000001*LARGE('Results and Rankings'!$C50:$G50,3)+1E-11*LARGE('Results and Rankings'!$C50:$G50,4)+1E-14*LARGE('Results and Rankings'!$C50:$G50,5)))</f>
        <v/>
      </c>
      <c r="I50" s="69" t="str">
        <f>IF('Results and Rankings'!$A50="","",_xlfn.RANK.EQ('Results and Rankings'!$H50,'Results and Rankings'!$H$3:$H$202))</f>
        <v/>
      </c>
      <c r="J50" s="69" t="str">
        <f t="array" ref="J50">IF('Results and Rankings'!$A50="","",XLOOKUP('Results and Rankings'!$A50,'Core Values Input'!$A$2:$A$201,'Core Values Input'!$V$2:$V$201,NumberOfTeams+1,0,))</f>
        <v/>
      </c>
      <c r="K50" s="69" t="str">
        <f t="array" ref="K50">IF('Results and Rankings'!$A50="","",XLOOKUP('Results and Rankings'!$A50,'Innovation Project Input'!$A$2:$A$201,'Innovation Project Input'!$N$2:$N$201,NumberOfTeams+1,0,))</f>
        <v/>
      </c>
      <c r="L50" s="69" t="str">
        <f t="array" ref="L50">IF('Results and Rankings'!$A50="","",XLOOKUP('Results and Rankings'!$A50,'Robot Design Input'!$A$2:$A$201,'Robot Design Input'!$N$2:$N$201,NumberOfTeams+1,0,))</f>
        <v/>
      </c>
      <c r="M50" s="69" t="str">
        <f> IF('Results and Rankings'!$A50="","",IF('Results and Rankings'!$J50="",NumberOfTeams+1,'Results and Rankings'!$J50) + IF('Results and Rankings'!$K50="",NumberOfTeams+1,'Results and Rankings'!$K50) + IF('Results and Rankings'!$L50="",NumberOfTeams+1,'Results and Rankings'!$L50) + 'Results and Rankings'!$I50)</f>
        <v/>
      </c>
      <c r="N50" s="70" t="str">
        <f>IF('Results and Rankings'!$A50="","",IF(M50,RANK(M50,M$3:M$202,1)-COUNTIF(M$3:M$202,0),NumberOfTeams+1))</f>
        <v/>
      </c>
      <c r="O50" s="71" t="str">
        <f t="array" ref="O50">XLOOKUP('Results and Rankings'!$A50,'Core Values Input'!$A$2:$A$201,'Core Values Input'!$W$2:$W$201,0,0,)</f>
        <v>#VALUE!</v>
      </c>
      <c r="P50" s="71" t="str">
        <f t="array" ref="P50">XLOOKUP('Results and Rankings'!$A50,'Core Values Input'!$A$2:$A$201,'Core Values Input'!$X$2:$X$201,0,0,)</f>
        <v>#VALUE!</v>
      </c>
      <c r="Q50" s="71" t="str">
        <f t="array" ref="Q50">XLOOKUP('Results and Rankings'!$A50,'Core Values Input'!$A$2:$A$201,'Core Values Input'!$Y$2:$Y$201,0,0,)</f>
        <v>#VALUE!</v>
      </c>
      <c r="R50" s="38"/>
      <c r="S50" s="38"/>
      <c r="T50" s="72"/>
      <c r="U50" s="69" t="str">
        <f t="array" ref="U50">XLOOKUP('Results and Rankings'!$A50,'Core Values Input'!$A$2:$A$201,'Core Values Input'!$U$2:$U$201,0,0,)</f>
        <v>#VALUE!</v>
      </c>
      <c r="V50" s="69" t="str">
        <f t="array" ref="V50">XLOOKUP('Results and Rankings'!$A50,'Innovation Project Input'!$A$2:$A$201,'Innovation Project Input'!$M$2:$M$201,0,0,)</f>
        <v>#VALUE!</v>
      </c>
      <c r="W50" s="69" t="str">
        <f t="array" ref="W50">XLOOKUP('Results and Rankings'!$A50,'Robot Design Input'!$A$2:$A$201,'Robot Design Input'!$M$2:$M$201,0,0,)</f>
        <v>#VALUE!</v>
      </c>
      <c r="X50" s="73">
        <f>IF(ISERR(GEOMEAN('Results and Rankings'!$H50,'Results and Rankings'!$U50,'Results and Rankings'!$V50,'Results and Rankings'!$W50)),0,GEOMEAN('Results and Rankings'!$H50,'Results and Rankings'!$U50,'Results and Rankings'!$V50,'Results and Rankings'!$W50))</f>
        <v>0</v>
      </c>
      <c r="Y50" s="74">
        <f>IF(X50,_xlfn.RANK.EQ(X50,X$3:X$110,0),NumberOfTeams)</f>
        <v>0</v>
      </c>
      <c r="Z50" s="38"/>
    </row>
    <row r="51" ht="21.0" customHeight="1">
      <c r="A51" s="67" t="str">
        <f t="array" ref="A51">XLOOKUP(49,'Team and Program Information'!$B$3:$B$202,'Team and Program Information'!$C$3:$C$202,"ERROR",0)</f>
        <v/>
      </c>
      <c r="B51" s="68" t="str">
        <f t="array" ref="B51">XLOOKUP('Results and Rankings'!$A51,'Team and Program Information'!$C$3:$C$202,'Team and Program Information'!$D$3:$D$202,"",0,)</f>
        <v>#VALUE!</v>
      </c>
      <c r="C51" s="69" t="str">
        <f t="array" ref="C51">IF('Results and Rankings'!$A51="","",XLOOKUP('Results and Rankings'!$A51,'Robot Game Scores'!$B$2:$B$201,'Robot Game Scores'!$D$2:$D$201,0,0,))</f>
        <v/>
      </c>
      <c r="D51" s="69" t="str">
        <f t="array" ref="D51">IF('Results and Rankings'!$A51="","",XLOOKUP('Results and Rankings'!$A51,'Robot Game Scores'!$B$2:$B$201,'Robot Game Scores'!$E$2:$E$201,0,0,))</f>
        <v/>
      </c>
      <c r="E51" s="69" t="str">
        <f t="array" ref="E51">IF('Results and Rankings'!$A51="","",XLOOKUP('Results and Rankings'!$A51,'Robot Game Scores'!$B$2:$B$201,'Robot Game Scores'!$F$2:$F$201,0,0,))</f>
        <v/>
      </c>
      <c r="F51" s="69" t="str">
        <f t="array" ref="F51">IF('Results and Rankings'!$A51="","",XLOOKUP('Results and Rankings'!$A51,'Robot Game Scores'!$B$2:$B$201,'Robot Game Scores'!$G$2:$G$201,0,0,))</f>
        <v/>
      </c>
      <c r="G51" s="69" t="str">
        <f t="array" ref="G51">IF('Results and Rankings'!$A51="","",XLOOKUP('Results and Rankings'!$A51,'Robot Game Scores'!$B$2:$B$201,'Robot Game Scores'!$H$2:$H$201,0,0,))</f>
        <v/>
      </c>
      <c r="H51" s="69" t="str">
        <f>IF('Results and Rankings'!$A51="","",IF(ISNA(LARGE('Results and Rankings'!$C51:$G51,1)+0.0001*LARGE('Results and Rankings'!$C51:$G51,2)+0.0000001*LARGE('Results and Rankings'!$C51:$G51,3)+1E-11*LARGE('Results and Rankings'!$C51:$G51,4)+1E-14*LARGE('Results and Rankings'!$C51:$G51,5)),0,LARGE('Results and Rankings'!$C51:$G51,1)+0.0001*LARGE('Results and Rankings'!$C51:$G51,2)+0.0000001*LARGE('Results and Rankings'!$C51:$G51,3)+1E-11*LARGE('Results and Rankings'!$C51:$G51,4)+1E-14*LARGE('Results and Rankings'!$C51:$G51,5)))</f>
        <v/>
      </c>
      <c r="I51" s="69" t="str">
        <f>IF('Results and Rankings'!$A51="","",_xlfn.RANK.EQ('Results and Rankings'!$H51,'Results and Rankings'!$H$3:$H$202))</f>
        <v/>
      </c>
      <c r="J51" s="69" t="str">
        <f t="array" ref="J51">IF('Results and Rankings'!$A51="","",XLOOKUP('Results and Rankings'!$A51,'Core Values Input'!$A$2:$A$201,'Core Values Input'!$V$2:$V$201,NumberOfTeams+1,0,))</f>
        <v/>
      </c>
      <c r="K51" s="69" t="str">
        <f t="array" ref="K51">IF('Results and Rankings'!$A51="","",XLOOKUP('Results and Rankings'!$A51,'Innovation Project Input'!$A$2:$A$201,'Innovation Project Input'!$N$2:$N$201,NumberOfTeams+1,0,))</f>
        <v/>
      </c>
      <c r="L51" s="69" t="str">
        <f t="array" ref="L51">IF('Results and Rankings'!$A51="","",XLOOKUP('Results and Rankings'!$A51,'Robot Design Input'!$A$2:$A$201,'Robot Design Input'!$N$2:$N$201,NumberOfTeams+1,0,))</f>
        <v/>
      </c>
      <c r="M51" s="69" t="str">
        <f> IF('Results and Rankings'!$A51="","",IF('Results and Rankings'!$J51="",NumberOfTeams+1,'Results and Rankings'!$J51) + IF('Results and Rankings'!$K51="",NumberOfTeams+1,'Results and Rankings'!$K51) + IF('Results and Rankings'!$L51="",NumberOfTeams+1,'Results and Rankings'!$L51) + 'Results and Rankings'!$I51)</f>
        <v/>
      </c>
      <c r="N51" s="70" t="str">
        <f>IF('Results and Rankings'!$A51="","",IF(M51,RANK(M51,M$3:M$202,1)-COUNTIF(M$3:M$202,0),NumberOfTeams+1))</f>
        <v/>
      </c>
      <c r="O51" s="71" t="str">
        <f t="array" ref="O51">XLOOKUP('Results and Rankings'!$A51,'Core Values Input'!$A$2:$A$201,'Core Values Input'!$W$2:$W$201,0,0,)</f>
        <v>#VALUE!</v>
      </c>
      <c r="P51" s="71" t="str">
        <f t="array" ref="P51">XLOOKUP('Results and Rankings'!$A51,'Core Values Input'!$A$2:$A$201,'Core Values Input'!$X$2:$X$201,0,0,)</f>
        <v>#VALUE!</v>
      </c>
      <c r="Q51" s="71" t="str">
        <f t="array" ref="Q51">XLOOKUP('Results and Rankings'!$A51,'Core Values Input'!$A$2:$A$201,'Core Values Input'!$Y$2:$Y$201,0,0,)</f>
        <v>#VALUE!</v>
      </c>
      <c r="R51" s="38"/>
      <c r="S51" s="38"/>
      <c r="T51" s="72"/>
      <c r="U51" s="69" t="str">
        <f t="array" ref="U51">XLOOKUP('Results and Rankings'!$A51,'Core Values Input'!$A$2:$A$201,'Core Values Input'!$U$2:$U$201,0,0,)</f>
        <v>#VALUE!</v>
      </c>
      <c r="V51" s="69" t="str">
        <f t="array" ref="V51">XLOOKUP('Results and Rankings'!$A51,'Innovation Project Input'!$A$2:$A$201,'Innovation Project Input'!$M$2:$M$201,0,0,)</f>
        <v>#VALUE!</v>
      </c>
      <c r="W51" s="69" t="str">
        <f t="array" ref="W51">XLOOKUP('Results and Rankings'!$A51,'Robot Design Input'!$A$2:$A$201,'Robot Design Input'!$M$2:$M$201,0,0,)</f>
        <v>#VALUE!</v>
      </c>
      <c r="X51" s="73">
        <f>IF(ISERR(GEOMEAN('Results and Rankings'!$H51,'Results and Rankings'!$U51,'Results and Rankings'!$V51,'Results and Rankings'!$W51)),0,GEOMEAN('Results and Rankings'!$H51,'Results and Rankings'!$U51,'Results and Rankings'!$V51,'Results and Rankings'!$W51))</f>
        <v>0</v>
      </c>
      <c r="Y51" s="74">
        <f>IF(X51,_xlfn.RANK.EQ(X51,X$3:X$110,0),NumberOfTeams)</f>
        <v>0</v>
      </c>
      <c r="Z51" s="38"/>
    </row>
    <row r="52" ht="21.0" customHeight="1">
      <c r="A52" s="67" t="str">
        <f t="array" ref="A52">XLOOKUP(50,'Team and Program Information'!$B$3:$B$202,'Team and Program Information'!$C$3:$C$202,"ERROR",0)</f>
        <v/>
      </c>
      <c r="B52" s="68" t="str">
        <f t="array" ref="B52">XLOOKUP('Results and Rankings'!$A52,'Team and Program Information'!$C$3:$C$202,'Team and Program Information'!$D$3:$D$202,"",0,)</f>
        <v>#VALUE!</v>
      </c>
      <c r="C52" s="69" t="str">
        <f t="array" ref="C52">IF('Results and Rankings'!$A52="","",XLOOKUP('Results and Rankings'!$A52,'Robot Game Scores'!$B$2:$B$201,'Robot Game Scores'!$D$2:$D$201,0,0,))</f>
        <v/>
      </c>
      <c r="D52" s="69" t="str">
        <f t="array" ref="D52">IF('Results and Rankings'!$A52="","",XLOOKUP('Results and Rankings'!$A52,'Robot Game Scores'!$B$2:$B$201,'Robot Game Scores'!$E$2:$E$201,0,0,))</f>
        <v/>
      </c>
      <c r="E52" s="69" t="str">
        <f t="array" ref="E52">IF('Results and Rankings'!$A52="","",XLOOKUP('Results and Rankings'!$A52,'Robot Game Scores'!$B$2:$B$201,'Robot Game Scores'!$F$2:$F$201,0,0,))</f>
        <v/>
      </c>
      <c r="F52" s="69" t="str">
        <f t="array" ref="F52">IF('Results and Rankings'!$A52="","",XLOOKUP('Results and Rankings'!$A52,'Robot Game Scores'!$B$2:$B$201,'Robot Game Scores'!$G$2:$G$201,0,0,))</f>
        <v/>
      </c>
      <c r="G52" s="69" t="str">
        <f t="array" ref="G52">IF('Results and Rankings'!$A52="","",XLOOKUP('Results and Rankings'!$A52,'Robot Game Scores'!$B$2:$B$201,'Robot Game Scores'!$H$2:$H$201,0,0,))</f>
        <v/>
      </c>
      <c r="H52" s="69" t="str">
        <f>IF('Results and Rankings'!$A52="","",IF(ISNA(LARGE('Results and Rankings'!$C52:$G52,1)+0.0001*LARGE('Results and Rankings'!$C52:$G52,2)+0.0000001*LARGE('Results and Rankings'!$C52:$G52,3)+1E-11*LARGE('Results and Rankings'!$C52:$G52,4)+1E-14*LARGE('Results and Rankings'!$C52:$G52,5)),0,LARGE('Results and Rankings'!$C52:$G52,1)+0.0001*LARGE('Results and Rankings'!$C52:$G52,2)+0.0000001*LARGE('Results and Rankings'!$C52:$G52,3)+1E-11*LARGE('Results and Rankings'!$C52:$G52,4)+1E-14*LARGE('Results and Rankings'!$C52:$G52,5)))</f>
        <v/>
      </c>
      <c r="I52" s="69" t="str">
        <f>IF('Results and Rankings'!$A52="","",_xlfn.RANK.EQ('Results and Rankings'!$H52,'Results and Rankings'!$H$3:$H$202))</f>
        <v/>
      </c>
      <c r="J52" s="69" t="str">
        <f t="array" ref="J52">IF('Results and Rankings'!$A52="","",XLOOKUP('Results and Rankings'!$A52,'Core Values Input'!$A$2:$A$201,'Core Values Input'!$V$2:$V$201,NumberOfTeams+1,0,))</f>
        <v/>
      </c>
      <c r="K52" s="69" t="str">
        <f t="array" ref="K52">IF('Results and Rankings'!$A52="","",XLOOKUP('Results and Rankings'!$A52,'Innovation Project Input'!$A$2:$A$201,'Innovation Project Input'!$N$2:$N$201,NumberOfTeams+1,0,))</f>
        <v/>
      </c>
      <c r="L52" s="69" t="str">
        <f t="array" ref="L52">IF('Results and Rankings'!$A52="","",XLOOKUP('Results and Rankings'!$A52,'Robot Design Input'!$A$2:$A$201,'Robot Design Input'!$N$2:$N$201,NumberOfTeams+1,0,))</f>
        <v/>
      </c>
      <c r="M52" s="69" t="str">
        <f> IF('Results and Rankings'!$A52="","",IF('Results and Rankings'!$J52="",NumberOfTeams+1,'Results and Rankings'!$J52) + IF('Results and Rankings'!$K52="",NumberOfTeams+1,'Results and Rankings'!$K52) + IF('Results and Rankings'!$L52="",NumberOfTeams+1,'Results and Rankings'!$L52) + 'Results and Rankings'!$I52)</f>
        <v/>
      </c>
      <c r="N52" s="70" t="str">
        <f>IF('Results and Rankings'!$A52="","",IF(M52,RANK(M52,M$3:M$202,1)-COUNTIF(M$3:M$202,0),NumberOfTeams+1))</f>
        <v/>
      </c>
      <c r="O52" s="72" t="str">
        <f t="array" ref="O52">XLOOKUP('Results and Rankings'!$A52,'Core Values Input'!$A$2:$A$201,'Core Values Input'!$W$2:$W$201,0,0,)</f>
        <v>#VALUE!</v>
      </c>
      <c r="P52" s="72" t="str">
        <f t="array" ref="P52">XLOOKUP('Results and Rankings'!$A52,'Core Values Input'!$A$2:$A$201,'Core Values Input'!$X$2:$X$201,0,0,)</f>
        <v>#VALUE!</v>
      </c>
      <c r="Q52" s="72" t="str">
        <f t="array" ref="Q52">XLOOKUP('Results and Rankings'!$A52,'Core Values Input'!$A$2:$A$201,'Core Values Input'!$Y$2:$Y$201,0,0,)</f>
        <v>#VALUE!</v>
      </c>
      <c r="R52" s="38"/>
      <c r="S52" s="38"/>
      <c r="T52" s="72"/>
      <c r="U52" s="69" t="str">
        <f t="array" ref="U52">XLOOKUP('Results and Rankings'!$A52,'Core Values Input'!$A$2:$A$201,'Core Values Input'!$U$2:$U$201,0,0,)</f>
        <v>#VALUE!</v>
      </c>
      <c r="V52" s="69" t="str">
        <f t="array" ref="V52">XLOOKUP('Results and Rankings'!$A52,'Innovation Project Input'!$A$2:$A$201,'Innovation Project Input'!$M$2:$M$201,0,0,)</f>
        <v>#VALUE!</v>
      </c>
      <c r="W52" s="69" t="str">
        <f t="array" ref="W52">XLOOKUP('Results and Rankings'!$A52,'Robot Design Input'!$A$2:$A$201,'Robot Design Input'!$M$2:$M$201,0,0,)</f>
        <v>#VALUE!</v>
      </c>
      <c r="X52" s="73">
        <f>IF(ISERR(GEOMEAN('Results and Rankings'!$H52,'Results and Rankings'!$U52,'Results and Rankings'!$V52,'Results and Rankings'!$W52)),0,GEOMEAN('Results and Rankings'!$H52,'Results and Rankings'!$U52,'Results and Rankings'!$V52,'Results and Rankings'!$W52))</f>
        <v>0</v>
      </c>
      <c r="Y52" s="74">
        <f>IF(X52,_xlfn.RANK.EQ(X52,X$3:X$110,0),NumberOfTeams)</f>
        <v>0</v>
      </c>
      <c r="Z52" s="38"/>
    </row>
    <row r="53" ht="21.0" customHeight="1">
      <c r="A53" s="67" t="str">
        <f t="array" ref="A53">XLOOKUP(51,'Team and Program Information'!$B$3:$B$202,'Team and Program Information'!$C$3:$C$202,"ERROR",0)</f>
        <v/>
      </c>
      <c r="B53" s="68" t="str">
        <f t="array" ref="B53">XLOOKUP('Results and Rankings'!$A53,'Team and Program Information'!$C$3:$C$202,'Team and Program Information'!$D$3:$D$202,"",0,)</f>
        <v>#VALUE!</v>
      </c>
      <c r="C53" s="69" t="str">
        <f t="array" ref="C53">IF('Results and Rankings'!$A53="","",XLOOKUP('Results and Rankings'!$A53,'Robot Game Scores'!$B$2:$B$201,'Robot Game Scores'!$D$2:$D$201,0,0,))</f>
        <v/>
      </c>
      <c r="D53" s="69" t="str">
        <f t="array" ref="D53">IF('Results and Rankings'!$A53="","",XLOOKUP('Results and Rankings'!$A53,'Robot Game Scores'!$B$2:$B$201,'Robot Game Scores'!$E$2:$E$201,0,0,))</f>
        <v/>
      </c>
      <c r="E53" s="69" t="str">
        <f t="array" ref="E53">IF('Results and Rankings'!$A53="","",XLOOKUP('Results and Rankings'!$A53,'Robot Game Scores'!$B$2:$B$201,'Robot Game Scores'!$F$2:$F$201,0,0,))</f>
        <v/>
      </c>
      <c r="F53" s="69" t="str">
        <f t="array" ref="F53">IF('Results and Rankings'!$A53="","",XLOOKUP('Results and Rankings'!$A53,'Robot Game Scores'!$B$2:$B$201,'Robot Game Scores'!$G$2:$G$201,0,0,))</f>
        <v/>
      </c>
      <c r="G53" s="69" t="str">
        <f t="array" ref="G53">IF('Results and Rankings'!$A53="","",XLOOKUP('Results and Rankings'!$A53,'Robot Game Scores'!$B$2:$B$201,'Robot Game Scores'!$H$2:$H$201,0,0,))</f>
        <v/>
      </c>
      <c r="H53" s="69" t="str">
        <f>IF('Results and Rankings'!$A53="","",IF(ISNA(LARGE('Results and Rankings'!$C53:$G53,1)+0.0001*LARGE('Results and Rankings'!$C53:$G53,2)+0.0000001*LARGE('Results and Rankings'!$C53:$G53,3)+1E-11*LARGE('Results and Rankings'!$C53:$G53,4)+1E-14*LARGE('Results and Rankings'!$C53:$G53,5)),0,LARGE('Results and Rankings'!$C53:$G53,1)+0.0001*LARGE('Results and Rankings'!$C53:$G53,2)+0.0000001*LARGE('Results and Rankings'!$C53:$G53,3)+1E-11*LARGE('Results and Rankings'!$C53:$G53,4)+1E-14*LARGE('Results and Rankings'!$C53:$G53,5)))</f>
        <v/>
      </c>
      <c r="I53" s="69" t="str">
        <f>IF('Results and Rankings'!$A53="","",_xlfn.RANK.EQ('Results and Rankings'!$H53,'Results and Rankings'!$H$3:$H$202))</f>
        <v/>
      </c>
      <c r="J53" s="69" t="str">
        <f t="array" ref="J53">IF('Results and Rankings'!$A53="","",XLOOKUP('Results and Rankings'!$A53,'Core Values Input'!$A$2:$A$201,'Core Values Input'!$V$2:$V$201,NumberOfTeams+1,0,))</f>
        <v/>
      </c>
      <c r="K53" s="69" t="str">
        <f t="array" ref="K53">IF('Results and Rankings'!$A53="","",XLOOKUP('Results and Rankings'!$A53,'Innovation Project Input'!$A$2:$A$201,'Innovation Project Input'!$N$2:$N$201,NumberOfTeams+1,0,))</f>
        <v/>
      </c>
      <c r="L53" s="69" t="str">
        <f t="array" ref="L53">IF('Results and Rankings'!$A53="","",XLOOKUP('Results and Rankings'!$A53,'Robot Design Input'!$A$2:$A$201,'Robot Design Input'!$N$2:$N$201,NumberOfTeams+1,0,))</f>
        <v/>
      </c>
      <c r="M53" s="69" t="str">
        <f> IF('Results and Rankings'!$A53="","",IF('Results and Rankings'!$J53="",NumberOfTeams+1,'Results and Rankings'!$J53) + IF('Results and Rankings'!$K53="",NumberOfTeams+1,'Results and Rankings'!$K53) + IF('Results and Rankings'!$L53="",NumberOfTeams+1,'Results and Rankings'!$L53) + 'Results and Rankings'!$I53)</f>
        <v/>
      </c>
      <c r="N53" s="70" t="str">
        <f>IF('Results and Rankings'!$A53="","",IF(M53,RANK(M53,M$3:M$202,1)-COUNTIF(M$3:M$202,0),NumberOfTeams+1))</f>
        <v/>
      </c>
      <c r="O53" s="71" t="str">
        <f t="array" ref="O53">XLOOKUP('Results and Rankings'!$A53,'Core Values Input'!$A$2:$A$201,'Core Values Input'!$W$2:$W$201,0,0,)</f>
        <v>#VALUE!</v>
      </c>
      <c r="P53" s="71" t="str">
        <f t="array" ref="P53">XLOOKUP('Results and Rankings'!$A53,'Core Values Input'!$A$2:$A$201,'Core Values Input'!$X$2:$X$201,0,0,)</f>
        <v>#VALUE!</v>
      </c>
      <c r="Q53" s="71" t="str">
        <f t="array" ref="Q53">XLOOKUP('Results and Rankings'!$A53,'Core Values Input'!$A$2:$A$201,'Core Values Input'!$Y$2:$Y$201,0,0,)</f>
        <v>#VALUE!</v>
      </c>
      <c r="R53" s="38"/>
      <c r="S53" s="38"/>
      <c r="T53" s="72"/>
      <c r="U53" s="69" t="str">
        <f t="array" ref="U53">XLOOKUP('Results and Rankings'!$A53,'Core Values Input'!$A$2:$A$201,'Core Values Input'!$U$2:$U$201,0,0,)</f>
        <v>#VALUE!</v>
      </c>
      <c r="V53" s="69" t="str">
        <f t="array" ref="V53">XLOOKUP('Results and Rankings'!$A53,'Innovation Project Input'!$A$2:$A$201,'Innovation Project Input'!$M$2:$M$201,0,0,)</f>
        <v>#VALUE!</v>
      </c>
      <c r="W53" s="69" t="str">
        <f t="array" ref="W53">XLOOKUP('Results and Rankings'!$A53,'Robot Design Input'!$A$2:$A$201,'Robot Design Input'!$M$2:$M$201,0,0,)</f>
        <v>#VALUE!</v>
      </c>
      <c r="X53" s="73">
        <f>IF(ISERR(GEOMEAN('Results and Rankings'!$H53,'Results and Rankings'!$U53,'Results and Rankings'!$V53,'Results and Rankings'!$W53)),0,GEOMEAN('Results and Rankings'!$H53,'Results and Rankings'!$U53,'Results and Rankings'!$V53,'Results and Rankings'!$W53))</f>
        <v>0</v>
      </c>
      <c r="Y53" s="74">
        <f>IF(X53,_xlfn.RANK.EQ(X53,X$3:X$110,0),NumberOfTeams)</f>
        <v>0</v>
      </c>
      <c r="Z53" s="38"/>
    </row>
    <row r="54" ht="21.0" customHeight="1">
      <c r="A54" s="67" t="str">
        <f t="array" ref="A54">XLOOKUP(52,'Team and Program Information'!$B$3:$B$202,'Team and Program Information'!$C$3:$C$202,"ERROR",0)</f>
        <v/>
      </c>
      <c r="B54" s="68" t="str">
        <f t="array" ref="B54">XLOOKUP('Results and Rankings'!$A54,'Team and Program Information'!$C$3:$C$202,'Team and Program Information'!$D$3:$D$202,"",0,)</f>
        <v>#VALUE!</v>
      </c>
      <c r="C54" s="69" t="str">
        <f t="array" ref="C54">IF('Results and Rankings'!$A54="","",XLOOKUP('Results and Rankings'!$A54,'Robot Game Scores'!$B$2:$B$201,'Robot Game Scores'!$D$2:$D$201,0,0,))</f>
        <v/>
      </c>
      <c r="D54" s="69" t="str">
        <f t="array" ref="D54">IF('Results and Rankings'!$A54="","",XLOOKUP('Results and Rankings'!$A54,'Robot Game Scores'!$B$2:$B$201,'Robot Game Scores'!$E$2:$E$201,0,0,))</f>
        <v/>
      </c>
      <c r="E54" s="69" t="str">
        <f t="array" ref="E54">IF('Results and Rankings'!$A54="","",XLOOKUP('Results and Rankings'!$A54,'Robot Game Scores'!$B$2:$B$201,'Robot Game Scores'!$F$2:$F$201,0,0,))</f>
        <v/>
      </c>
      <c r="F54" s="69" t="str">
        <f t="array" ref="F54">IF('Results and Rankings'!$A54="","",XLOOKUP('Results and Rankings'!$A54,'Robot Game Scores'!$B$2:$B$201,'Robot Game Scores'!$G$2:$G$201,0,0,))</f>
        <v/>
      </c>
      <c r="G54" s="69" t="str">
        <f t="array" ref="G54">IF('Results and Rankings'!$A54="","",XLOOKUP('Results and Rankings'!$A54,'Robot Game Scores'!$B$2:$B$201,'Robot Game Scores'!$H$2:$H$201,0,0,))</f>
        <v/>
      </c>
      <c r="H54" s="69" t="str">
        <f>IF('Results and Rankings'!$A54="","",IF(ISNA(LARGE('Results and Rankings'!$C54:$G54,1)+0.0001*LARGE('Results and Rankings'!$C54:$G54,2)+0.0000001*LARGE('Results and Rankings'!$C54:$G54,3)+1E-11*LARGE('Results and Rankings'!$C54:$G54,4)+1E-14*LARGE('Results and Rankings'!$C54:$G54,5)),0,LARGE('Results and Rankings'!$C54:$G54,1)+0.0001*LARGE('Results and Rankings'!$C54:$G54,2)+0.0000001*LARGE('Results and Rankings'!$C54:$G54,3)+1E-11*LARGE('Results and Rankings'!$C54:$G54,4)+1E-14*LARGE('Results and Rankings'!$C54:$G54,5)))</f>
        <v/>
      </c>
      <c r="I54" s="69" t="str">
        <f>IF('Results and Rankings'!$A54="","",_xlfn.RANK.EQ('Results and Rankings'!$H54,'Results and Rankings'!$H$3:$H$202))</f>
        <v/>
      </c>
      <c r="J54" s="69" t="str">
        <f t="array" ref="J54">IF('Results and Rankings'!$A54="","",XLOOKUP('Results and Rankings'!$A54,'Core Values Input'!$A$2:$A$201,'Core Values Input'!$V$2:$V$201,NumberOfTeams+1,0,))</f>
        <v/>
      </c>
      <c r="K54" s="69" t="str">
        <f t="array" ref="K54">IF('Results and Rankings'!$A54="","",XLOOKUP('Results and Rankings'!$A54,'Innovation Project Input'!$A$2:$A$201,'Innovation Project Input'!$N$2:$N$201,NumberOfTeams+1,0,))</f>
        <v/>
      </c>
      <c r="L54" s="69" t="str">
        <f t="array" ref="L54">IF('Results and Rankings'!$A54="","",XLOOKUP('Results and Rankings'!$A54,'Robot Design Input'!$A$2:$A$201,'Robot Design Input'!$N$2:$N$201,NumberOfTeams+1,0,))</f>
        <v/>
      </c>
      <c r="M54" s="69" t="str">
        <f> IF('Results and Rankings'!$A54="","",IF('Results and Rankings'!$J54="",NumberOfTeams+1,'Results and Rankings'!$J54) + IF('Results and Rankings'!$K54="",NumberOfTeams+1,'Results and Rankings'!$K54) + IF('Results and Rankings'!$L54="",NumberOfTeams+1,'Results and Rankings'!$L54) + 'Results and Rankings'!$I54)</f>
        <v/>
      </c>
      <c r="N54" s="70" t="str">
        <f>IF('Results and Rankings'!$A54="","",IF(M54,RANK(M54,M$3:M$202,1)-COUNTIF(M$3:M$202,0),NumberOfTeams+1))</f>
        <v/>
      </c>
      <c r="O54" s="71" t="str">
        <f t="array" ref="O54">XLOOKUP('Results and Rankings'!$A54,'Core Values Input'!$A$2:$A$201,'Core Values Input'!$W$2:$W$201,0,0,)</f>
        <v>#VALUE!</v>
      </c>
      <c r="P54" s="71" t="str">
        <f t="array" ref="P54">XLOOKUP('Results and Rankings'!$A54,'Core Values Input'!$A$2:$A$201,'Core Values Input'!$X$2:$X$201,0,0,)</f>
        <v>#VALUE!</v>
      </c>
      <c r="Q54" s="71" t="str">
        <f t="array" ref="Q54">XLOOKUP('Results and Rankings'!$A54,'Core Values Input'!$A$2:$A$201,'Core Values Input'!$Y$2:$Y$201,0,0,)</f>
        <v>#VALUE!</v>
      </c>
      <c r="R54" s="38"/>
      <c r="S54" s="38"/>
      <c r="T54" s="72"/>
      <c r="U54" s="69" t="str">
        <f t="array" ref="U54">XLOOKUP('Results and Rankings'!$A54,'Core Values Input'!$A$2:$A$201,'Core Values Input'!$U$2:$U$201,0,0,)</f>
        <v>#VALUE!</v>
      </c>
      <c r="V54" s="69" t="str">
        <f t="array" ref="V54">XLOOKUP('Results and Rankings'!$A54,'Innovation Project Input'!$A$2:$A$201,'Innovation Project Input'!$M$2:$M$201,0,0,)</f>
        <v>#VALUE!</v>
      </c>
      <c r="W54" s="69" t="str">
        <f t="array" ref="W54">XLOOKUP('Results and Rankings'!$A54,'Robot Design Input'!$A$2:$A$201,'Robot Design Input'!$M$2:$M$201,0,0,)</f>
        <v>#VALUE!</v>
      </c>
      <c r="X54" s="73">
        <f>IF(ISERR(GEOMEAN('Results and Rankings'!$H54,'Results and Rankings'!$U54,'Results and Rankings'!$V54,'Results and Rankings'!$W54)),0,GEOMEAN('Results and Rankings'!$H54,'Results and Rankings'!$U54,'Results and Rankings'!$V54,'Results and Rankings'!$W54))</f>
        <v>0</v>
      </c>
      <c r="Y54" s="74">
        <f>IF(X54,_xlfn.RANK.EQ(X54,X$3:X$110,0),NumberOfTeams)</f>
        <v>0</v>
      </c>
      <c r="Z54" s="38"/>
    </row>
    <row r="55" ht="21.0" customHeight="1">
      <c r="A55" s="67" t="str">
        <f t="array" ref="A55">XLOOKUP(53,'Team and Program Information'!$B$3:$B$202,'Team and Program Information'!$C$3:$C$202,"ERROR",0)</f>
        <v/>
      </c>
      <c r="B55" s="68" t="str">
        <f t="array" ref="B55">XLOOKUP('Results and Rankings'!$A55,'Team and Program Information'!$C$3:$C$202,'Team and Program Information'!$D$3:$D$202,"",0,)</f>
        <v>#VALUE!</v>
      </c>
      <c r="C55" s="69" t="str">
        <f t="array" ref="C55">IF('Results and Rankings'!$A55="","",XLOOKUP('Results and Rankings'!$A55,'Robot Game Scores'!$B$2:$B$201,'Robot Game Scores'!$D$2:$D$201,0,0,))</f>
        <v/>
      </c>
      <c r="D55" s="69" t="str">
        <f t="array" ref="D55">IF('Results and Rankings'!$A55="","",XLOOKUP('Results and Rankings'!$A55,'Robot Game Scores'!$B$2:$B$201,'Robot Game Scores'!$E$2:$E$201,0,0,))</f>
        <v/>
      </c>
      <c r="E55" s="69" t="str">
        <f t="array" ref="E55">IF('Results and Rankings'!$A55="","",XLOOKUP('Results and Rankings'!$A55,'Robot Game Scores'!$B$2:$B$201,'Robot Game Scores'!$F$2:$F$201,0,0,))</f>
        <v/>
      </c>
      <c r="F55" s="69" t="str">
        <f t="array" ref="F55">IF('Results and Rankings'!$A55="","",XLOOKUP('Results and Rankings'!$A55,'Robot Game Scores'!$B$2:$B$201,'Robot Game Scores'!$G$2:$G$201,0,0,))</f>
        <v/>
      </c>
      <c r="G55" s="69" t="str">
        <f t="array" ref="G55">IF('Results and Rankings'!$A55="","",XLOOKUP('Results and Rankings'!$A55,'Robot Game Scores'!$B$2:$B$201,'Robot Game Scores'!$H$2:$H$201,0,0,))</f>
        <v/>
      </c>
      <c r="H55" s="69" t="str">
        <f>IF('Results and Rankings'!$A55="","",IF(ISNA(LARGE('Results and Rankings'!$C55:$G55,1)+0.0001*LARGE('Results and Rankings'!$C55:$G55,2)+0.0000001*LARGE('Results and Rankings'!$C55:$G55,3)+1E-11*LARGE('Results and Rankings'!$C55:$G55,4)+1E-14*LARGE('Results and Rankings'!$C55:$G55,5)),0,LARGE('Results and Rankings'!$C55:$G55,1)+0.0001*LARGE('Results and Rankings'!$C55:$G55,2)+0.0000001*LARGE('Results and Rankings'!$C55:$G55,3)+1E-11*LARGE('Results and Rankings'!$C55:$G55,4)+1E-14*LARGE('Results and Rankings'!$C55:$G55,5)))</f>
        <v/>
      </c>
      <c r="I55" s="69" t="str">
        <f>IF('Results and Rankings'!$A55="","",_xlfn.RANK.EQ('Results and Rankings'!$H55,'Results and Rankings'!$H$3:$H$202))</f>
        <v/>
      </c>
      <c r="J55" s="69" t="str">
        <f t="array" ref="J55">IF('Results and Rankings'!$A55="","",XLOOKUP('Results and Rankings'!$A55,'Core Values Input'!$A$2:$A$201,'Core Values Input'!$V$2:$V$201,NumberOfTeams+1,0,))</f>
        <v/>
      </c>
      <c r="K55" s="69" t="str">
        <f t="array" ref="K55">IF('Results and Rankings'!$A55="","",XLOOKUP('Results and Rankings'!$A55,'Innovation Project Input'!$A$2:$A$201,'Innovation Project Input'!$N$2:$N$201,NumberOfTeams+1,0,))</f>
        <v/>
      </c>
      <c r="L55" s="69" t="str">
        <f t="array" ref="L55">IF('Results and Rankings'!$A55="","",XLOOKUP('Results and Rankings'!$A55,'Robot Design Input'!$A$2:$A$201,'Robot Design Input'!$N$2:$N$201,NumberOfTeams+1,0,))</f>
        <v/>
      </c>
      <c r="M55" s="69" t="str">
        <f> IF('Results and Rankings'!$A55="","",IF('Results and Rankings'!$J55="",NumberOfTeams+1,'Results and Rankings'!$J55) + IF('Results and Rankings'!$K55="",NumberOfTeams+1,'Results and Rankings'!$K55) + IF('Results and Rankings'!$L55="",NumberOfTeams+1,'Results and Rankings'!$L55) + 'Results and Rankings'!$I55)</f>
        <v/>
      </c>
      <c r="N55" s="70" t="str">
        <f>IF('Results and Rankings'!$A55="","",IF(M55,RANK(M55,M$3:M$202,1)-COUNTIF(M$3:M$202,0),NumberOfTeams+1))</f>
        <v/>
      </c>
      <c r="O55" s="71" t="str">
        <f t="array" ref="O55">XLOOKUP('Results and Rankings'!$A55,'Core Values Input'!$A$2:$A$201,'Core Values Input'!$W$2:$W$201,0,0,)</f>
        <v>#VALUE!</v>
      </c>
      <c r="P55" s="71" t="str">
        <f t="array" ref="P55">XLOOKUP('Results and Rankings'!$A55,'Core Values Input'!$A$2:$A$201,'Core Values Input'!$X$2:$X$201,0,0,)</f>
        <v>#VALUE!</v>
      </c>
      <c r="Q55" s="71" t="str">
        <f t="array" ref="Q55">XLOOKUP('Results and Rankings'!$A55,'Core Values Input'!$A$2:$A$201,'Core Values Input'!$Y$2:$Y$201,0,0,)</f>
        <v>#VALUE!</v>
      </c>
      <c r="R55" s="38"/>
      <c r="S55" s="38"/>
      <c r="T55" s="72"/>
      <c r="U55" s="69" t="str">
        <f t="array" ref="U55">XLOOKUP('Results and Rankings'!$A55,'Core Values Input'!$A$2:$A$201,'Core Values Input'!$U$2:$U$201,0,0,)</f>
        <v>#VALUE!</v>
      </c>
      <c r="V55" s="69" t="str">
        <f t="array" ref="V55">XLOOKUP('Results and Rankings'!$A55,'Innovation Project Input'!$A$2:$A$201,'Innovation Project Input'!$M$2:$M$201,0,0,)</f>
        <v>#VALUE!</v>
      </c>
      <c r="W55" s="69" t="str">
        <f t="array" ref="W55">XLOOKUP('Results and Rankings'!$A55,'Robot Design Input'!$A$2:$A$201,'Robot Design Input'!$M$2:$M$201,0,0,)</f>
        <v>#VALUE!</v>
      </c>
      <c r="X55" s="73">
        <f>IF(ISERR(GEOMEAN('Results and Rankings'!$H55,'Results and Rankings'!$U55,'Results and Rankings'!$V55,'Results and Rankings'!$W55)),0,GEOMEAN('Results and Rankings'!$H55,'Results and Rankings'!$U55,'Results and Rankings'!$V55,'Results and Rankings'!$W55))</f>
        <v>0</v>
      </c>
      <c r="Y55" s="74">
        <f>IF(X55,_xlfn.RANK.EQ(X55,X$3:X$110,0),NumberOfTeams)</f>
        <v>0</v>
      </c>
      <c r="Z55" s="38"/>
    </row>
    <row r="56" ht="21.0" customHeight="1">
      <c r="A56" s="67" t="str">
        <f t="array" ref="A56">XLOOKUP(54,'Team and Program Information'!$B$3:$B$202,'Team and Program Information'!$C$3:$C$202,"ERROR",0)</f>
        <v/>
      </c>
      <c r="B56" s="68" t="str">
        <f t="array" ref="B56">XLOOKUP('Results and Rankings'!$A56,'Team and Program Information'!$C$3:$C$202,'Team and Program Information'!$D$3:$D$202,"",0,)</f>
        <v>#VALUE!</v>
      </c>
      <c r="C56" s="69" t="str">
        <f t="array" ref="C56">IF('Results and Rankings'!$A56="","",XLOOKUP('Results and Rankings'!$A56,'Robot Game Scores'!$B$2:$B$201,'Robot Game Scores'!$D$2:$D$201,0,0,))</f>
        <v/>
      </c>
      <c r="D56" s="69" t="str">
        <f t="array" ref="D56">IF('Results and Rankings'!$A56="","",XLOOKUP('Results and Rankings'!$A56,'Robot Game Scores'!$B$2:$B$201,'Robot Game Scores'!$E$2:$E$201,0,0,))</f>
        <v/>
      </c>
      <c r="E56" s="69" t="str">
        <f t="array" ref="E56">IF('Results and Rankings'!$A56="","",XLOOKUP('Results and Rankings'!$A56,'Robot Game Scores'!$B$2:$B$201,'Robot Game Scores'!$F$2:$F$201,0,0,))</f>
        <v/>
      </c>
      <c r="F56" s="69" t="str">
        <f t="array" ref="F56">IF('Results and Rankings'!$A56="","",XLOOKUP('Results and Rankings'!$A56,'Robot Game Scores'!$B$2:$B$201,'Robot Game Scores'!$G$2:$G$201,0,0,))</f>
        <v/>
      </c>
      <c r="G56" s="69" t="str">
        <f t="array" ref="G56">IF('Results and Rankings'!$A56="","",XLOOKUP('Results and Rankings'!$A56,'Robot Game Scores'!$B$2:$B$201,'Robot Game Scores'!$H$2:$H$201,0,0,))</f>
        <v/>
      </c>
      <c r="H56" s="69" t="str">
        <f>IF('Results and Rankings'!$A56="","",IF(ISNA(LARGE('Results and Rankings'!$C56:$G56,1)+0.0001*LARGE('Results and Rankings'!$C56:$G56,2)+0.0000001*LARGE('Results and Rankings'!$C56:$G56,3)+1E-11*LARGE('Results and Rankings'!$C56:$G56,4)+1E-14*LARGE('Results and Rankings'!$C56:$G56,5)),0,LARGE('Results and Rankings'!$C56:$G56,1)+0.0001*LARGE('Results and Rankings'!$C56:$G56,2)+0.0000001*LARGE('Results and Rankings'!$C56:$G56,3)+1E-11*LARGE('Results and Rankings'!$C56:$G56,4)+1E-14*LARGE('Results and Rankings'!$C56:$G56,5)))</f>
        <v/>
      </c>
      <c r="I56" s="69" t="str">
        <f>IF('Results and Rankings'!$A56="","",_xlfn.RANK.EQ('Results and Rankings'!$H56,'Results and Rankings'!$H$3:$H$202))</f>
        <v/>
      </c>
      <c r="J56" s="69" t="str">
        <f t="array" ref="J56">IF('Results and Rankings'!$A56="","",XLOOKUP('Results and Rankings'!$A56,'Core Values Input'!$A$2:$A$201,'Core Values Input'!$V$2:$V$201,NumberOfTeams+1,0,))</f>
        <v/>
      </c>
      <c r="K56" s="69" t="str">
        <f t="array" ref="K56">IF('Results and Rankings'!$A56="","",XLOOKUP('Results and Rankings'!$A56,'Innovation Project Input'!$A$2:$A$201,'Innovation Project Input'!$N$2:$N$201,NumberOfTeams+1,0,))</f>
        <v/>
      </c>
      <c r="L56" s="69" t="str">
        <f t="array" ref="L56">IF('Results and Rankings'!$A56="","",XLOOKUP('Results and Rankings'!$A56,'Robot Design Input'!$A$2:$A$201,'Robot Design Input'!$N$2:$N$201,NumberOfTeams+1,0,))</f>
        <v/>
      </c>
      <c r="M56" s="69" t="str">
        <f> IF('Results and Rankings'!$A56="","",IF('Results and Rankings'!$J56="",NumberOfTeams+1,'Results and Rankings'!$J56) + IF('Results and Rankings'!$K56="",NumberOfTeams+1,'Results and Rankings'!$K56) + IF('Results and Rankings'!$L56="",NumberOfTeams+1,'Results and Rankings'!$L56) + 'Results and Rankings'!$I56)</f>
        <v/>
      </c>
      <c r="N56" s="70" t="str">
        <f>IF('Results and Rankings'!$A56="","",IF(M56,RANK(M56,M$3:M$202,1)-COUNTIF(M$3:M$202,0),NumberOfTeams+1))</f>
        <v/>
      </c>
      <c r="O56" s="71" t="str">
        <f t="array" ref="O56">XLOOKUP('Results and Rankings'!$A56,'Core Values Input'!$A$2:$A$201,'Core Values Input'!$W$2:$W$201,0,0,)</f>
        <v>#VALUE!</v>
      </c>
      <c r="P56" s="71" t="str">
        <f t="array" ref="P56">XLOOKUP('Results and Rankings'!$A56,'Core Values Input'!$A$2:$A$201,'Core Values Input'!$X$2:$X$201,0,0,)</f>
        <v>#VALUE!</v>
      </c>
      <c r="Q56" s="71" t="str">
        <f t="array" ref="Q56">XLOOKUP('Results and Rankings'!$A56,'Core Values Input'!$A$2:$A$201,'Core Values Input'!$Y$2:$Y$201,0,0,)</f>
        <v>#VALUE!</v>
      </c>
      <c r="R56" s="38"/>
      <c r="S56" s="38"/>
      <c r="T56" s="72"/>
      <c r="U56" s="69" t="str">
        <f t="array" ref="U56">XLOOKUP('Results and Rankings'!$A56,'Core Values Input'!$A$2:$A$201,'Core Values Input'!$U$2:$U$201,0,0,)</f>
        <v>#VALUE!</v>
      </c>
      <c r="V56" s="69" t="str">
        <f t="array" ref="V56">XLOOKUP('Results and Rankings'!$A56,'Innovation Project Input'!$A$2:$A$201,'Innovation Project Input'!$M$2:$M$201,0,0,)</f>
        <v>#VALUE!</v>
      </c>
      <c r="W56" s="69" t="str">
        <f t="array" ref="W56">XLOOKUP('Results and Rankings'!$A56,'Robot Design Input'!$A$2:$A$201,'Robot Design Input'!$M$2:$M$201,0,0,)</f>
        <v>#VALUE!</v>
      </c>
      <c r="X56" s="73">
        <f>IF(ISERR(GEOMEAN('Results and Rankings'!$H56,'Results and Rankings'!$U56,'Results and Rankings'!$V56,'Results and Rankings'!$W56)),0,GEOMEAN('Results and Rankings'!$H56,'Results and Rankings'!$U56,'Results and Rankings'!$V56,'Results and Rankings'!$W56))</f>
        <v>0</v>
      </c>
      <c r="Y56" s="74">
        <f>IF(X56,_xlfn.RANK.EQ(X56,X$3:X$110,0),NumberOfTeams)</f>
        <v>0</v>
      </c>
      <c r="Z56" s="38"/>
    </row>
    <row r="57" ht="21.0" customHeight="1">
      <c r="A57" s="67" t="str">
        <f t="array" ref="A57">XLOOKUP(55,'Team and Program Information'!$B$3:$B$202,'Team and Program Information'!$C$3:$C$202,"ERROR",0)</f>
        <v/>
      </c>
      <c r="B57" s="68" t="str">
        <f t="array" ref="B57">XLOOKUP('Results and Rankings'!$A57,'Team and Program Information'!$C$3:$C$202,'Team and Program Information'!$D$3:$D$202,"",0,)</f>
        <v>#VALUE!</v>
      </c>
      <c r="C57" s="69" t="str">
        <f t="array" ref="C57">IF('Results and Rankings'!$A57="","",XLOOKUP('Results and Rankings'!$A57,'Robot Game Scores'!$B$2:$B$201,'Robot Game Scores'!$D$2:$D$201,0,0,))</f>
        <v/>
      </c>
      <c r="D57" s="69" t="str">
        <f t="array" ref="D57">IF('Results and Rankings'!$A57="","",XLOOKUP('Results and Rankings'!$A57,'Robot Game Scores'!$B$2:$B$201,'Robot Game Scores'!$E$2:$E$201,0,0,))</f>
        <v/>
      </c>
      <c r="E57" s="69" t="str">
        <f t="array" ref="E57">IF('Results and Rankings'!$A57="","",XLOOKUP('Results and Rankings'!$A57,'Robot Game Scores'!$B$2:$B$201,'Robot Game Scores'!$F$2:$F$201,0,0,))</f>
        <v/>
      </c>
      <c r="F57" s="69" t="str">
        <f t="array" ref="F57">IF('Results and Rankings'!$A57="","",XLOOKUP('Results and Rankings'!$A57,'Robot Game Scores'!$B$2:$B$201,'Robot Game Scores'!$G$2:$G$201,0,0,))</f>
        <v/>
      </c>
      <c r="G57" s="69" t="str">
        <f t="array" ref="G57">IF('Results and Rankings'!$A57="","",XLOOKUP('Results and Rankings'!$A57,'Robot Game Scores'!$B$2:$B$201,'Robot Game Scores'!$H$2:$H$201,0,0,))</f>
        <v/>
      </c>
      <c r="H57" s="69" t="str">
        <f>IF('Results and Rankings'!$A57="","",IF(ISNA(LARGE('Results and Rankings'!$C57:$G57,1)+0.0001*LARGE('Results and Rankings'!$C57:$G57,2)+0.0000001*LARGE('Results and Rankings'!$C57:$G57,3)+1E-11*LARGE('Results and Rankings'!$C57:$G57,4)+1E-14*LARGE('Results and Rankings'!$C57:$G57,5)),0,LARGE('Results and Rankings'!$C57:$G57,1)+0.0001*LARGE('Results and Rankings'!$C57:$G57,2)+0.0000001*LARGE('Results and Rankings'!$C57:$G57,3)+1E-11*LARGE('Results and Rankings'!$C57:$G57,4)+1E-14*LARGE('Results and Rankings'!$C57:$G57,5)))</f>
        <v/>
      </c>
      <c r="I57" s="69" t="str">
        <f>IF('Results and Rankings'!$A57="","",_xlfn.RANK.EQ('Results and Rankings'!$H57,'Results and Rankings'!$H$3:$H$202))</f>
        <v/>
      </c>
      <c r="J57" s="69" t="str">
        <f t="array" ref="J57">IF('Results and Rankings'!$A57="","",XLOOKUP('Results and Rankings'!$A57,'Core Values Input'!$A$2:$A$201,'Core Values Input'!$V$2:$V$201,NumberOfTeams+1,0,))</f>
        <v/>
      </c>
      <c r="K57" s="69" t="str">
        <f t="array" ref="K57">IF('Results and Rankings'!$A57="","",XLOOKUP('Results and Rankings'!$A57,'Innovation Project Input'!$A$2:$A$201,'Innovation Project Input'!$N$2:$N$201,NumberOfTeams+1,0,))</f>
        <v/>
      </c>
      <c r="L57" s="69" t="str">
        <f t="array" ref="L57">IF('Results and Rankings'!$A57="","",XLOOKUP('Results and Rankings'!$A57,'Robot Design Input'!$A$2:$A$201,'Robot Design Input'!$N$2:$N$201,NumberOfTeams+1,0,))</f>
        <v/>
      </c>
      <c r="M57" s="69" t="str">
        <f> IF('Results and Rankings'!$A57="","",IF('Results and Rankings'!$J57="",NumberOfTeams+1,'Results and Rankings'!$J57) + IF('Results and Rankings'!$K57="",NumberOfTeams+1,'Results and Rankings'!$K57) + IF('Results and Rankings'!$L57="",NumberOfTeams+1,'Results and Rankings'!$L57) + 'Results and Rankings'!$I57)</f>
        <v/>
      </c>
      <c r="N57" s="70" t="str">
        <f>IF('Results and Rankings'!$A57="","",IF(M57,RANK(M57,M$3:M$202,1)-COUNTIF(M$3:M$202,0),NumberOfTeams+1))</f>
        <v/>
      </c>
      <c r="O57" s="71" t="str">
        <f t="array" ref="O57">XLOOKUP('Results and Rankings'!$A57,'Core Values Input'!$A$2:$A$201,'Core Values Input'!$W$2:$W$201,0,0,)</f>
        <v>#VALUE!</v>
      </c>
      <c r="P57" s="71" t="str">
        <f t="array" ref="P57">XLOOKUP('Results and Rankings'!$A57,'Core Values Input'!$A$2:$A$201,'Core Values Input'!$X$2:$X$201,0,0,)</f>
        <v>#VALUE!</v>
      </c>
      <c r="Q57" s="71" t="str">
        <f t="array" ref="Q57">XLOOKUP('Results and Rankings'!$A57,'Core Values Input'!$A$2:$A$201,'Core Values Input'!$Y$2:$Y$201,0,0,)</f>
        <v>#VALUE!</v>
      </c>
      <c r="R57" s="38"/>
      <c r="S57" s="38"/>
      <c r="T57" s="72"/>
      <c r="U57" s="69" t="str">
        <f t="array" ref="U57">XLOOKUP('Results and Rankings'!$A57,'Core Values Input'!$A$2:$A$201,'Core Values Input'!$U$2:$U$201,0,0,)</f>
        <v>#VALUE!</v>
      </c>
      <c r="V57" s="69" t="str">
        <f t="array" ref="V57">XLOOKUP('Results and Rankings'!$A57,'Innovation Project Input'!$A$2:$A$201,'Innovation Project Input'!$M$2:$M$201,0,0,)</f>
        <v>#VALUE!</v>
      </c>
      <c r="W57" s="69" t="str">
        <f t="array" ref="W57">XLOOKUP('Results and Rankings'!$A57,'Robot Design Input'!$A$2:$A$201,'Robot Design Input'!$M$2:$M$201,0,0,)</f>
        <v>#VALUE!</v>
      </c>
      <c r="X57" s="73">
        <f>IF(ISERR(GEOMEAN('Results and Rankings'!$H57,'Results and Rankings'!$U57,'Results and Rankings'!$V57,'Results and Rankings'!$W57)),0,GEOMEAN('Results and Rankings'!$H57,'Results and Rankings'!$U57,'Results and Rankings'!$V57,'Results and Rankings'!$W57))</f>
        <v>0</v>
      </c>
      <c r="Y57" s="74">
        <f>IF(X57,_xlfn.RANK.EQ(X57,X$3:X$110,0),NumberOfTeams)</f>
        <v>0</v>
      </c>
      <c r="Z57" s="38"/>
    </row>
    <row r="58" ht="21.0" customHeight="1">
      <c r="A58" s="67" t="str">
        <f t="array" ref="A58">XLOOKUP(56,'Team and Program Information'!$B$3:$B$202,'Team and Program Information'!$C$3:$C$202,"ERROR",0)</f>
        <v/>
      </c>
      <c r="B58" s="68" t="str">
        <f t="array" ref="B58">XLOOKUP('Results and Rankings'!$A58,'Team and Program Information'!$C$3:$C$202,'Team and Program Information'!$D$3:$D$202,"",0,)</f>
        <v>#VALUE!</v>
      </c>
      <c r="C58" s="69" t="str">
        <f t="array" ref="C58">IF('Results and Rankings'!$A58="","",XLOOKUP('Results and Rankings'!$A58,'Robot Game Scores'!$B$2:$B$201,'Robot Game Scores'!$D$2:$D$201,0,0,))</f>
        <v/>
      </c>
      <c r="D58" s="69" t="str">
        <f t="array" ref="D58">IF('Results and Rankings'!$A58="","",XLOOKUP('Results and Rankings'!$A58,'Robot Game Scores'!$B$2:$B$201,'Robot Game Scores'!$E$2:$E$201,0,0,))</f>
        <v/>
      </c>
      <c r="E58" s="69" t="str">
        <f t="array" ref="E58">IF('Results and Rankings'!$A58="","",XLOOKUP('Results and Rankings'!$A58,'Robot Game Scores'!$B$2:$B$201,'Robot Game Scores'!$F$2:$F$201,0,0,))</f>
        <v/>
      </c>
      <c r="F58" s="69" t="str">
        <f t="array" ref="F58">IF('Results and Rankings'!$A58="","",XLOOKUP('Results and Rankings'!$A58,'Robot Game Scores'!$B$2:$B$201,'Robot Game Scores'!$G$2:$G$201,0,0,))</f>
        <v/>
      </c>
      <c r="G58" s="69" t="str">
        <f t="array" ref="G58">IF('Results and Rankings'!$A58="","",XLOOKUP('Results and Rankings'!$A58,'Robot Game Scores'!$B$2:$B$201,'Robot Game Scores'!$H$2:$H$201,0,0,))</f>
        <v/>
      </c>
      <c r="H58" s="69" t="str">
        <f>IF('Results and Rankings'!$A58="","",IF(ISNA(LARGE('Results and Rankings'!$C58:$G58,1)+0.0001*LARGE('Results and Rankings'!$C58:$G58,2)+0.0000001*LARGE('Results and Rankings'!$C58:$G58,3)+1E-11*LARGE('Results and Rankings'!$C58:$G58,4)+1E-14*LARGE('Results and Rankings'!$C58:$G58,5)),0,LARGE('Results and Rankings'!$C58:$G58,1)+0.0001*LARGE('Results and Rankings'!$C58:$G58,2)+0.0000001*LARGE('Results and Rankings'!$C58:$G58,3)+1E-11*LARGE('Results and Rankings'!$C58:$G58,4)+1E-14*LARGE('Results and Rankings'!$C58:$G58,5)))</f>
        <v/>
      </c>
      <c r="I58" s="69" t="str">
        <f>IF('Results and Rankings'!$A58="","",_xlfn.RANK.EQ('Results and Rankings'!$H58,'Results and Rankings'!$H$3:$H$202))</f>
        <v/>
      </c>
      <c r="J58" s="69" t="str">
        <f t="array" ref="J58">IF('Results and Rankings'!$A58="","",XLOOKUP('Results and Rankings'!$A58,'Core Values Input'!$A$2:$A$201,'Core Values Input'!$V$2:$V$201,NumberOfTeams+1,0,))</f>
        <v/>
      </c>
      <c r="K58" s="69" t="str">
        <f t="array" ref="K58">IF('Results and Rankings'!$A58="","",XLOOKUP('Results and Rankings'!$A58,'Innovation Project Input'!$A$2:$A$201,'Innovation Project Input'!$N$2:$N$201,NumberOfTeams+1,0,))</f>
        <v/>
      </c>
      <c r="L58" s="69" t="str">
        <f t="array" ref="L58">IF('Results and Rankings'!$A58="","",XLOOKUP('Results and Rankings'!$A58,'Robot Design Input'!$A$2:$A$201,'Robot Design Input'!$N$2:$N$201,NumberOfTeams+1,0,))</f>
        <v/>
      </c>
      <c r="M58" s="69" t="str">
        <f> IF('Results and Rankings'!$A58="","",IF('Results and Rankings'!$J58="",NumberOfTeams+1,'Results and Rankings'!$J58) + IF('Results and Rankings'!$K58="",NumberOfTeams+1,'Results and Rankings'!$K58) + IF('Results and Rankings'!$L58="",NumberOfTeams+1,'Results and Rankings'!$L58) + 'Results and Rankings'!$I58)</f>
        <v/>
      </c>
      <c r="N58" s="70" t="str">
        <f>IF('Results and Rankings'!$A58="","",IF(M58,RANK(M58,M$3:M$202,1)-COUNTIF(M$3:M$202,0),NumberOfTeams+1))</f>
        <v/>
      </c>
      <c r="O58" s="71" t="str">
        <f t="array" ref="O58">XLOOKUP('Results and Rankings'!$A58,'Core Values Input'!$A$2:$A$201,'Core Values Input'!$W$2:$W$201,0,0,)</f>
        <v>#VALUE!</v>
      </c>
      <c r="P58" s="71" t="str">
        <f t="array" ref="P58">XLOOKUP('Results and Rankings'!$A58,'Core Values Input'!$A$2:$A$201,'Core Values Input'!$X$2:$X$201,0,0,)</f>
        <v>#VALUE!</v>
      </c>
      <c r="Q58" s="71" t="str">
        <f t="array" ref="Q58">XLOOKUP('Results and Rankings'!$A58,'Core Values Input'!$A$2:$A$201,'Core Values Input'!$Y$2:$Y$201,0,0,)</f>
        <v>#VALUE!</v>
      </c>
      <c r="R58" s="38"/>
      <c r="S58" s="38"/>
      <c r="T58" s="72"/>
      <c r="U58" s="69" t="str">
        <f t="array" ref="U58">XLOOKUP('Results and Rankings'!$A58,'Core Values Input'!$A$2:$A$201,'Core Values Input'!$U$2:$U$201,0,0,)</f>
        <v>#VALUE!</v>
      </c>
      <c r="V58" s="69" t="str">
        <f t="array" ref="V58">XLOOKUP('Results and Rankings'!$A58,'Innovation Project Input'!$A$2:$A$201,'Innovation Project Input'!$M$2:$M$201,0,0,)</f>
        <v>#VALUE!</v>
      </c>
      <c r="W58" s="69" t="str">
        <f t="array" ref="W58">XLOOKUP('Results and Rankings'!$A58,'Robot Design Input'!$A$2:$A$201,'Robot Design Input'!$M$2:$M$201,0,0,)</f>
        <v>#VALUE!</v>
      </c>
      <c r="X58" s="73">
        <f>IF(ISERR(GEOMEAN('Results and Rankings'!$H58,'Results and Rankings'!$U58,'Results and Rankings'!$V58,'Results and Rankings'!$W58)),0,GEOMEAN('Results and Rankings'!$H58,'Results and Rankings'!$U58,'Results and Rankings'!$V58,'Results and Rankings'!$W58))</f>
        <v>0</v>
      </c>
      <c r="Y58" s="74">
        <f>IF(X58,_xlfn.RANK.EQ(X58,X$3:X$110,0),NumberOfTeams)</f>
        <v>0</v>
      </c>
      <c r="Z58" s="38"/>
    </row>
    <row r="59" ht="21.0" customHeight="1">
      <c r="A59" s="67" t="str">
        <f t="array" ref="A59">XLOOKUP(57,'Team and Program Information'!$B$3:$B$202,'Team and Program Information'!$C$3:$C$202,"ERROR",0)</f>
        <v/>
      </c>
      <c r="B59" s="68" t="str">
        <f t="array" ref="B59">XLOOKUP('Results and Rankings'!$A59,'Team and Program Information'!$C$3:$C$202,'Team and Program Information'!$D$3:$D$202,"",0,)</f>
        <v>#VALUE!</v>
      </c>
      <c r="C59" s="69" t="str">
        <f t="array" ref="C59">IF('Results and Rankings'!$A59="","",XLOOKUP('Results and Rankings'!$A59,'Robot Game Scores'!$B$2:$B$201,'Robot Game Scores'!$D$2:$D$201,0,0,))</f>
        <v/>
      </c>
      <c r="D59" s="69" t="str">
        <f t="array" ref="D59">IF('Results and Rankings'!$A59="","",XLOOKUP('Results and Rankings'!$A59,'Robot Game Scores'!$B$2:$B$201,'Robot Game Scores'!$E$2:$E$201,0,0,))</f>
        <v/>
      </c>
      <c r="E59" s="69" t="str">
        <f t="array" ref="E59">IF('Results and Rankings'!$A59="","",XLOOKUP('Results and Rankings'!$A59,'Robot Game Scores'!$B$2:$B$201,'Robot Game Scores'!$F$2:$F$201,0,0,))</f>
        <v/>
      </c>
      <c r="F59" s="69" t="str">
        <f t="array" ref="F59">IF('Results and Rankings'!$A59="","",XLOOKUP('Results and Rankings'!$A59,'Robot Game Scores'!$B$2:$B$201,'Robot Game Scores'!$G$2:$G$201,0,0,))</f>
        <v/>
      </c>
      <c r="G59" s="69" t="str">
        <f t="array" ref="G59">IF('Results and Rankings'!$A59="","",XLOOKUP('Results and Rankings'!$A59,'Robot Game Scores'!$B$2:$B$201,'Robot Game Scores'!$H$2:$H$201,0,0,))</f>
        <v/>
      </c>
      <c r="H59" s="69" t="str">
        <f>IF('Results and Rankings'!$A59="","",IF(ISNA(LARGE('Results and Rankings'!$C59:$G59,1)+0.0001*LARGE('Results and Rankings'!$C59:$G59,2)+0.0000001*LARGE('Results and Rankings'!$C59:$G59,3)+1E-11*LARGE('Results and Rankings'!$C59:$G59,4)+1E-14*LARGE('Results and Rankings'!$C59:$G59,5)),0,LARGE('Results and Rankings'!$C59:$G59,1)+0.0001*LARGE('Results and Rankings'!$C59:$G59,2)+0.0000001*LARGE('Results and Rankings'!$C59:$G59,3)+1E-11*LARGE('Results and Rankings'!$C59:$G59,4)+1E-14*LARGE('Results and Rankings'!$C59:$G59,5)))</f>
        <v/>
      </c>
      <c r="I59" s="69" t="str">
        <f>IF('Results and Rankings'!$A59="","",_xlfn.RANK.EQ('Results and Rankings'!$H59,'Results and Rankings'!$H$3:$H$202))</f>
        <v/>
      </c>
      <c r="J59" s="69" t="str">
        <f t="array" ref="J59">IF('Results and Rankings'!$A59="","",XLOOKUP('Results and Rankings'!$A59,'Core Values Input'!$A$2:$A$201,'Core Values Input'!$V$2:$V$201,NumberOfTeams+1,0,))</f>
        <v/>
      </c>
      <c r="K59" s="69" t="str">
        <f t="array" ref="K59">IF('Results and Rankings'!$A59="","",XLOOKUP('Results and Rankings'!$A59,'Innovation Project Input'!$A$2:$A$201,'Innovation Project Input'!$N$2:$N$201,NumberOfTeams+1,0,))</f>
        <v/>
      </c>
      <c r="L59" s="69" t="str">
        <f t="array" ref="L59">IF('Results and Rankings'!$A59="","",XLOOKUP('Results and Rankings'!$A59,'Robot Design Input'!$A$2:$A$201,'Robot Design Input'!$N$2:$N$201,NumberOfTeams+1,0,))</f>
        <v/>
      </c>
      <c r="M59" s="69" t="str">
        <f> IF('Results and Rankings'!$A59="","",IF('Results and Rankings'!$J59="",NumberOfTeams+1,'Results and Rankings'!$J59) + IF('Results and Rankings'!$K59="",NumberOfTeams+1,'Results and Rankings'!$K59) + IF('Results and Rankings'!$L59="",NumberOfTeams+1,'Results and Rankings'!$L59) + 'Results and Rankings'!$I59)</f>
        <v/>
      </c>
      <c r="N59" s="70" t="str">
        <f>IF('Results and Rankings'!$A59="","",IF(M59,RANK(M59,M$3:M$202,1)-COUNTIF(M$3:M$202,0),NumberOfTeams+1))</f>
        <v/>
      </c>
      <c r="O59" s="71" t="str">
        <f t="array" ref="O59">XLOOKUP('Results and Rankings'!$A59,'Core Values Input'!$A$2:$A$201,'Core Values Input'!$W$2:$W$201,0,0,)</f>
        <v>#VALUE!</v>
      </c>
      <c r="P59" s="71" t="str">
        <f t="array" ref="P59">XLOOKUP('Results and Rankings'!$A59,'Core Values Input'!$A$2:$A$201,'Core Values Input'!$X$2:$X$201,0,0,)</f>
        <v>#VALUE!</v>
      </c>
      <c r="Q59" s="71" t="str">
        <f t="array" ref="Q59">XLOOKUP('Results and Rankings'!$A59,'Core Values Input'!$A$2:$A$201,'Core Values Input'!$Y$2:$Y$201,0,0,)</f>
        <v>#VALUE!</v>
      </c>
      <c r="R59" s="38"/>
      <c r="S59" s="38"/>
      <c r="T59" s="72"/>
      <c r="U59" s="69" t="str">
        <f t="array" ref="U59">XLOOKUP('Results and Rankings'!$A59,'Core Values Input'!$A$2:$A$201,'Core Values Input'!$U$2:$U$201,0,0,)</f>
        <v>#VALUE!</v>
      </c>
      <c r="V59" s="69" t="str">
        <f t="array" ref="V59">XLOOKUP('Results and Rankings'!$A59,'Innovation Project Input'!$A$2:$A$201,'Innovation Project Input'!$M$2:$M$201,0,0,)</f>
        <v>#VALUE!</v>
      </c>
      <c r="W59" s="69" t="str">
        <f t="array" ref="W59">XLOOKUP('Results and Rankings'!$A59,'Robot Design Input'!$A$2:$A$201,'Robot Design Input'!$M$2:$M$201,0,0,)</f>
        <v>#VALUE!</v>
      </c>
      <c r="X59" s="73">
        <f>IF(ISERR(GEOMEAN('Results and Rankings'!$H59,'Results and Rankings'!$U59,'Results and Rankings'!$V59,'Results and Rankings'!$W59)),0,GEOMEAN('Results and Rankings'!$H59,'Results and Rankings'!$U59,'Results and Rankings'!$V59,'Results and Rankings'!$W59))</f>
        <v>0</v>
      </c>
      <c r="Y59" s="74">
        <f>IF(X59,_xlfn.RANK.EQ(X59,X$3:X$110,0),NumberOfTeams)</f>
        <v>0</v>
      </c>
      <c r="Z59" s="38"/>
    </row>
    <row r="60" ht="21.0" customHeight="1">
      <c r="A60" s="67" t="str">
        <f t="array" ref="A60">XLOOKUP(58,'Team and Program Information'!$B$3:$B$202,'Team and Program Information'!$C$3:$C$202,"ERROR",0)</f>
        <v/>
      </c>
      <c r="B60" s="68" t="str">
        <f t="array" ref="B60">XLOOKUP('Results and Rankings'!$A60,'Team and Program Information'!$C$3:$C$202,'Team and Program Information'!$D$3:$D$202,"",0,)</f>
        <v>#VALUE!</v>
      </c>
      <c r="C60" s="69" t="str">
        <f t="array" ref="C60">IF('Results and Rankings'!$A60="","",XLOOKUP('Results and Rankings'!$A60,'Robot Game Scores'!$B$2:$B$201,'Robot Game Scores'!$D$2:$D$201,0,0,))</f>
        <v/>
      </c>
      <c r="D60" s="69" t="str">
        <f t="array" ref="D60">IF('Results and Rankings'!$A60="","",XLOOKUP('Results and Rankings'!$A60,'Robot Game Scores'!$B$2:$B$201,'Robot Game Scores'!$E$2:$E$201,0,0,))</f>
        <v/>
      </c>
      <c r="E60" s="69" t="str">
        <f t="array" ref="E60">IF('Results and Rankings'!$A60="","",XLOOKUP('Results and Rankings'!$A60,'Robot Game Scores'!$B$2:$B$201,'Robot Game Scores'!$F$2:$F$201,0,0,))</f>
        <v/>
      </c>
      <c r="F60" s="69" t="str">
        <f t="array" ref="F60">IF('Results and Rankings'!$A60="","",XLOOKUP('Results and Rankings'!$A60,'Robot Game Scores'!$B$2:$B$201,'Robot Game Scores'!$G$2:$G$201,0,0,))</f>
        <v/>
      </c>
      <c r="G60" s="69" t="str">
        <f t="array" ref="G60">IF('Results and Rankings'!$A60="","",XLOOKUP('Results and Rankings'!$A60,'Robot Game Scores'!$B$2:$B$201,'Robot Game Scores'!$H$2:$H$201,0,0,))</f>
        <v/>
      </c>
      <c r="H60" s="69" t="str">
        <f>IF('Results and Rankings'!$A60="","",IF(ISNA(LARGE('Results and Rankings'!$C60:$G60,1)+0.0001*LARGE('Results and Rankings'!$C60:$G60,2)+0.0000001*LARGE('Results and Rankings'!$C60:$G60,3)+1E-11*LARGE('Results and Rankings'!$C60:$G60,4)+1E-14*LARGE('Results and Rankings'!$C60:$G60,5)),0,LARGE('Results and Rankings'!$C60:$G60,1)+0.0001*LARGE('Results and Rankings'!$C60:$G60,2)+0.0000001*LARGE('Results and Rankings'!$C60:$G60,3)+1E-11*LARGE('Results and Rankings'!$C60:$G60,4)+1E-14*LARGE('Results and Rankings'!$C60:$G60,5)))</f>
        <v/>
      </c>
      <c r="I60" s="69" t="str">
        <f>IF('Results and Rankings'!$A60="","",_xlfn.RANK.EQ('Results and Rankings'!$H60,'Results and Rankings'!$H$3:$H$202))</f>
        <v/>
      </c>
      <c r="J60" s="69" t="str">
        <f t="array" ref="J60">IF('Results and Rankings'!$A60="","",XLOOKUP('Results and Rankings'!$A60,'Core Values Input'!$A$2:$A$201,'Core Values Input'!$V$2:$V$201,NumberOfTeams+1,0,))</f>
        <v/>
      </c>
      <c r="K60" s="69" t="str">
        <f t="array" ref="K60">IF('Results and Rankings'!$A60="","",XLOOKUP('Results and Rankings'!$A60,'Innovation Project Input'!$A$2:$A$201,'Innovation Project Input'!$N$2:$N$201,NumberOfTeams+1,0,))</f>
        <v/>
      </c>
      <c r="L60" s="69" t="str">
        <f t="array" ref="L60">IF('Results and Rankings'!$A60="","",XLOOKUP('Results and Rankings'!$A60,'Robot Design Input'!$A$2:$A$201,'Robot Design Input'!$N$2:$N$201,NumberOfTeams+1,0,))</f>
        <v/>
      </c>
      <c r="M60" s="69" t="str">
        <f> IF('Results and Rankings'!$A60="","",IF('Results and Rankings'!$J60="",NumberOfTeams+1,'Results and Rankings'!$J60) + IF('Results and Rankings'!$K60="",NumberOfTeams+1,'Results and Rankings'!$K60) + IF('Results and Rankings'!$L60="",NumberOfTeams+1,'Results and Rankings'!$L60) + 'Results and Rankings'!$I60)</f>
        <v/>
      </c>
      <c r="N60" s="70" t="str">
        <f>IF('Results and Rankings'!$A60="","",IF(M60,RANK(M60,M$3:M$202,1)-COUNTIF(M$3:M$202,0),NumberOfTeams+1))</f>
        <v/>
      </c>
      <c r="O60" s="71" t="str">
        <f t="array" ref="O60">XLOOKUP('Results and Rankings'!$A60,'Core Values Input'!$A$2:$A$201,'Core Values Input'!$W$2:$W$201,0,0,)</f>
        <v>#VALUE!</v>
      </c>
      <c r="P60" s="71" t="str">
        <f t="array" ref="P60">XLOOKUP('Results and Rankings'!$A60,'Core Values Input'!$A$2:$A$201,'Core Values Input'!$X$2:$X$201,0,0,)</f>
        <v>#VALUE!</v>
      </c>
      <c r="Q60" s="71" t="str">
        <f t="array" ref="Q60">XLOOKUP('Results and Rankings'!$A60,'Core Values Input'!$A$2:$A$201,'Core Values Input'!$Y$2:$Y$201,0,0,)</f>
        <v>#VALUE!</v>
      </c>
      <c r="R60" s="38"/>
      <c r="S60" s="38"/>
      <c r="T60" s="72"/>
      <c r="U60" s="69" t="str">
        <f t="array" ref="U60">XLOOKUP('Results and Rankings'!$A60,'Core Values Input'!$A$2:$A$201,'Core Values Input'!$U$2:$U$201,0,0,)</f>
        <v>#VALUE!</v>
      </c>
      <c r="V60" s="69" t="str">
        <f t="array" ref="V60">XLOOKUP('Results and Rankings'!$A60,'Innovation Project Input'!$A$2:$A$201,'Innovation Project Input'!$M$2:$M$201,0,0,)</f>
        <v>#VALUE!</v>
      </c>
      <c r="W60" s="69" t="str">
        <f t="array" ref="W60">XLOOKUP('Results and Rankings'!$A60,'Robot Design Input'!$A$2:$A$201,'Robot Design Input'!$M$2:$M$201,0,0,)</f>
        <v>#VALUE!</v>
      </c>
      <c r="X60" s="73">
        <f>IF(ISERR(GEOMEAN('Results and Rankings'!$H60,'Results and Rankings'!$U60,'Results and Rankings'!$V60,'Results and Rankings'!$W60)),0,GEOMEAN('Results and Rankings'!$H60,'Results and Rankings'!$U60,'Results and Rankings'!$V60,'Results and Rankings'!$W60))</f>
        <v>0</v>
      </c>
      <c r="Y60" s="74">
        <f>IF(X60,_xlfn.RANK.EQ(X60,X$3:X$110,0),NumberOfTeams)</f>
        <v>0</v>
      </c>
      <c r="Z60" s="38"/>
    </row>
    <row r="61" ht="21.0" customHeight="1">
      <c r="A61" s="67" t="str">
        <f t="array" ref="A61">XLOOKUP(59,'Team and Program Information'!$B$3:$B$202,'Team and Program Information'!$C$3:$C$202,"ERROR",0)</f>
        <v/>
      </c>
      <c r="B61" s="68" t="str">
        <f t="array" ref="B61">XLOOKUP('Results and Rankings'!$A61,'Team and Program Information'!$C$3:$C$202,'Team and Program Information'!$D$3:$D$202,"",0,)</f>
        <v>#VALUE!</v>
      </c>
      <c r="C61" s="69" t="str">
        <f t="array" ref="C61">IF('Results and Rankings'!$A61="","",XLOOKUP('Results and Rankings'!$A61,'Robot Game Scores'!$B$2:$B$201,'Robot Game Scores'!$D$2:$D$201,0,0,))</f>
        <v/>
      </c>
      <c r="D61" s="69" t="str">
        <f t="array" ref="D61">IF('Results and Rankings'!$A61="","",XLOOKUP('Results and Rankings'!$A61,'Robot Game Scores'!$B$2:$B$201,'Robot Game Scores'!$E$2:$E$201,0,0,))</f>
        <v/>
      </c>
      <c r="E61" s="69" t="str">
        <f t="array" ref="E61">IF('Results and Rankings'!$A61="","",XLOOKUP('Results and Rankings'!$A61,'Robot Game Scores'!$B$2:$B$201,'Robot Game Scores'!$F$2:$F$201,0,0,))</f>
        <v/>
      </c>
      <c r="F61" s="69" t="str">
        <f t="array" ref="F61">IF('Results and Rankings'!$A61="","",XLOOKUP('Results and Rankings'!$A61,'Robot Game Scores'!$B$2:$B$201,'Robot Game Scores'!$G$2:$G$201,0,0,))</f>
        <v/>
      </c>
      <c r="G61" s="69" t="str">
        <f t="array" ref="G61">IF('Results and Rankings'!$A61="","",XLOOKUP('Results and Rankings'!$A61,'Robot Game Scores'!$B$2:$B$201,'Robot Game Scores'!$H$2:$H$201,0,0,))</f>
        <v/>
      </c>
      <c r="H61" s="69" t="str">
        <f>IF('Results and Rankings'!$A61="","",IF(ISNA(LARGE('Results and Rankings'!$C61:$G61,1)+0.0001*LARGE('Results and Rankings'!$C61:$G61,2)+0.0000001*LARGE('Results and Rankings'!$C61:$G61,3)+1E-11*LARGE('Results and Rankings'!$C61:$G61,4)+1E-14*LARGE('Results and Rankings'!$C61:$G61,5)),0,LARGE('Results and Rankings'!$C61:$G61,1)+0.0001*LARGE('Results and Rankings'!$C61:$G61,2)+0.0000001*LARGE('Results and Rankings'!$C61:$G61,3)+1E-11*LARGE('Results and Rankings'!$C61:$G61,4)+1E-14*LARGE('Results and Rankings'!$C61:$G61,5)))</f>
        <v/>
      </c>
      <c r="I61" s="69" t="str">
        <f>IF('Results and Rankings'!$A61="","",_xlfn.RANK.EQ('Results and Rankings'!$H61,'Results and Rankings'!$H$3:$H$202))</f>
        <v/>
      </c>
      <c r="J61" s="69" t="str">
        <f t="array" ref="J61">IF('Results and Rankings'!$A61="","",XLOOKUP('Results and Rankings'!$A61,'Core Values Input'!$A$2:$A$201,'Core Values Input'!$V$2:$V$201,NumberOfTeams+1,0,))</f>
        <v/>
      </c>
      <c r="K61" s="69" t="str">
        <f t="array" ref="K61">IF('Results and Rankings'!$A61="","",XLOOKUP('Results and Rankings'!$A61,'Innovation Project Input'!$A$2:$A$201,'Innovation Project Input'!$N$2:$N$201,NumberOfTeams+1,0,))</f>
        <v/>
      </c>
      <c r="L61" s="69" t="str">
        <f t="array" ref="L61">IF('Results and Rankings'!$A61="","",XLOOKUP('Results and Rankings'!$A61,'Robot Design Input'!$A$2:$A$201,'Robot Design Input'!$N$2:$N$201,NumberOfTeams+1,0,))</f>
        <v/>
      </c>
      <c r="M61" s="69" t="str">
        <f> IF('Results and Rankings'!$A61="","",IF('Results and Rankings'!$J61="",NumberOfTeams+1,'Results and Rankings'!$J61) + IF('Results and Rankings'!$K61="",NumberOfTeams+1,'Results and Rankings'!$K61) + IF('Results and Rankings'!$L61="",NumberOfTeams+1,'Results and Rankings'!$L61) + 'Results and Rankings'!$I61)</f>
        <v/>
      </c>
      <c r="N61" s="70" t="str">
        <f>IF('Results and Rankings'!$A61="","",IF(M61,RANK(M61,M$3:M$202,1)-COUNTIF(M$3:M$202,0),NumberOfTeams+1))</f>
        <v/>
      </c>
      <c r="O61" s="71" t="str">
        <f t="array" ref="O61">XLOOKUP('Results and Rankings'!$A61,'Core Values Input'!$A$2:$A$201,'Core Values Input'!$W$2:$W$201,0,0,)</f>
        <v>#VALUE!</v>
      </c>
      <c r="P61" s="71" t="str">
        <f t="array" ref="P61">XLOOKUP('Results and Rankings'!$A61,'Core Values Input'!$A$2:$A$201,'Core Values Input'!$X$2:$X$201,0,0,)</f>
        <v>#VALUE!</v>
      </c>
      <c r="Q61" s="71" t="str">
        <f t="array" ref="Q61">XLOOKUP('Results and Rankings'!$A61,'Core Values Input'!$A$2:$A$201,'Core Values Input'!$Y$2:$Y$201,0,0,)</f>
        <v>#VALUE!</v>
      </c>
      <c r="R61" s="38"/>
      <c r="S61" s="38"/>
      <c r="T61" s="72"/>
      <c r="U61" s="69" t="str">
        <f t="array" ref="U61">XLOOKUP('Results and Rankings'!$A61,'Core Values Input'!$A$2:$A$201,'Core Values Input'!$U$2:$U$201,0,0,)</f>
        <v>#VALUE!</v>
      </c>
      <c r="V61" s="69" t="str">
        <f t="array" ref="V61">XLOOKUP('Results and Rankings'!$A61,'Innovation Project Input'!$A$2:$A$201,'Innovation Project Input'!$M$2:$M$201,0,0,)</f>
        <v>#VALUE!</v>
      </c>
      <c r="W61" s="69" t="str">
        <f t="array" ref="W61">XLOOKUP('Results and Rankings'!$A61,'Robot Design Input'!$A$2:$A$201,'Robot Design Input'!$M$2:$M$201,0,0,)</f>
        <v>#VALUE!</v>
      </c>
      <c r="X61" s="73">
        <f>IF(ISERR(GEOMEAN('Results and Rankings'!$H61,'Results and Rankings'!$U61,'Results and Rankings'!$V61,'Results and Rankings'!$W61)),0,GEOMEAN('Results and Rankings'!$H61,'Results and Rankings'!$U61,'Results and Rankings'!$V61,'Results and Rankings'!$W61))</f>
        <v>0</v>
      </c>
      <c r="Y61" s="74">
        <f>IF(X61,_xlfn.RANK.EQ(X61,X$3:X$110,0),NumberOfTeams)</f>
        <v>0</v>
      </c>
      <c r="Z61" s="38"/>
    </row>
    <row r="62" ht="21.0" customHeight="1">
      <c r="A62" s="67" t="str">
        <f t="array" ref="A62">XLOOKUP(60,'Team and Program Information'!$B$3:$B$202,'Team and Program Information'!$C$3:$C$202,"ERROR",0)</f>
        <v/>
      </c>
      <c r="B62" s="68" t="str">
        <f t="array" ref="B62">XLOOKUP('Results and Rankings'!$A62,'Team and Program Information'!$C$3:$C$202,'Team and Program Information'!$D$3:$D$202,"",0,)</f>
        <v>#VALUE!</v>
      </c>
      <c r="C62" s="69" t="str">
        <f t="array" ref="C62">IF('Results and Rankings'!$A62="","",XLOOKUP('Results and Rankings'!$A62,'Robot Game Scores'!$B$2:$B$201,'Robot Game Scores'!$D$2:$D$201,0,0,))</f>
        <v/>
      </c>
      <c r="D62" s="69" t="str">
        <f t="array" ref="D62">IF('Results and Rankings'!$A62="","",XLOOKUP('Results and Rankings'!$A62,'Robot Game Scores'!$B$2:$B$201,'Robot Game Scores'!$E$2:$E$201,0,0,))</f>
        <v/>
      </c>
      <c r="E62" s="69" t="str">
        <f t="array" ref="E62">IF('Results and Rankings'!$A62="","",XLOOKUP('Results and Rankings'!$A62,'Robot Game Scores'!$B$2:$B$201,'Robot Game Scores'!$F$2:$F$201,0,0,))</f>
        <v/>
      </c>
      <c r="F62" s="69" t="str">
        <f t="array" ref="F62">IF('Results and Rankings'!$A62="","",XLOOKUP('Results and Rankings'!$A62,'Robot Game Scores'!$B$2:$B$201,'Robot Game Scores'!$G$2:$G$201,0,0,))</f>
        <v/>
      </c>
      <c r="G62" s="69" t="str">
        <f t="array" ref="G62">IF('Results and Rankings'!$A62="","",XLOOKUP('Results and Rankings'!$A62,'Robot Game Scores'!$B$2:$B$201,'Robot Game Scores'!$H$2:$H$201,0,0,))</f>
        <v/>
      </c>
      <c r="H62" s="69" t="str">
        <f>IF('Results and Rankings'!$A62="","",IF(ISNA(LARGE('Results and Rankings'!$C62:$G62,1)+0.0001*LARGE('Results and Rankings'!$C62:$G62,2)+0.0000001*LARGE('Results and Rankings'!$C62:$G62,3)+1E-11*LARGE('Results and Rankings'!$C62:$G62,4)+1E-14*LARGE('Results and Rankings'!$C62:$G62,5)),0,LARGE('Results and Rankings'!$C62:$G62,1)+0.0001*LARGE('Results and Rankings'!$C62:$G62,2)+0.0000001*LARGE('Results and Rankings'!$C62:$G62,3)+1E-11*LARGE('Results and Rankings'!$C62:$G62,4)+1E-14*LARGE('Results and Rankings'!$C62:$G62,5)))</f>
        <v/>
      </c>
      <c r="I62" s="69" t="str">
        <f>IF('Results and Rankings'!$A62="","",_xlfn.RANK.EQ('Results and Rankings'!$H62,'Results and Rankings'!$H$3:$H$202))</f>
        <v/>
      </c>
      <c r="J62" s="69" t="str">
        <f t="array" ref="J62">IF('Results and Rankings'!$A62="","",XLOOKUP('Results and Rankings'!$A62,'Core Values Input'!$A$2:$A$201,'Core Values Input'!$V$2:$V$201,NumberOfTeams+1,0,))</f>
        <v/>
      </c>
      <c r="K62" s="69" t="str">
        <f t="array" ref="K62">IF('Results and Rankings'!$A62="","",XLOOKUP('Results and Rankings'!$A62,'Innovation Project Input'!$A$2:$A$201,'Innovation Project Input'!$N$2:$N$201,NumberOfTeams+1,0,))</f>
        <v/>
      </c>
      <c r="L62" s="69" t="str">
        <f t="array" ref="L62">IF('Results and Rankings'!$A62="","",XLOOKUP('Results and Rankings'!$A62,'Robot Design Input'!$A$2:$A$201,'Robot Design Input'!$N$2:$N$201,NumberOfTeams+1,0,))</f>
        <v/>
      </c>
      <c r="M62" s="69" t="str">
        <f> IF('Results and Rankings'!$A62="","",IF('Results and Rankings'!$J62="",NumberOfTeams+1,'Results and Rankings'!$J62) + IF('Results and Rankings'!$K62="",NumberOfTeams+1,'Results and Rankings'!$K62) + IF('Results and Rankings'!$L62="",NumberOfTeams+1,'Results and Rankings'!$L62) + 'Results and Rankings'!$I62)</f>
        <v/>
      </c>
      <c r="N62" s="70" t="str">
        <f>IF('Results and Rankings'!$A62="","",IF(M62,RANK(M62,M$3:M$202,1)-COUNTIF(M$3:M$202,0),NumberOfTeams+1))</f>
        <v/>
      </c>
      <c r="O62" s="71" t="str">
        <f t="array" ref="O62">XLOOKUP('Results and Rankings'!$A62,'Core Values Input'!$A$2:$A$201,'Core Values Input'!$W$2:$W$201,0,0,)</f>
        <v>#VALUE!</v>
      </c>
      <c r="P62" s="71" t="str">
        <f t="array" ref="P62">XLOOKUP('Results and Rankings'!$A62,'Core Values Input'!$A$2:$A$201,'Core Values Input'!$X$2:$X$201,0,0,)</f>
        <v>#VALUE!</v>
      </c>
      <c r="Q62" s="71" t="str">
        <f t="array" ref="Q62">XLOOKUP('Results and Rankings'!$A62,'Core Values Input'!$A$2:$A$201,'Core Values Input'!$Y$2:$Y$201,0,0,)</f>
        <v>#VALUE!</v>
      </c>
      <c r="R62" s="38"/>
      <c r="S62" s="38"/>
      <c r="T62" s="72"/>
      <c r="U62" s="69" t="str">
        <f t="array" ref="U62">XLOOKUP('Results and Rankings'!$A62,'Core Values Input'!$A$2:$A$201,'Core Values Input'!$U$2:$U$201,0,0,)</f>
        <v>#VALUE!</v>
      </c>
      <c r="V62" s="69" t="str">
        <f t="array" ref="V62">XLOOKUP('Results and Rankings'!$A62,'Innovation Project Input'!$A$2:$A$201,'Innovation Project Input'!$M$2:$M$201,0,0,)</f>
        <v>#VALUE!</v>
      </c>
      <c r="W62" s="69" t="str">
        <f t="array" ref="W62">XLOOKUP('Results and Rankings'!$A62,'Robot Design Input'!$A$2:$A$201,'Robot Design Input'!$M$2:$M$201,0,0,)</f>
        <v>#VALUE!</v>
      </c>
      <c r="X62" s="73">
        <f>IF(ISERR(GEOMEAN('Results and Rankings'!$H62,'Results and Rankings'!$U62,'Results and Rankings'!$V62,'Results and Rankings'!$W62)),0,GEOMEAN('Results and Rankings'!$H62,'Results and Rankings'!$U62,'Results and Rankings'!$V62,'Results and Rankings'!$W62))</f>
        <v>0</v>
      </c>
      <c r="Y62" s="74">
        <f>IF(X62,_xlfn.RANK.EQ(X62,X$3:X$110,0),NumberOfTeams)</f>
        <v>0</v>
      </c>
      <c r="Z62" s="38"/>
    </row>
    <row r="63" ht="21.0" customHeight="1">
      <c r="A63" s="67" t="str">
        <f t="array" ref="A63">XLOOKUP(61,'Team and Program Information'!$B$3:$B$202,'Team and Program Information'!$C$3:$C$202,"ERROR",0)</f>
        <v/>
      </c>
      <c r="B63" s="68" t="str">
        <f t="array" ref="B63">XLOOKUP('Results and Rankings'!$A63,'Team and Program Information'!$C$3:$C$202,'Team and Program Information'!$D$3:$D$202,"",0,)</f>
        <v>#VALUE!</v>
      </c>
      <c r="C63" s="69" t="str">
        <f t="array" ref="C63">IF('Results and Rankings'!$A63="","",XLOOKUP('Results and Rankings'!$A63,'Robot Game Scores'!$B$2:$B$201,'Robot Game Scores'!$D$2:$D$201,0,0,))</f>
        <v/>
      </c>
      <c r="D63" s="69" t="str">
        <f t="array" ref="D63">IF('Results and Rankings'!$A63="","",XLOOKUP('Results and Rankings'!$A63,'Robot Game Scores'!$B$2:$B$201,'Robot Game Scores'!$E$2:$E$201,0,0,))</f>
        <v/>
      </c>
      <c r="E63" s="69" t="str">
        <f t="array" ref="E63">IF('Results and Rankings'!$A63="","",XLOOKUP('Results and Rankings'!$A63,'Robot Game Scores'!$B$2:$B$201,'Robot Game Scores'!$F$2:$F$201,0,0,))</f>
        <v/>
      </c>
      <c r="F63" s="69" t="str">
        <f t="array" ref="F63">IF('Results and Rankings'!$A63="","",XLOOKUP('Results and Rankings'!$A63,'Robot Game Scores'!$B$2:$B$201,'Robot Game Scores'!$G$2:$G$201,0,0,))</f>
        <v/>
      </c>
      <c r="G63" s="69" t="str">
        <f t="array" ref="G63">IF('Results and Rankings'!$A63="","",XLOOKUP('Results and Rankings'!$A63,'Robot Game Scores'!$B$2:$B$201,'Robot Game Scores'!$H$2:$H$201,0,0,))</f>
        <v/>
      </c>
      <c r="H63" s="69" t="str">
        <f>IF('Results and Rankings'!$A63="","",IF(ISNA(LARGE('Results and Rankings'!$C63:$G63,1)+0.0001*LARGE('Results and Rankings'!$C63:$G63,2)+0.0000001*LARGE('Results and Rankings'!$C63:$G63,3)+1E-11*LARGE('Results and Rankings'!$C63:$G63,4)+1E-14*LARGE('Results and Rankings'!$C63:$G63,5)),0,LARGE('Results and Rankings'!$C63:$G63,1)+0.0001*LARGE('Results and Rankings'!$C63:$G63,2)+0.0000001*LARGE('Results and Rankings'!$C63:$G63,3)+1E-11*LARGE('Results and Rankings'!$C63:$G63,4)+1E-14*LARGE('Results and Rankings'!$C63:$G63,5)))</f>
        <v/>
      </c>
      <c r="I63" s="69" t="str">
        <f>IF('Results and Rankings'!$A63="","",_xlfn.RANK.EQ('Results and Rankings'!$H63,'Results and Rankings'!$H$3:$H$202))</f>
        <v/>
      </c>
      <c r="J63" s="69" t="str">
        <f t="array" ref="J63">IF('Results and Rankings'!$A63="","",XLOOKUP('Results and Rankings'!$A63,'Core Values Input'!$A$2:$A$201,'Core Values Input'!$V$2:$V$201,NumberOfTeams+1,0,))</f>
        <v/>
      </c>
      <c r="K63" s="69" t="str">
        <f t="array" ref="K63">IF('Results and Rankings'!$A63="","",XLOOKUP('Results and Rankings'!$A63,'Innovation Project Input'!$A$2:$A$201,'Innovation Project Input'!$N$2:$N$201,NumberOfTeams+1,0,))</f>
        <v/>
      </c>
      <c r="L63" s="69" t="str">
        <f t="array" ref="L63">IF('Results and Rankings'!$A63="","",XLOOKUP('Results and Rankings'!$A63,'Robot Design Input'!$A$2:$A$201,'Robot Design Input'!$N$2:$N$201,NumberOfTeams+1,0,))</f>
        <v/>
      </c>
      <c r="M63" s="69" t="str">
        <f> IF('Results and Rankings'!$A63="","",IF('Results and Rankings'!$J63="",NumberOfTeams+1,'Results and Rankings'!$J63) + IF('Results and Rankings'!$K63="",NumberOfTeams+1,'Results and Rankings'!$K63) + IF('Results and Rankings'!$L63="",NumberOfTeams+1,'Results and Rankings'!$L63) + 'Results and Rankings'!$I63)</f>
        <v/>
      </c>
      <c r="N63" s="70" t="str">
        <f>IF('Results and Rankings'!$A63="","",IF(M63,RANK(M63,M$3:M$202,1)-COUNTIF(M$3:M$202,0),NumberOfTeams+1))</f>
        <v/>
      </c>
      <c r="O63" s="72" t="str">
        <f t="array" ref="O63">XLOOKUP('Results and Rankings'!$A63,'Core Values Input'!$A$2:$A$201,'Core Values Input'!$W$2:$W$201,0,0,)</f>
        <v>#VALUE!</v>
      </c>
      <c r="P63" s="72" t="str">
        <f t="array" ref="P63">XLOOKUP('Results and Rankings'!$A63,'Core Values Input'!$A$2:$A$201,'Core Values Input'!$X$2:$X$201,0,0,)</f>
        <v>#VALUE!</v>
      </c>
      <c r="Q63" s="72" t="str">
        <f t="array" ref="Q63">XLOOKUP('Results and Rankings'!$A63,'Core Values Input'!$A$2:$A$201,'Core Values Input'!$Y$2:$Y$201,0,0,)</f>
        <v>#VALUE!</v>
      </c>
      <c r="R63" s="38"/>
      <c r="S63" s="38"/>
      <c r="T63" s="72"/>
      <c r="U63" s="69" t="str">
        <f t="array" ref="U63">XLOOKUP('Results and Rankings'!$A63,'Core Values Input'!$A$2:$A$201,'Core Values Input'!$U$2:$U$201,0,0,)</f>
        <v>#VALUE!</v>
      </c>
      <c r="V63" s="69" t="str">
        <f t="array" ref="V63">XLOOKUP('Results and Rankings'!$A63,'Innovation Project Input'!$A$2:$A$201,'Innovation Project Input'!$M$2:$M$201,0,0,)</f>
        <v>#VALUE!</v>
      </c>
      <c r="W63" s="69" t="str">
        <f t="array" ref="W63">XLOOKUP('Results and Rankings'!$A63,'Robot Design Input'!$A$2:$A$201,'Robot Design Input'!$M$2:$M$201,0,0,)</f>
        <v>#VALUE!</v>
      </c>
      <c r="X63" s="73">
        <f>IF(ISERR(GEOMEAN('Results and Rankings'!$H63,'Results and Rankings'!$U63,'Results and Rankings'!$V63,'Results and Rankings'!$W63)),0,GEOMEAN('Results and Rankings'!$H63,'Results and Rankings'!$U63,'Results and Rankings'!$V63,'Results and Rankings'!$W63))</f>
        <v>0</v>
      </c>
      <c r="Y63" s="74">
        <f>IF(X63,_xlfn.RANK.EQ(X63,X$3:X$110,0),NumberOfTeams)</f>
        <v>0</v>
      </c>
      <c r="Z63" s="38"/>
    </row>
    <row r="64" ht="21.0" customHeight="1">
      <c r="A64" s="67" t="str">
        <f t="array" ref="A64">XLOOKUP(62,'Team and Program Information'!$B$3:$B$202,'Team and Program Information'!$C$3:$C$202,"ERROR",0)</f>
        <v/>
      </c>
      <c r="B64" s="68" t="str">
        <f t="array" ref="B64">XLOOKUP('Results and Rankings'!$A64,'Team and Program Information'!$C$3:$C$202,'Team and Program Information'!$D$3:$D$202,"",0,)</f>
        <v>#VALUE!</v>
      </c>
      <c r="C64" s="69" t="str">
        <f t="array" ref="C64">IF('Results and Rankings'!$A64="","",XLOOKUP('Results and Rankings'!$A64,'Robot Game Scores'!$B$2:$B$201,'Robot Game Scores'!$D$2:$D$201,0,0,))</f>
        <v/>
      </c>
      <c r="D64" s="69" t="str">
        <f t="array" ref="D64">IF('Results and Rankings'!$A64="","",XLOOKUP('Results and Rankings'!$A64,'Robot Game Scores'!$B$2:$B$201,'Robot Game Scores'!$E$2:$E$201,0,0,))</f>
        <v/>
      </c>
      <c r="E64" s="69" t="str">
        <f t="array" ref="E64">IF('Results and Rankings'!$A64="","",XLOOKUP('Results and Rankings'!$A64,'Robot Game Scores'!$B$2:$B$201,'Robot Game Scores'!$F$2:$F$201,0,0,))</f>
        <v/>
      </c>
      <c r="F64" s="69" t="str">
        <f t="array" ref="F64">IF('Results and Rankings'!$A64="","",XLOOKUP('Results and Rankings'!$A64,'Robot Game Scores'!$B$2:$B$201,'Robot Game Scores'!$G$2:$G$201,0,0,))</f>
        <v/>
      </c>
      <c r="G64" s="69" t="str">
        <f t="array" ref="G64">IF('Results and Rankings'!$A64="","",XLOOKUP('Results and Rankings'!$A64,'Robot Game Scores'!$B$2:$B$201,'Robot Game Scores'!$H$2:$H$201,0,0,))</f>
        <v/>
      </c>
      <c r="H64" s="69" t="str">
        <f>IF('Results and Rankings'!$A64="","",IF(ISNA(LARGE('Results and Rankings'!$C64:$G64,1)+0.0001*LARGE('Results and Rankings'!$C64:$G64,2)+0.0000001*LARGE('Results and Rankings'!$C64:$G64,3)+1E-11*LARGE('Results and Rankings'!$C64:$G64,4)+1E-14*LARGE('Results and Rankings'!$C64:$G64,5)),0,LARGE('Results and Rankings'!$C64:$G64,1)+0.0001*LARGE('Results and Rankings'!$C64:$G64,2)+0.0000001*LARGE('Results and Rankings'!$C64:$G64,3)+1E-11*LARGE('Results and Rankings'!$C64:$G64,4)+1E-14*LARGE('Results and Rankings'!$C64:$G64,5)))</f>
        <v/>
      </c>
      <c r="I64" s="69" t="str">
        <f>IF('Results and Rankings'!$A64="","",_xlfn.RANK.EQ('Results and Rankings'!$H64,'Results and Rankings'!$H$3:$H$202))</f>
        <v/>
      </c>
      <c r="J64" s="69" t="str">
        <f t="array" ref="J64">IF('Results and Rankings'!$A64="","",XLOOKUP('Results and Rankings'!$A64,'Core Values Input'!$A$2:$A$201,'Core Values Input'!$V$2:$V$201,NumberOfTeams+1,0,))</f>
        <v/>
      </c>
      <c r="K64" s="69" t="str">
        <f t="array" ref="K64">IF('Results and Rankings'!$A64="","",XLOOKUP('Results and Rankings'!$A64,'Innovation Project Input'!$A$2:$A$201,'Innovation Project Input'!$N$2:$N$201,NumberOfTeams+1,0,))</f>
        <v/>
      </c>
      <c r="L64" s="69" t="str">
        <f t="array" ref="L64">IF('Results and Rankings'!$A64="","",XLOOKUP('Results and Rankings'!$A64,'Robot Design Input'!$A$2:$A$201,'Robot Design Input'!$N$2:$N$201,NumberOfTeams+1,0,))</f>
        <v/>
      </c>
      <c r="M64" s="69" t="str">
        <f> IF('Results and Rankings'!$A64="","",IF('Results and Rankings'!$J64="",NumberOfTeams+1,'Results and Rankings'!$J64) + IF('Results and Rankings'!$K64="",NumberOfTeams+1,'Results and Rankings'!$K64) + IF('Results and Rankings'!$L64="",NumberOfTeams+1,'Results and Rankings'!$L64) + 'Results and Rankings'!$I64)</f>
        <v/>
      </c>
      <c r="N64" s="70" t="str">
        <f>IF('Results and Rankings'!$A64="","",IF(M64,RANK(M64,M$3:M$202,1)-COUNTIF(M$3:M$202,0),NumberOfTeams+1))</f>
        <v/>
      </c>
      <c r="O64" s="72" t="str">
        <f t="array" ref="O64">XLOOKUP('Results and Rankings'!$A64,'Core Values Input'!$A$2:$A$201,'Core Values Input'!$W$2:$W$201,0,0,)</f>
        <v>#VALUE!</v>
      </c>
      <c r="P64" s="72" t="str">
        <f t="array" ref="P64">XLOOKUP('Results and Rankings'!$A64,'Core Values Input'!$A$2:$A$201,'Core Values Input'!$X$2:$X$201,0,0,)</f>
        <v>#VALUE!</v>
      </c>
      <c r="Q64" s="72" t="str">
        <f t="array" ref="Q64">XLOOKUP('Results and Rankings'!$A64,'Core Values Input'!$A$2:$A$201,'Core Values Input'!$Y$2:$Y$201,0,0,)</f>
        <v>#VALUE!</v>
      </c>
      <c r="R64" s="38"/>
      <c r="S64" s="38"/>
      <c r="T64" s="72"/>
      <c r="U64" s="69" t="str">
        <f t="array" ref="U64">XLOOKUP('Results and Rankings'!$A64,'Core Values Input'!$A$2:$A$201,'Core Values Input'!$U$2:$U$201,0,0,)</f>
        <v>#VALUE!</v>
      </c>
      <c r="V64" s="69" t="str">
        <f t="array" ref="V64">XLOOKUP('Results and Rankings'!$A64,'Innovation Project Input'!$A$2:$A$201,'Innovation Project Input'!$M$2:$M$201,0,0,)</f>
        <v>#VALUE!</v>
      </c>
      <c r="W64" s="69" t="str">
        <f t="array" ref="W64">XLOOKUP('Results and Rankings'!$A64,'Robot Design Input'!$A$2:$A$201,'Robot Design Input'!$M$2:$M$201,0,0,)</f>
        <v>#VALUE!</v>
      </c>
      <c r="X64" s="73">
        <f>IF(ISERR(GEOMEAN('Results and Rankings'!$H64,'Results and Rankings'!$U64,'Results and Rankings'!$V64,'Results and Rankings'!$W64)),0,GEOMEAN('Results and Rankings'!$H64,'Results and Rankings'!$U64,'Results and Rankings'!$V64,'Results and Rankings'!$W64))</f>
        <v>0</v>
      </c>
      <c r="Y64" s="74">
        <f>IF(X64,_xlfn.RANK.EQ(X64,X$3:X$110,0),NumberOfTeams)</f>
        <v>0</v>
      </c>
      <c r="Z64" s="38"/>
    </row>
    <row r="65" ht="21.0" customHeight="1">
      <c r="A65" s="67" t="str">
        <f t="array" ref="A65">XLOOKUP(63,'Team and Program Information'!$B$3:$B$202,'Team and Program Information'!$C$3:$C$202,"ERROR",0)</f>
        <v/>
      </c>
      <c r="B65" s="68" t="str">
        <f t="array" ref="B65">XLOOKUP('Results and Rankings'!$A65,'Team and Program Information'!$C$3:$C$202,'Team and Program Information'!$D$3:$D$202,"",0,)</f>
        <v>#VALUE!</v>
      </c>
      <c r="C65" s="69" t="str">
        <f t="array" ref="C65">IF('Results and Rankings'!$A65="","",XLOOKUP('Results and Rankings'!$A65,'Robot Game Scores'!$B$2:$B$201,'Robot Game Scores'!$D$2:$D$201,0,0,))</f>
        <v/>
      </c>
      <c r="D65" s="69" t="str">
        <f t="array" ref="D65">IF('Results and Rankings'!$A65="","",XLOOKUP('Results and Rankings'!$A65,'Robot Game Scores'!$B$2:$B$201,'Robot Game Scores'!$E$2:$E$201,0,0,))</f>
        <v/>
      </c>
      <c r="E65" s="69" t="str">
        <f t="array" ref="E65">IF('Results and Rankings'!$A65="","",XLOOKUP('Results and Rankings'!$A65,'Robot Game Scores'!$B$2:$B$201,'Robot Game Scores'!$F$2:$F$201,0,0,))</f>
        <v/>
      </c>
      <c r="F65" s="69" t="str">
        <f t="array" ref="F65">IF('Results and Rankings'!$A65="","",XLOOKUP('Results and Rankings'!$A65,'Robot Game Scores'!$B$2:$B$201,'Robot Game Scores'!$G$2:$G$201,0,0,))</f>
        <v/>
      </c>
      <c r="G65" s="69" t="str">
        <f t="array" ref="G65">IF('Results and Rankings'!$A65="","",XLOOKUP('Results and Rankings'!$A65,'Robot Game Scores'!$B$2:$B$201,'Robot Game Scores'!$H$2:$H$201,0,0,))</f>
        <v/>
      </c>
      <c r="H65" s="69" t="str">
        <f>IF('Results and Rankings'!$A65="","",IF(ISNA(LARGE('Results and Rankings'!$C65:$G65,1)+0.0001*LARGE('Results and Rankings'!$C65:$G65,2)+0.0000001*LARGE('Results and Rankings'!$C65:$G65,3)+1E-11*LARGE('Results and Rankings'!$C65:$G65,4)+1E-14*LARGE('Results and Rankings'!$C65:$G65,5)),0,LARGE('Results and Rankings'!$C65:$G65,1)+0.0001*LARGE('Results and Rankings'!$C65:$G65,2)+0.0000001*LARGE('Results and Rankings'!$C65:$G65,3)+1E-11*LARGE('Results and Rankings'!$C65:$G65,4)+1E-14*LARGE('Results and Rankings'!$C65:$G65,5)))</f>
        <v/>
      </c>
      <c r="I65" s="69" t="str">
        <f>IF('Results and Rankings'!$A65="","",_xlfn.RANK.EQ('Results and Rankings'!$H65,'Results and Rankings'!$H$3:$H$202))</f>
        <v/>
      </c>
      <c r="J65" s="69" t="str">
        <f t="array" ref="J65">IF('Results and Rankings'!$A65="","",XLOOKUP('Results and Rankings'!$A65,'Core Values Input'!$A$2:$A$201,'Core Values Input'!$V$2:$V$201,NumberOfTeams+1,0,))</f>
        <v/>
      </c>
      <c r="K65" s="69" t="str">
        <f t="array" ref="K65">IF('Results and Rankings'!$A65="","",XLOOKUP('Results and Rankings'!$A65,'Innovation Project Input'!$A$2:$A$201,'Innovation Project Input'!$N$2:$N$201,NumberOfTeams+1,0,))</f>
        <v/>
      </c>
      <c r="L65" s="69" t="str">
        <f t="array" ref="L65">IF('Results and Rankings'!$A65="","",XLOOKUP('Results and Rankings'!$A65,'Robot Design Input'!$A$2:$A$201,'Robot Design Input'!$N$2:$N$201,NumberOfTeams+1,0,))</f>
        <v/>
      </c>
      <c r="M65" s="69" t="str">
        <f> IF('Results and Rankings'!$A65="","",IF('Results and Rankings'!$J65="",NumberOfTeams+1,'Results and Rankings'!$J65) + IF('Results and Rankings'!$K65="",NumberOfTeams+1,'Results and Rankings'!$K65) + IF('Results and Rankings'!$L65="",NumberOfTeams+1,'Results and Rankings'!$L65) + 'Results and Rankings'!$I65)</f>
        <v/>
      </c>
      <c r="N65" s="70" t="str">
        <f>IF('Results and Rankings'!$A65="","",IF(M65,RANK(M65,M$3:M$202,1)-COUNTIF(M$3:M$202,0),NumberOfTeams+1))</f>
        <v/>
      </c>
      <c r="O65" s="72" t="str">
        <f t="array" ref="O65">XLOOKUP('Results and Rankings'!$A65,'Core Values Input'!$A$2:$A$201,'Core Values Input'!$W$2:$W$201,0,0,)</f>
        <v>#VALUE!</v>
      </c>
      <c r="P65" s="72" t="str">
        <f t="array" ref="P65">XLOOKUP('Results and Rankings'!$A65,'Core Values Input'!$A$2:$A$201,'Core Values Input'!$X$2:$X$201,0,0,)</f>
        <v>#VALUE!</v>
      </c>
      <c r="Q65" s="72" t="str">
        <f t="array" ref="Q65">XLOOKUP('Results and Rankings'!$A65,'Core Values Input'!$A$2:$A$201,'Core Values Input'!$Y$2:$Y$201,0,0,)</f>
        <v>#VALUE!</v>
      </c>
      <c r="R65" s="38"/>
      <c r="S65" s="38"/>
      <c r="T65" s="72"/>
      <c r="U65" s="69" t="str">
        <f t="array" ref="U65">XLOOKUP('Results and Rankings'!$A65,'Core Values Input'!$A$2:$A$201,'Core Values Input'!$U$2:$U$201,0,0,)</f>
        <v>#VALUE!</v>
      </c>
      <c r="V65" s="69" t="str">
        <f t="array" ref="V65">XLOOKUP('Results and Rankings'!$A65,'Innovation Project Input'!$A$2:$A$201,'Innovation Project Input'!$M$2:$M$201,0,0,)</f>
        <v>#VALUE!</v>
      </c>
      <c r="W65" s="69" t="str">
        <f t="array" ref="W65">XLOOKUP('Results and Rankings'!$A65,'Robot Design Input'!$A$2:$A$201,'Robot Design Input'!$M$2:$M$201,0,0,)</f>
        <v>#VALUE!</v>
      </c>
      <c r="X65" s="73">
        <f>IF(ISERR(GEOMEAN('Results and Rankings'!$H65,'Results and Rankings'!$U65,'Results and Rankings'!$V65,'Results and Rankings'!$W65)),0,GEOMEAN('Results and Rankings'!$H65,'Results and Rankings'!$U65,'Results and Rankings'!$V65,'Results and Rankings'!$W65))</f>
        <v>0</v>
      </c>
      <c r="Y65" s="74">
        <f>IF(X65,_xlfn.RANK.EQ(X65,X$3:X$110,0),NumberOfTeams)</f>
        <v>0</v>
      </c>
      <c r="Z65" s="38"/>
    </row>
    <row r="66" ht="21.0" customHeight="1">
      <c r="A66" s="67" t="str">
        <f t="array" ref="A66">XLOOKUP(64,'Team and Program Information'!$B$3:$B$202,'Team and Program Information'!$C$3:$C$202,"ERROR",0)</f>
        <v/>
      </c>
      <c r="B66" s="68" t="str">
        <f t="array" ref="B66">XLOOKUP('Results and Rankings'!$A66,'Team and Program Information'!$C$3:$C$202,'Team and Program Information'!$D$3:$D$202,"",0,)</f>
        <v>#VALUE!</v>
      </c>
      <c r="C66" s="69" t="str">
        <f t="array" ref="C66">IF('Results and Rankings'!$A66="","",XLOOKUP('Results and Rankings'!$A66,'Robot Game Scores'!$B$2:$B$201,'Robot Game Scores'!$D$2:$D$201,0,0,))</f>
        <v/>
      </c>
      <c r="D66" s="69" t="str">
        <f t="array" ref="D66">IF('Results and Rankings'!$A66="","",XLOOKUP('Results and Rankings'!$A66,'Robot Game Scores'!$B$2:$B$201,'Robot Game Scores'!$E$2:$E$201,0,0,))</f>
        <v/>
      </c>
      <c r="E66" s="69" t="str">
        <f t="array" ref="E66">IF('Results and Rankings'!$A66="","",XLOOKUP('Results and Rankings'!$A66,'Robot Game Scores'!$B$2:$B$201,'Robot Game Scores'!$F$2:$F$201,0,0,))</f>
        <v/>
      </c>
      <c r="F66" s="69" t="str">
        <f t="array" ref="F66">IF('Results and Rankings'!$A66="","",XLOOKUP('Results and Rankings'!$A66,'Robot Game Scores'!$B$2:$B$201,'Robot Game Scores'!$G$2:$G$201,0,0,))</f>
        <v/>
      </c>
      <c r="G66" s="69" t="str">
        <f t="array" ref="G66">IF('Results and Rankings'!$A66="","",XLOOKUP('Results and Rankings'!$A66,'Robot Game Scores'!$B$2:$B$201,'Robot Game Scores'!$H$2:$H$201,0,0,))</f>
        <v/>
      </c>
      <c r="H66" s="69" t="str">
        <f>IF('Results and Rankings'!$A66="","",IF(ISNA(LARGE('Results and Rankings'!$C66:$G66,1)+0.0001*LARGE('Results and Rankings'!$C66:$G66,2)+0.0000001*LARGE('Results and Rankings'!$C66:$G66,3)+1E-11*LARGE('Results and Rankings'!$C66:$G66,4)+1E-14*LARGE('Results and Rankings'!$C66:$G66,5)),0,LARGE('Results and Rankings'!$C66:$G66,1)+0.0001*LARGE('Results and Rankings'!$C66:$G66,2)+0.0000001*LARGE('Results and Rankings'!$C66:$G66,3)+1E-11*LARGE('Results and Rankings'!$C66:$G66,4)+1E-14*LARGE('Results and Rankings'!$C66:$G66,5)))</f>
        <v/>
      </c>
      <c r="I66" s="69" t="str">
        <f>IF('Results and Rankings'!$A66="","",_xlfn.RANK.EQ('Results and Rankings'!$H66,'Results and Rankings'!$H$3:$H$202))</f>
        <v/>
      </c>
      <c r="J66" s="69" t="str">
        <f t="array" ref="J66">IF('Results and Rankings'!$A66="","",XLOOKUP('Results and Rankings'!$A66,'Core Values Input'!$A$2:$A$201,'Core Values Input'!$V$2:$V$201,NumberOfTeams+1,0,))</f>
        <v/>
      </c>
      <c r="K66" s="69" t="str">
        <f t="array" ref="K66">IF('Results and Rankings'!$A66="","",XLOOKUP('Results and Rankings'!$A66,'Innovation Project Input'!$A$2:$A$201,'Innovation Project Input'!$N$2:$N$201,NumberOfTeams+1,0,))</f>
        <v/>
      </c>
      <c r="L66" s="69" t="str">
        <f t="array" ref="L66">IF('Results and Rankings'!$A66="","",XLOOKUP('Results and Rankings'!$A66,'Robot Design Input'!$A$2:$A$201,'Robot Design Input'!$N$2:$N$201,NumberOfTeams+1,0,))</f>
        <v/>
      </c>
      <c r="M66" s="69" t="str">
        <f> IF('Results and Rankings'!$A66="","",IF('Results and Rankings'!$J66="",NumberOfTeams+1,'Results and Rankings'!$J66) + IF('Results and Rankings'!$K66="",NumberOfTeams+1,'Results and Rankings'!$K66) + IF('Results and Rankings'!$L66="",NumberOfTeams+1,'Results and Rankings'!$L66) + 'Results and Rankings'!$I66)</f>
        <v/>
      </c>
      <c r="N66" s="70" t="str">
        <f>IF('Results and Rankings'!$A66="","",IF(M66,RANK(M66,M$3:M$202,1)-COUNTIF(M$3:M$202,0),NumberOfTeams+1))</f>
        <v/>
      </c>
      <c r="O66" s="72" t="str">
        <f t="array" ref="O66">XLOOKUP('Results and Rankings'!$A66,'Core Values Input'!$A$2:$A$201,'Core Values Input'!$W$2:$W$201,0,0,)</f>
        <v>#VALUE!</v>
      </c>
      <c r="P66" s="72" t="str">
        <f t="array" ref="P66">XLOOKUP('Results and Rankings'!$A66,'Core Values Input'!$A$2:$A$201,'Core Values Input'!$X$2:$X$201,0,0,)</f>
        <v>#VALUE!</v>
      </c>
      <c r="Q66" s="72" t="str">
        <f t="array" ref="Q66">XLOOKUP('Results and Rankings'!$A66,'Core Values Input'!$A$2:$A$201,'Core Values Input'!$Y$2:$Y$201,0,0,)</f>
        <v>#VALUE!</v>
      </c>
      <c r="R66" s="38"/>
      <c r="S66" s="38"/>
      <c r="T66" s="72"/>
      <c r="U66" s="69" t="str">
        <f t="array" ref="U66">XLOOKUP('Results and Rankings'!$A66,'Core Values Input'!$A$2:$A$201,'Core Values Input'!$U$2:$U$201,0,0,)</f>
        <v>#VALUE!</v>
      </c>
      <c r="V66" s="69" t="str">
        <f t="array" ref="V66">XLOOKUP('Results and Rankings'!$A66,'Innovation Project Input'!$A$2:$A$201,'Innovation Project Input'!$M$2:$M$201,0,0,)</f>
        <v>#VALUE!</v>
      </c>
      <c r="W66" s="69" t="str">
        <f t="array" ref="W66">XLOOKUP('Results and Rankings'!$A66,'Robot Design Input'!$A$2:$A$201,'Robot Design Input'!$M$2:$M$201,0,0,)</f>
        <v>#VALUE!</v>
      </c>
      <c r="X66" s="73">
        <f>IF(ISERR(GEOMEAN('Results and Rankings'!$H66,'Results and Rankings'!$U66,'Results and Rankings'!$V66,'Results and Rankings'!$W66)),0,GEOMEAN('Results and Rankings'!$H66,'Results and Rankings'!$U66,'Results and Rankings'!$V66,'Results and Rankings'!$W66))</f>
        <v>0</v>
      </c>
      <c r="Y66" s="74">
        <f>IF(X66,_xlfn.RANK.EQ(X66,X$3:X$110,0),NumberOfTeams)</f>
        <v>0</v>
      </c>
      <c r="Z66" s="38"/>
    </row>
    <row r="67" ht="21.0" customHeight="1">
      <c r="A67" s="67" t="str">
        <f t="array" ref="A67">XLOOKUP(65,'Team and Program Information'!$B$3:$B$202,'Team and Program Information'!$C$3:$C$202,"ERROR",0)</f>
        <v/>
      </c>
      <c r="B67" s="68" t="str">
        <f t="array" ref="B67">XLOOKUP('Results and Rankings'!$A67,'Team and Program Information'!$C$3:$C$202,'Team and Program Information'!$D$3:$D$202,"",0,)</f>
        <v>#VALUE!</v>
      </c>
      <c r="C67" s="69" t="str">
        <f t="array" ref="C67">IF('Results and Rankings'!$A67="","",XLOOKUP('Results and Rankings'!$A67,'Robot Game Scores'!$B$2:$B$201,'Robot Game Scores'!$D$2:$D$201,0,0,))</f>
        <v/>
      </c>
      <c r="D67" s="69" t="str">
        <f t="array" ref="D67">IF('Results and Rankings'!$A67="","",XLOOKUP('Results and Rankings'!$A67,'Robot Game Scores'!$B$2:$B$201,'Robot Game Scores'!$E$2:$E$201,0,0,))</f>
        <v/>
      </c>
      <c r="E67" s="69" t="str">
        <f t="array" ref="E67">IF('Results and Rankings'!$A67="","",XLOOKUP('Results and Rankings'!$A67,'Robot Game Scores'!$B$2:$B$201,'Robot Game Scores'!$F$2:$F$201,0,0,))</f>
        <v/>
      </c>
      <c r="F67" s="69" t="str">
        <f t="array" ref="F67">IF('Results and Rankings'!$A67="","",XLOOKUP('Results and Rankings'!$A67,'Robot Game Scores'!$B$2:$B$201,'Robot Game Scores'!$G$2:$G$201,0,0,))</f>
        <v/>
      </c>
      <c r="G67" s="69" t="str">
        <f t="array" ref="G67">IF('Results and Rankings'!$A67="","",XLOOKUP('Results and Rankings'!$A67,'Robot Game Scores'!$B$2:$B$201,'Robot Game Scores'!$H$2:$H$201,0,0,))</f>
        <v/>
      </c>
      <c r="H67" s="69" t="str">
        <f>IF('Results and Rankings'!$A67="","",IF(ISNA(LARGE('Results and Rankings'!$C67:$G67,1)+0.0001*LARGE('Results and Rankings'!$C67:$G67,2)+0.0000001*LARGE('Results and Rankings'!$C67:$G67,3)+1E-11*LARGE('Results and Rankings'!$C67:$G67,4)+1E-14*LARGE('Results and Rankings'!$C67:$G67,5)),0,LARGE('Results and Rankings'!$C67:$G67,1)+0.0001*LARGE('Results and Rankings'!$C67:$G67,2)+0.0000001*LARGE('Results and Rankings'!$C67:$G67,3)+1E-11*LARGE('Results and Rankings'!$C67:$G67,4)+1E-14*LARGE('Results and Rankings'!$C67:$G67,5)))</f>
        <v/>
      </c>
      <c r="I67" s="69" t="str">
        <f>IF('Results and Rankings'!$A67="","",_xlfn.RANK.EQ('Results and Rankings'!$H67,'Results and Rankings'!$H$3:$H$202))</f>
        <v/>
      </c>
      <c r="J67" s="69" t="str">
        <f t="array" ref="J67">IF('Results and Rankings'!$A67="","",XLOOKUP('Results and Rankings'!$A67,'Core Values Input'!$A$2:$A$201,'Core Values Input'!$V$2:$V$201,NumberOfTeams+1,0,))</f>
        <v/>
      </c>
      <c r="K67" s="69" t="str">
        <f t="array" ref="K67">IF('Results and Rankings'!$A67="","",XLOOKUP('Results and Rankings'!$A67,'Innovation Project Input'!$A$2:$A$201,'Innovation Project Input'!$N$2:$N$201,NumberOfTeams+1,0,))</f>
        <v/>
      </c>
      <c r="L67" s="69" t="str">
        <f t="array" ref="L67">IF('Results and Rankings'!$A67="","",XLOOKUP('Results and Rankings'!$A67,'Robot Design Input'!$A$2:$A$201,'Robot Design Input'!$N$2:$N$201,NumberOfTeams+1,0,))</f>
        <v/>
      </c>
      <c r="M67" s="69" t="str">
        <f> IF('Results and Rankings'!$A67="","",IF('Results and Rankings'!$J67="",NumberOfTeams+1,'Results and Rankings'!$J67) + IF('Results and Rankings'!$K67="",NumberOfTeams+1,'Results and Rankings'!$K67) + IF('Results and Rankings'!$L67="",NumberOfTeams+1,'Results and Rankings'!$L67) + 'Results and Rankings'!$I67)</f>
        <v/>
      </c>
      <c r="N67" s="70" t="str">
        <f>IF('Results and Rankings'!$A67="","",IF(M67,RANK(M67,M$3:M$202,1)-COUNTIF(M$3:M$202,0),NumberOfTeams+1))</f>
        <v/>
      </c>
      <c r="O67" s="72" t="str">
        <f t="array" ref="O67">XLOOKUP('Results and Rankings'!$A67,'Core Values Input'!$A$2:$A$201,'Core Values Input'!$W$2:$W$201,0,0,)</f>
        <v>#VALUE!</v>
      </c>
      <c r="P67" s="72" t="str">
        <f t="array" ref="P67">XLOOKUP('Results and Rankings'!$A67,'Core Values Input'!$A$2:$A$201,'Core Values Input'!$X$2:$X$201,0,0,)</f>
        <v>#VALUE!</v>
      </c>
      <c r="Q67" s="72" t="str">
        <f t="array" ref="Q67">XLOOKUP('Results and Rankings'!$A67,'Core Values Input'!$A$2:$A$201,'Core Values Input'!$Y$2:$Y$201,0,0,)</f>
        <v>#VALUE!</v>
      </c>
      <c r="R67" s="38"/>
      <c r="S67" s="38"/>
      <c r="T67" s="72"/>
      <c r="U67" s="69" t="str">
        <f t="array" ref="U67">XLOOKUP('Results and Rankings'!$A67,'Core Values Input'!$A$2:$A$201,'Core Values Input'!$U$2:$U$201,0,0,)</f>
        <v>#VALUE!</v>
      </c>
      <c r="V67" s="69" t="str">
        <f t="array" ref="V67">XLOOKUP('Results and Rankings'!$A67,'Innovation Project Input'!$A$2:$A$201,'Innovation Project Input'!$M$2:$M$201,0,0,)</f>
        <v>#VALUE!</v>
      </c>
      <c r="W67" s="69" t="str">
        <f t="array" ref="W67">XLOOKUP('Results and Rankings'!$A67,'Robot Design Input'!$A$2:$A$201,'Robot Design Input'!$M$2:$M$201,0,0,)</f>
        <v>#VALUE!</v>
      </c>
      <c r="X67" s="73">
        <f>IF(ISERR(GEOMEAN('Results and Rankings'!$H67,'Results and Rankings'!$U67,'Results and Rankings'!$V67,'Results and Rankings'!$W67)),0,GEOMEAN('Results and Rankings'!$H67,'Results and Rankings'!$U67,'Results and Rankings'!$V67,'Results and Rankings'!$W67))</f>
        <v>0</v>
      </c>
      <c r="Y67" s="74">
        <f>IF(X67,_xlfn.RANK.EQ(X67,X$3:X$110,0),NumberOfTeams)</f>
        <v>0</v>
      </c>
      <c r="Z67" s="38"/>
    </row>
    <row r="68" ht="21.0" customHeight="1">
      <c r="A68" s="67" t="str">
        <f t="array" ref="A68">XLOOKUP(66,'Team and Program Information'!$B$3:$B$202,'Team and Program Information'!$C$3:$C$202,"ERROR",0)</f>
        <v/>
      </c>
      <c r="B68" s="68" t="str">
        <f t="array" ref="B68">XLOOKUP('Results and Rankings'!$A68,'Team and Program Information'!$C$3:$C$202,'Team and Program Information'!$D$3:$D$202,"",0,)</f>
        <v>#VALUE!</v>
      </c>
      <c r="C68" s="69" t="str">
        <f t="array" ref="C68">IF('Results and Rankings'!$A68="","",XLOOKUP('Results and Rankings'!$A68,'Robot Game Scores'!$B$2:$B$201,'Robot Game Scores'!$D$2:$D$201,0,0,))</f>
        <v/>
      </c>
      <c r="D68" s="69" t="str">
        <f t="array" ref="D68">IF('Results and Rankings'!$A68="","",XLOOKUP('Results and Rankings'!$A68,'Robot Game Scores'!$B$2:$B$201,'Robot Game Scores'!$E$2:$E$201,0,0,))</f>
        <v/>
      </c>
      <c r="E68" s="69" t="str">
        <f t="array" ref="E68">IF('Results and Rankings'!$A68="","",XLOOKUP('Results and Rankings'!$A68,'Robot Game Scores'!$B$2:$B$201,'Robot Game Scores'!$F$2:$F$201,0,0,))</f>
        <v/>
      </c>
      <c r="F68" s="69" t="str">
        <f t="array" ref="F68">IF('Results and Rankings'!$A68="","",XLOOKUP('Results and Rankings'!$A68,'Robot Game Scores'!$B$2:$B$201,'Robot Game Scores'!$G$2:$G$201,0,0,))</f>
        <v/>
      </c>
      <c r="G68" s="69" t="str">
        <f t="array" ref="G68">IF('Results and Rankings'!$A68="","",XLOOKUP('Results and Rankings'!$A68,'Robot Game Scores'!$B$2:$B$201,'Robot Game Scores'!$H$2:$H$201,0,0,))</f>
        <v/>
      </c>
      <c r="H68" s="69" t="str">
        <f>IF('Results and Rankings'!$A68="","",IF(ISNA(LARGE('Results and Rankings'!$C68:$G68,1)+0.0001*LARGE('Results and Rankings'!$C68:$G68,2)+0.0000001*LARGE('Results and Rankings'!$C68:$G68,3)+1E-11*LARGE('Results and Rankings'!$C68:$G68,4)+1E-14*LARGE('Results and Rankings'!$C68:$G68,5)),0,LARGE('Results and Rankings'!$C68:$G68,1)+0.0001*LARGE('Results and Rankings'!$C68:$G68,2)+0.0000001*LARGE('Results and Rankings'!$C68:$G68,3)+1E-11*LARGE('Results and Rankings'!$C68:$G68,4)+1E-14*LARGE('Results and Rankings'!$C68:$G68,5)))</f>
        <v/>
      </c>
      <c r="I68" s="69" t="str">
        <f>IF('Results and Rankings'!$A68="","",_xlfn.RANK.EQ('Results and Rankings'!$H68,'Results and Rankings'!$H$3:$H$202))</f>
        <v/>
      </c>
      <c r="J68" s="69" t="str">
        <f t="array" ref="J68">IF('Results and Rankings'!$A68="","",XLOOKUP('Results and Rankings'!$A68,'Core Values Input'!$A$2:$A$201,'Core Values Input'!$V$2:$V$201,NumberOfTeams+1,0,))</f>
        <v/>
      </c>
      <c r="K68" s="69" t="str">
        <f t="array" ref="K68">IF('Results and Rankings'!$A68="","",XLOOKUP('Results and Rankings'!$A68,'Innovation Project Input'!$A$2:$A$201,'Innovation Project Input'!$N$2:$N$201,NumberOfTeams+1,0,))</f>
        <v/>
      </c>
      <c r="L68" s="69" t="str">
        <f t="array" ref="L68">IF('Results and Rankings'!$A68="","",XLOOKUP('Results and Rankings'!$A68,'Robot Design Input'!$A$2:$A$201,'Robot Design Input'!$N$2:$N$201,NumberOfTeams+1,0,))</f>
        <v/>
      </c>
      <c r="M68" s="69" t="str">
        <f> IF('Results and Rankings'!$A68="","",IF('Results and Rankings'!$J68="",NumberOfTeams+1,'Results and Rankings'!$J68) + IF('Results and Rankings'!$K68="",NumberOfTeams+1,'Results and Rankings'!$K68) + IF('Results and Rankings'!$L68="",NumberOfTeams+1,'Results and Rankings'!$L68) + 'Results and Rankings'!$I68)</f>
        <v/>
      </c>
      <c r="N68" s="70" t="str">
        <f>IF('Results and Rankings'!$A68="","",IF(M68,RANK(M68,M$3:M$202,1)-COUNTIF(M$3:M$202,0),NumberOfTeams+1))</f>
        <v/>
      </c>
      <c r="O68" s="72" t="str">
        <f t="array" ref="O68">XLOOKUP('Results and Rankings'!$A68,'Core Values Input'!$A$2:$A$201,'Core Values Input'!$W$2:$W$201,0,0,)</f>
        <v>#VALUE!</v>
      </c>
      <c r="P68" s="72" t="str">
        <f t="array" ref="P68">XLOOKUP('Results and Rankings'!$A68,'Core Values Input'!$A$2:$A$201,'Core Values Input'!$X$2:$X$201,0,0,)</f>
        <v>#VALUE!</v>
      </c>
      <c r="Q68" s="72" t="str">
        <f t="array" ref="Q68">XLOOKUP('Results and Rankings'!$A68,'Core Values Input'!$A$2:$A$201,'Core Values Input'!$Y$2:$Y$201,0,0,)</f>
        <v>#VALUE!</v>
      </c>
      <c r="R68" s="38"/>
      <c r="S68" s="38"/>
      <c r="T68" s="72"/>
      <c r="U68" s="69" t="str">
        <f t="array" ref="U68">XLOOKUP('Results and Rankings'!$A68,'Core Values Input'!$A$2:$A$201,'Core Values Input'!$U$2:$U$201,0,0,)</f>
        <v>#VALUE!</v>
      </c>
      <c r="V68" s="69" t="str">
        <f t="array" ref="V68">XLOOKUP('Results and Rankings'!$A68,'Innovation Project Input'!$A$2:$A$201,'Innovation Project Input'!$M$2:$M$201,0,0,)</f>
        <v>#VALUE!</v>
      </c>
      <c r="W68" s="69" t="str">
        <f t="array" ref="W68">XLOOKUP('Results and Rankings'!$A68,'Robot Design Input'!$A$2:$A$201,'Robot Design Input'!$M$2:$M$201,0,0,)</f>
        <v>#VALUE!</v>
      </c>
      <c r="X68" s="73">
        <f>IF(ISERR(GEOMEAN('Results and Rankings'!$H68,'Results and Rankings'!$U68,'Results and Rankings'!$V68,'Results and Rankings'!$W68)),0,GEOMEAN('Results and Rankings'!$H68,'Results and Rankings'!$U68,'Results and Rankings'!$V68,'Results and Rankings'!$W68))</f>
        <v>0</v>
      </c>
      <c r="Y68" s="74">
        <f>IF(X68,_xlfn.RANK.EQ(X68,X$3:X$110,0),NumberOfTeams)</f>
        <v>0</v>
      </c>
      <c r="Z68" s="38"/>
    </row>
    <row r="69" ht="21.0" customHeight="1">
      <c r="A69" s="67" t="str">
        <f t="array" ref="A69">XLOOKUP(67,'Team and Program Information'!$B$3:$B$202,'Team and Program Information'!$C$3:$C$202,"ERROR",0)</f>
        <v/>
      </c>
      <c r="B69" s="68" t="str">
        <f t="array" ref="B69">XLOOKUP('Results and Rankings'!$A69,'Team and Program Information'!$C$3:$C$202,'Team and Program Information'!$D$3:$D$202,"",0,)</f>
        <v>#VALUE!</v>
      </c>
      <c r="C69" s="69" t="str">
        <f t="array" ref="C69">IF('Results and Rankings'!$A69="","",XLOOKUP('Results and Rankings'!$A69,'Robot Game Scores'!$B$2:$B$201,'Robot Game Scores'!$D$2:$D$201,0,0,))</f>
        <v/>
      </c>
      <c r="D69" s="69" t="str">
        <f t="array" ref="D69">IF('Results and Rankings'!$A69="","",XLOOKUP('Results and Rankings'!$A69,'Robot Game Scores'!$B$2:$B$201,'Robot Game Scores'!$E$2:$E$201,0,0,))</f>
        <v/>
      </c>
      <c r="E69" s="69" t="str">
        <f t="array" ref="E69">IF('Results and Rankings'!$A69="","",XLOOKUP('Results and Rankings'!$A69,'Robot Game Scores'!$B$2:$B$201,'Robot Game Scores'!$F$2:$F$201,0,0,))</f>
        <v/>
      </c>
      <c r="F69" s="69" t="str">
        <f t="array" ref="F69">IF('Results and Rankings'!$A69="","",XLOOKUP('Results and Rankings'!$A69,'Robot Game Scores'!$B$2:$B$201,'Robot Game Scores'!$G$2:$G$201,0,0,))</f>
        <v/>
      </c>
      <c r="G69" s="69" t="str">
        <f t="array" ref="G69">IF('Results and Rankings'!$A69="","",XLOOKUP('Results and Rankings'!$A69,'Robot Game Scores'!$B$2:$B$201,'Robot Game Scores'!$H$2:$H$201,0,0,))</f>
        <v/>
      </c>
      <c r="H69" s="69" t="str">
        <f>IF('Results and Rankings'!$A69="","",IF(ISNA(LARGE('Results and Rankings'!$C69:$G69,1)+0.0001*LARGE('Results and Rankings'!$C69:$G69,2)+0.0000001*LARGE('Results and Rankings'!$C69:$G69,3)+1E-11*LARGE('Results and Rankings'!$C69:$G69,4)+1E-14*LARGE('Results and Rankings'!$C69:$G69,5)),0,LARGE('Results and Rankings'!$C69:$G69,1)+0.0001*LARGE('Results and Rankings'!$C69:$G69,2)+0.0000001*LARGE('Results and Rankings'!$C69:$G69,3)+1E-11*LARGE('Results and Rankings'!$C69:$G69,4)+1E-14*LARGE('Results and Rankings'!$C69:$G69,5)))</f>
        <v/>
      </c>
      <c r="I69" s="69" t="str">
        <f>IF('Results and Rankings'!$A69="","",_xlfn.RANK.EQ('Results and Rankings'!$H69,'Results and Rankings'!$H$3:$H$202))</f>
        <v/>
      </c>
      <c r="J69" s="69" t="str">
        <f t="array" ref="J69">IF('Results and Rankings'!$A69="","",XLOOKUP('Results and Rankings'!$A69,'Core Values Input'!$A$2:$A$201,'Core Values Input'!$V$2:$V$201,NumberOfTeams+1,0,))</f>
        <v/>
      </c>
      <c r="K69" s="69" t="str">
        <f t="array" ref="K69">IF('Results and Rankings'!$A69="","",XLOOKUP('Results and Rankings'!$A69,'Innovation Project Input'!$A$2:$A$201,'Innovation Project Input'!$N$2:$N$201,NumberOfTeams+1,0,))</f>
        <v/>
      </c>
      <c r="L69" s="69" t="str">
        <f t="array" ref="L69">IF('Results and Rankings'!$A69="","",XLOOKUP('Results and Rankings'!$A69,'Robot Design Input'!$A$2:$A$201,'Robot Design Input'!$N$2:$N$201,NumberOfTeams+1,0,))</f>
        <v/>
      </c>
      <c r="M69" s="69" t="str">
        <f> IF('Results and Rankings'!$A69="","",IF('Results and Rankings'!$J69="",NumberOfTeams+1,'Results and Rankings'!$J69) + IF('Results and Rankings'!$K69="",NumberOfTeams+1,'Results and Rankings'!$K69) + IF('Results and Rankings'!$L69="",NumberOfTeams+1,'Results and Rankings'!$L69) + 'Results and Rankings'!$I69)</f>
        <v/>
      </c>
      <c r="N69" s="70" t="str">
        <f>IF('Results and Rankings'!$A69="","",IF(M69,RANK(M69,M$3:M$202,1)-COUNTIF(M$3:M$202,0),NumberOfTeams+1))</f>
        <v/>
      </c>
      <c r="O69" s="72" t="str">
        <f t="array" ref="O69">XLOOKUP('Results and Rankings'!$A69,'Core Values Input'!$A$2:$A$201,'Core Values Input'!$W$2:$W$201,0,0,)</f>
        <v>#VALUE!</v>
      </c>
      <c r="P69" s="72" t="str">
        <f t="array" ref="P69">XLOOKUP('Results and Rankings'!$A69,'Core Values Input'!$A$2:$A$201,'Core Values Input'!$X$2:$X$201,0,0,)</f>
        <v>#VALUE!</v>
      </c>
      <c r="Q69" s="72" t="str">
        <f t="array" ref="Q69">XLOOKUP('Results and Rankings'!$A69,'Core Values Input'!$A$2:$A$201,'Core Values Input'!$Y$2:$Y$201,0,0,)</f>
        <v>#VALUE!</v>
      </c>
      <c r="R69" s="38"/>
      <c r="S69" s="38"/>
      <c r="T69" s="72"/>
      <c r="U69" s="69" t="str">
        <f t="array" ref="U69">XLOOKUP('Results and Rankings'!$A69,'Core Values Input'!$A$2:$A$201,'Core Values Input'!$U$2:$U$201,0,0,)</f>
        <v>#VALUE!</v>
      </c>
      <c r="V69" s="69" t="str">
        <f t="array" ref="V69">XLOOKUP('Results and Rankings'!$A69,'Innovation Project Input'!$A$2:$A$201,'Innovation Project Input'!$M$2:$M$201,0,0,)</f>
        <v>#VALUE!</v>
      </c>
      <c r="W69" s="69" t="str">
        <f t="array" ref="W69">XLOOKUP('Results and Rankings'!$A69,'Robot Design Input'!$A$2:$A$201,'Robot Design Input'!$M$2:$M$201,0,0,)</f>
        <v>#VALUE!</v>
      </c>
      <c r="X69" s="73">
        <f>IF(ISERR(GEOMEAN('Results and Rankings'!$H69,'Results and Rankings'!$U69,'Results and Rankings'!$V69,'Results and Rankings'!$W69)),0,GEOMEAN('Results and Rankings'!$H69,'Results and Rankings'!$U69,'Results and Rankings'!$V69,'Results and Rankings'!$W69))</f>
        <v>0</v>
      </c>
      <c r="Y69" s="74">
        <f>IF(X69,_xlfn.RANK.EQ(X69,X$3:X$110,0),NumberOfTeams)</f>
        <v>0</v>
      </c>
      <c r="Z69" s="38"/>
    </row>
    <row r="70" ht="21.0" customHeight="1">
      <c r="A70" s="67" t="str">
        <f t="array" ref="A70">XLOOKUP(68,'Team and Program Information'!$B$3:$B$202,'Team and Program Information'!$C$3:$C$202,"ERROR",0)</f>
        <v/>
      </c>
      <c r="B70" s="68" t="str">
        <f t="array" ref="B70">XLOOKUP('Results and Rankings'!$A70,'Team and Program Information'!$C$3:$C$202,'Team and Program Information'!$D$3:$D$202,"",0,)</f>
        <v>#VALUE!</v>
      </c>
      <c r="C70" s="69" t="str">
        <f t="array" ref="C70">IF('Results and Rankings'!$A70="","",XLOOKUP('Results and Rankings'!$A70,'Robot Game Scores'!$B$2:$B$201,'Robot Game Scores'!$D$2:$D$201,0,0,))</f>
        <v/>
      </c>
      <c r="D70" s="69" t="str">
        <f t="array" ref="D70">IF('Results and Rankings'!$A70="","",XLOOKUP('Results and Rankings'!$A70,'Robot Game Scores'!$B$2:$B$201,'Robot Game Scores'!$E$2:$E$201,0,0,))</f>
        <v/>
      </c>
      <c r="E70" s="69" t="str">
        <f t="array" ref="E70">IF('Results and Rankings'!$A70="","",XLOOKUP('Results and Rankings'!$A70,'Robot Game Scores'!$B$2:$B$201,'Robot Game Scores'!$F$2:$F$201,0,0,))</f>
        <v/>
      </c>
      <c r="F70" s="69" t="str">
        <f t="array" ref="F70">IF('Results and Rankings'!$A70="","",XLOOKUP('Results and Rankings'!$A70,'Robot Game Scores'!$B$2:$B$201,'Robot Game Scores'!$G$2:$G$201,0,0,))</f>
        <v/>
      </c>
      <c r="G70" s="69" t="str">
        <f t="array" ref="G70">IF('Results and Rankings'!$A70="","",XLOOKUP('Results and Rankings'!$A70,'Robot Game Scores'!$B$2:$B$201,'Robot Game Scores'!$H$2:$H$201,0,0,))</f>
        <v/>
      </c>
      <c r="H70" s="69" t="str">
        <f>IF('Results and Rankings'!$A70="","",IF(ISNA(LARGE('Results and Rankings'!$C70:$G70,1)+0.0001*LARGE('Results and Rankings'!$C70:$G70,2)+0.0000001*LARGE('Results and Rankings'!$C70:$G70,3)+1E-11*LARGE('Results and Rankings'!$C70:$G70,4)+1E-14*LARGE('Results and Rankings'!$C70:$G70,5)),0,LARGE('Results and Rankings'!$C70:$G70,1)+0.0001*LARGE('Results and Rankings'!$C70:$G70,2)+0.0000001*LARGE('Results and Rankings'!$C70:$G70,3)+1E-11*LARGE('Results and Rankings'!$C70:$G70,4)+1E-14*LARGE('Results and Rankings'!$C70:$G70,5)))</f>
        <v/>
      </c>
      <c r="I70" s="69" t="str">
        <f>IF('Results and Rankings'!$A70="","",_xlfn.RANK.EQ('Results and Rankings'!$H70,'Results and Rankings'!$H$3:$H$202))</f>
        <v/>
      </c>
      <c r="J70" s="69" t="str">
        <f t="array" ref="J70">IF('Results and Rankings'!$A70="","",XLOOKUP('Results and Rankings'!$A70,'Core Values Input'!$A$2:$A$201,'Core Values Input'!$V$2:$V$201,NumberOfTeams+1,0,))</f>
        <v/>
      </c>
      <c r="K70" s="69" t="str">
        <f t="array" ref="K70">IF('Results and Rankings'!$A70="","",XLOOKUP('Results and Rankings'!$A70,'Innovation Project Input'!$A$2:$A$201,'Innovation Project Input'!$N$2:$N$201,NumberOfTeams+1,0,))</f>
        <v/>
      </c>
      <c r="L70" s="69" t="str">
        <f t="array" ref="L70">IF('Results and Rankings'!$A70="","",XLOOKUP('Results and Rankings'!$A70,'Robot Design Input'!$A$2:$A$201,'Robot Design Input'!$N$2:$N$201,NumberOfTeams+1,0,))</f>
        <v/>
      </c>
      <c r="M70" s="69" t="str">
        <f> IF('Results and Rankings'!$A70="","",IF('Results and Rankings'!$J70="",NumberOfTeams+1,'Results and Rankings'!$J70) + IF('Results and Rankings'!$K70="",NumberOfTeams+1,'Results and Rankings'!$K70) + IF('Results and Rankings'!$L70="",NumberOfTeams+1,'Results and Rankings'!$L70) + 'Results and Rankings'!$I70)</f>
        <v/>
      </c>
      <c r="N70" s="70" t="str">
        <f>IF('Results and Rankings'!$A70="","",IF(M70,RANK(M70,M$3:M$202,1)-COUNTIF(M$3:M$202,0),NumberOfTeams+1))</f>
        <v/>
      </c>
      <c r="O70" s="72" t="str">
        <f t="array" ref="O70">XLOOKUP('Results and Rankings'!$A70,'Core Values Input'!$A$2:$A$201,'Core Values Input'!$W$2:$W$201,0,0,)</f>
        <v>#VALUE!</v>
      </c>
      <c r="P70" s="72" t="str">
        <f t="array" ref="P70">XLOOKUP('Results and Rankings'!$A70,'Core Values Input'!$A$2:$A$201,'Core Values Input'!$X$2:$X$201,0,0,)</f>
        <v>#VALUE!</v>
      </c>
      <c r="Q70" s="72" t="str">
        <f t="array" ref="Q70">XLOOKUP('Results and Rankings'!$A70,'Core Values Input'!$A$2:$A$201,'Core Values Input'!$Y$2:$Y$201,0,0,)</f>
        <v>#VALUE!</v>
      </c>
      <c r="R70" s="38"/>
      <c r="S70" s="38"/>
      <c r="T70" s="72"/>
      <c r="U70" s="69" t="str">
        <f t="array" ref="U70">XLOOKUP('Results and Rankings'!$A70,'Core Values Input'!$A$2:$A$201,'Core Values Input'!$U$2:$U$201,0,0,)</f>
        <v>#VALUE!</v>
      </c>
      <c r="V70" s="69" t="str">
        <f t="array" ref="V70">XLOOKUP('Results and Rankings'!$A70,'Innovation Project Input'!$A$2:$A$201,'Innovation Project Input'!$M$2:$M$201,0,0,)</f>
        <v>#VALUE!</v>
      </c>
      <c r="W70" s="69" t="str">
        <f t="array" ref="W70">XLOOKUP('Results and Rankings'!$A70,'Robot Design Input'!$A$2:$A$201,'Robot Design Input'!$M$2:$M$201,0,0,)</f>
        <v>#VALUE!</v>
      </c>
      <c r="X70" s="73">
        <f>IF(ISERR(GEOMEAN('Results and Rankings'!$H70,'Results and Rankings'!$U70,'Results and Rankings'!$V70,'Results and Rankings'!$W70)),0,GEOMEAN('Results and Rankings'!$H70,'Results and Rankings'!$U70,'Results and Rankings'!$V70,'Results and Rankings'!$W70))</f>
        <v>0</v>
      </c>
      <c r="Y70" s="74">
        <f>IF(X70,_xlfn.RANK.EQ(X70,X$3:X$110,0),NumberOfTeams)</f>
        <v>0</v>
      </c>
      <c r="Z70" s="38"/>
    </row>
    <row r="71" ht="21.0" customHeight="1">
      <c r="A71" s="67" t="str">
        <f t="array" ref="A71">XLOOKUP(69,'Team and Program Information'!$B$3:$B$202,'Team and Program Information'!$C$3:$C$202,"ERROR",0)</f>
        <v/>
      </c>
      <c r="B71" s="68" t="str">
        <f t="array" ref="B71">XLOOKUP('Results and Rankings'!$A71,'Team and Program Information'!$C$3:$C$202,'Team and Program Information'!$D$3:$D$202,"",0,)</f>
        <v>#VALUE!</v>
      </c>
      <c r="C71" s="69" t="str">
        <f t="array" ref="C71">IF('Results and Rankings'!$A71="","",XLOOKUP('Results and Rankings'!$A71,'Robot Game Scores'!$B$2:$B$201,'Robot Game Scores'!$D$2:$D$201,0,0,))</f>
        <v/>
      </c>
      <c r="D71" s="69" t="str">
        <f t="array" ref="D71">IF('Results and Rankings'!$A71="","",XLOOKUP('Results and Rankings'!$A71,'Robot Game Scores'!$B$2:$B$201,'Robot Game Scores'!$E$2:$E$201,0,0,))</f>
        <v/>
      </c>
      <c r="E71" s="69" t="str">
        <f t="array" ref="E71">IF('Results and Rankings'!$A71="","",XLOOKUP('Results and Rankings'!$A71,'Robot Game Scores'!$B$2:$B$201,'Robot Game Scores'!$F$2:$F$201,0,0,))</f>
        <v/>
      </c>
      <c r="F71" s="69" t="str">
        <f t="array" ref="F71">IF('Results and Rankings'!$A71="","",XLOOKUP('Results and Rankings'!$A71,'Robot Game Scores'!$B$2:$B$201,'Robot Game Scores'!$G$2:$G$201,0,0,))</f>
        <v/>
      </c>
      <c r="G71" s="69" t="str">
        <f t="array" ref="G71">IF('Results and Rankings'!$A71="","",XLOOKUP('Results and Rankings'!$A71,'Robot Game Scores'!$B$2:$B$201,'Robot Game Scores'!$H$2:$H$201,0,0,))</f>
        <v/>
      </c>
      <c r="H71" s="69" t="str">
        <f>IF('Results and Rankings'!$A71="","",IF(ISNA(LARGE('Results and Rankings'!$C71:$G71,1)+0.0001*LARGE('Results and Rankings'!$C71:$G71,2)+0.0000001*LARGE('Results and Rankings'!$C71:$G71,3)+1E-11*LARGE('Results and Rankings'!$C71:$G71,4)+1E-14*LARGE('Results and Rankings'!$C71:$G71,5)),0,LARGE('Results and Rankings'!$C71:$G71,1)+0.0001*LARGE('Results and Rankings'!$C71:$G71,2)+0.0000001*LARGE('Results and Rankings'!$C71:$G71,3)+1E-11*LARGE('Results and Rankings'!$C71:$G71,4)+1E-14*LARGE('Results and Rankings'!$C71:$G71,5)))</f>
        <v/>
      </c>
      <c r="I71" s="69" t="str">
        <f>IF('Results and Rankings'!$A71="","",_xlfn.RANK.EQ('Results and Rankings'!$H71,'Results and Rankings'!$H$3:$H$202))</f>
        <v/>
      </c>
      <c r="J71" s="69" t="str">
        <f t="array" ref="J71">IF('Results and Rankings'!$A71="","",XLOOKUP('Results and Rankings'!$A71,'Core Values Input'!$A$2:$A$201,'Core Values Input'!$V$2:$V$201,NumberOfTeams+1,0,))</f>
        <v/>
      </c>
      <c r="K71" s="69" t="str">
        <f t="array" ref="K71">IF('Results and Rankings'!$A71="","",XLOOKUP('Results and Rankings'!$A71,'Innovation Project Input'!$A$2:$A$201,'Innovation Project Input'!$N$2:$N$201,NumberOfTeams+1,0,))</f>
        <v/>
      </c>
      <c r="L71" s="69" t="str">
        <f t="array" ref="L71">IF('Results and Rankings'!$A71="","",XLOOKUP('Results and Rankings'!$A71,'Robot Design Input'!$A$2:$A$201,'Robot Design Input'!$N$2:$N$201,NumberOfTeams+1,0,))</f>
        <v/>
      </c>
      <c r="M71" s="69" t="str">
        <f> IF('Results and Rankings'!$A71="","",IF('Results and Rankings'!$J71="",NumberOfTeams+1,'Results and Rankings'!$J71) + IF('Results and Rankings'!$K71="",NumberOfTeams+1,'Results and Rankings'!$K71) + IF('Results and Rankings'!$L71="",NumberOfTeams+1,'Results and Rankings'!$L71) + 'Results and Rankings'!$I71)</f>
        <v/>
      </c>
      <c r="N71" s="70" t="str">
        <f>IF('Results and Rankings'!$A71="","",IF(M71,RANK(M71,M$3:M$202,1)-COUNTIF(M$3:M$202,0),NumberOfTeams+1))</f>
        <v/>
      </c>
      <c r="O71" s="72" t="str">
        <f t="array" ref="O71">XLOOKUP('Results and Rankings'!$A71,'Core Values Input'!$A$2:$A$201,'Core Values Input'!$W$2:$W$201,0,0,)</f>
        <v>#VALUE!</v>
      </c>
      <c r="P71" s="72" t="str">
        <f t="array" ref="P71">XLOOKUP('Results and Rankings'!$A71,'Core Values Input'!$A$2:$A$201,'Core Values Input'!$X$2:$X$201,0,0,)</f>
        <v>#VALUE!</v>
      </c>
      <c r="Q71" s="72" t="str">
        <f t="array" ref="Q71">XLOOKUP('Results and Rankings'!$A71,'Core Values Input'!$A$2:$A$201,'Core Values Input'!$Y$2:$Y$201,0,0,)</f>
        <v>#VALUE!</v>
      </c>
      <c r="R71" s="38"/>
      <c r="S71" s="38"/>
      <c r="T71" s="72"/>
      <c r="U71" s="69" t="str">
        <f t="array" ref="U71">XLOOKUP('Results and Rankings'!$A71,'Core Values Input'!$A$2:$A$201,'Core Values Input'!$U$2:$U$201,0,0,)</f>
        <v>#VALUE!</v>
      </c>
      <c r="V71" s="69" t="str">
        <f t="array" ref="V71">XLOOKUP('Results and Rankings'!$A71,'Innovation Project Input'!$A$2:$A$201,'Innovation Project Input'!$M$2:$M$201,0,0,)</f>
        <v>#VALUE!</v>
      </c>
      <c r="W71" s="69" t="str">
        <f t="array" ref="W71">XLOOKUP('Results and Rankings'!$A71,'Robot Design Input'!$A$2:$A$201,'Robot Design Input'!$M$2:$M$201,0,0,)</f>
        <v>#VALUE!</v>
      </c>
      <c r="X71" s="73">
        <f>IF(ISERR(GEOMEAN('Results and Rankings'!$H71,'Results and Rankings'!$U71,'Results and Rankings'!$V71,'Results and Rankings'!$W71)),0,GEOMEAN('Results and Rankings'!$H71,'Results and Rankings'!$U71,'Results and Rankings'!$V71,'Results and Rankings'!$W71))</f>
        <v>0</v>
      </c>
      <c r="Y71" s="74">
        <f>IF(X71,_xlfn.RANK.EQ(X71,X$3:X$110,0),NumberOfTeams)</f>
        <v>0</v>
      </c>
      <c r="Z71" s="38"/>
    </row>
    <row r="72" ht="21.0" customHeight="1">
      <c r="A72" s="67" t="str">
        <f t="array" ref="A72">XLOOKUP(70,'Team and Program Information'!$B$3:$B$202,'Team and Program Information'!$C$3:$C$202,"ERROR",0)</f>
        <v/>
      </c>
      <c r="B72" s="68" t="str">
        <f t="array" ref="B72">XLOOKUP('Results and Rankings'!$A72,'Team and Program Information'!$C$3:$C$202,'Team and Program Information'!$D$3:$D$202,"",0,)</f>
        <v>#VALUE!</v>
      </c>
      <c r="C72" s="69" t="str">
        <f t="array" ref="C72">IF('Results and Rankings'!$A72="","",XLOOKUP('Results and Rankings'!$A72,'Robot Game Scores'!$B$2:$B$201,'Robot Game Scores'!$D$2:$D$201,0,0,))</f>
        <v/>
      </c>
      <c r="D72" s="69" t="str">
        <f t="array" ref="D72">IF('Results and Rankings'!$A72="","",XLOOKUP('Results and Rankings'!$A72,'Robot Game Scores'!$B$2:$B$201,'Robot Game Scores'!$E$2:$E$201,0,0,))</f>
        <v/>
      </c>
      <c r="E72" s="69" t="str">
        <f t="array" ref="E72">IF('Results and Rankings'!$A72="","",XLOOKUP('Results and Rankings'!$A72,'Robot Game Scores'!$B$2:$B$201,'Robot Game Scores'!$F$2:$F$201,0,0,))</f>
        <v/>
      </c>
      <c r="F72" s="69" t="str">
        <f t="array" ref="F72">IF('Results and Rankings'!$A72="","",XLOOKUP('Results and Rankings'!$A72,'Robot Game Scores'!$B$2:$B$201,'Robot Game Scores'!$G$2:$G$201,0,0,))</f>
        <v/>
      </c>
      <c r="G72" s="69" t="str">
        <f t="array" ref="G72">IF('Results and Rankings'!$A72="","",XLOOKUP('Results and Rankings'!$A72,'Robot Game Scores'!$B$2:$B$201,'Robot Game Scores'!$H$2:$H$201,0,0,))</f>
        <v/>
      </c>
      <c r="H72" s="69" t="str">
        <f>IF('Results and Rankings'!$A72="","",IF(ISNA(LARGE('Results and Rankings'!$C72:$G72,1)+0.0001*LARGE('Results and Rankings'!$C72:$G72,2)+0.0000001*LARGE('Results and Rankings'!$C72:$G72,3)+1E-11*LARGE('Results and Rankings'!$C72:$G72,4)+1E-14*LARGE('Results and Rankings'!$C72:$G72,5)),0,LARGE('Results and Rankings'!$C72:$G72,1)+0.0001*LARGE('Results and Rankings'!$C72:$G72,2)+0.0000001*LARGE('Results and Rankings'!$C72:$G72,3)+1E-11*LARGE('Results and Rankings'!$C72:$G72,4)+1E-14*LARGE('Results and Rankings'!$C72:$G72,5)))</f>
        <v/>
      </c>
      <c r="I72" s="69" t="str">
        <f>IF('Results and Rankings'!$A72="","",_xlfn.RANK.EQ('Results and Rankings'!$H72,'Results and Rankings'!$H$3:$H$202))</f>
        <v/>
      </c>
      <c r="J72" s="69" t="str">
        <f t="array" ref="J72">IF('Results and Rankings'!$A72="","",XLOOKUP('Results and Rankings'!$A72,'Core Values Input'!$A$2:$A$201,'Core Values Input'!$V$2:$V$201,NumberOfTeams+1,0,))</f>
        <v/>
      </c>
      <c r="K72" s="69" t="str">
        <f t="array" ref="K72">IF('Results and Rankings'!$A72="","",XLOOKUP('Results and Rankings'!$A72,'Innovation Project Input'!$A$2:$A$201,'Innovation Project Input'!$N$2:$N$201,NumberOfTeams+1,0,))</f>
        <v/>
      </c>
      <c r="L72" s="69" t="str">
        <f t="array" ref="L72">IF('Results and Rankings'!$A72="","",XLOOKUP('Results and Rankings'!$A72,'Robot Design Input'!$A$2:$A$201,'Robot Design Input'!$N$2:$N$201,NumberOfTeams+1,0,))</f>
        <v/>
      </c>
      <c r="M72" s="69" t="str">
        <f> IF('Results and Rankings'!$A72="","",IF('Results and Rankings'!$J72="",NumberOfTeams+1,'Results and Rankings'!$J72) + IF('Results and Rankings'!$K72="",NumberOfTeams+1,'Results and Rankings'!$K72) + IF('Results and Rankings'!$L72="",NumberOfTeams+1,'Results and Rankings'!$L72) + 'Results and Rankings'!$I72)</f>
        <v/>
      </c>
      <c r="N72" s="70" t="str">
        <f>IF('Results and Rankings'!$A72="","",IF(M72,RANK(M72,M$3:M$202,1)-COUNTIF(M$3:M$202,0),NumberOfTeams+1))</f>
        <v/>
      </c>
      <c r="O72" s="72" t="str">
        <f t="array" ref="O72">XLOOKUP('Results and Rankings'!$A72,'Core Values Input'!$A$2:$A$201,'Core Values Input'!$W$2:$W$201,0,0,)</f>
        <v>#VALUE!</v>
      </c>
      <c r="P72" s="72" t="str">
        <f t="array" ref="P72">XLOOKUP('Results and Rankings'!$A72,'Core Values Input'!$A$2:$A$201,'Core Values Input'!$X$2:$X$201,0,0,)</f>
        <v>#VALUE!</v>
      </c>
      <c r="Q72" s="72" t="str">
        <f t="array" ref="Q72">XLOOKUP('Results and Rankings'!$A72,'Core Values Input'!$A$2:$A$201,'Core Values Input'!$Y$2:$Y$201,0,0,)</f>
        <v>#VALUE!</v>
      </c>
      <c r="R72" s="38"/>
      <c r="S72" s="38"/>
      <c r="T72" s="72"/>
      <c r="U72" s="69" t="str">
        <f t="array" ref="U72">XLOOKUP('Results and Rankings'!$A72,'Core Values Input'!$A$2:$A$201,'Core Values Input'!$U$2:$U$201,0,0,)</f>
        <v>#VALUE!</v>
      </c>
      <c r="V72" s="69" t="str">
        <f t="array" ref="V72">XLOOKUP('Results and Rankings'!$A72,'Innovation Project Input'!$A$2:$A$201,'Innovation Project Input'!$M$2:$M$201,0,0,)</f>
        <v>#VALUE!</v>
      </c>
      <c r="W72" s="69" t="str">
        <f t="array" ref="W72">XLOOKUP('Results and Rankings'!$A72,'Robot Design Input'!$A$2:$A$201,'Robot Design Input'!$M$2:$M$201,0,0,)</f>
        <v>#VALUE!</v>
      </c>
      <c r="X72" s="73">
        <f>IF(ISERR(GEOMEAN('Results and Rankings'!$H72,'Results and Rankings'!$U72,'Results and Rankings'!$V72,'Results and Rankings'!$W72)),0,GEOMEAN('Results and Rankings'!$H72,'Results and Rankings'!$U72,'Results and Rankings'!$V72,'Results and Rankings'!$W72))</f>
        <v>0</v>
      </c>
      <c r="Y72" s="74">
        <f>IF(X72,_xlfn.RANK.EQ(X72,X$3:X$110,0),NumberOfTeams)</f>
        <v>0</v>
      </c>
      <c r="Z72" s="38"/>
    </row>
    <row r="73" ht="21.0" customHeight="1">
      <c r="A73" s="67" t="str">
        <f t="array" ref="A73">XLOOKUP(71,'Team and Program Information'!$B$3:$B$202,'Team and Program Information'!$C$3:$C$202,"ERROR",0)</f>
        <v/>
      </c>
      <c r="B73" s="68" t="str">
        <f t="array" ref="B73">XLOOKUP('Results and Rankings'!$A73,'Team and Program Information'!$C$3:$C$202,'Team and Program Information'!$D$3:$D$202,"",0,)</f>
        <v>#VALUE!</v>
      </c>
      <c r="C73" s="69" t="str">
        <f t="array" ref="C73">IF('Results and Rankings'!$A73="","",XLOOKUP('Results and Rankings'!$A73,'Robot Game Scores'!$B$2:$B$201,'Robot Game Scores'!$D$2:$D$201,0,0,))</f>
        <v/>
      </c>
      <c r="D73" s="69" t="str">
        <f t="array" ref="D73">IF('Results and Rankings'!$A73="","",XLOOKUP('Results and Rankings'!$A73,'Robot Game Scores'!$B$2:$B$201,'Robot Game Scores'!$E$2:$E$201,0,0,))</f>
        <v/>
      </c>
      <c r="E73" s="69" t="str">
        <f t="array" ref="E73">IF('Results and Rankings'!$A73="","",XLOOKUP('Results and Rankings'!$A73,'Robot Game Scores'!$B$2:$B$201,'Robot Game Scores'!$F$2:$F$201,0,0,))</f>
        <v/>
      </c>
      <c r="F73" s="69" t="str">
        <f t="array" ref="F73">IF('Results and Rankings'!$A73="","",XLOOKUP('Results and Rankings'!$A73,'Robot Game Scores'!$B$2:$B$201,'Robot Game Scores'!$G$2:$G$201,0,0,))</f>
        <v/>
      </c>
      <c r="G73" s="69" t="str">
        <f t="array" ref="G73">IF('Results and Rankings'!$A73="","",XLOOKUP('Results and Rankings'!$A73,'Robot Game Scores'!$B$2:$B$201,'Robot Game Scores'!$H$2:$H$201,0,0,))</f>
        <v/>
      </c>
      <c r="H73" s="69" t="str">
        <f>IF('Results and Rankings'!$A73="","",IF(ISNA(LARGE('Results and Rankings'!$C73:$G73,1)+0.0001*LARGE('Results and Rankings'!$C73:$G73,2)+0.0000001*LARGE('Results and Rankings'!$C73:$G73,3)+1E-11*LARGE('Results and Rankings'!$C73:$G73,4)+1E-14*LARGE('Results and Rankings'!$C73:$G73,5)),0,LARGE('Results and Rankings'!$C73:$G73,1)+0.0001*LARGE('Results and Rankings'!$C73:$G73,2)+0.0000001*LARGE('Results and Rankings'!$C73:$G73,3)+1E-11*LARGE('Results and Rankings'!$C73:$G73,4)+1E-14*LARGE('Results and Rankings'!$C73:$G73,5)))</f>
        <v/>
      </c>
      <c r="I73" s="69" t="str">
        <f>IF('Results and Rankings'!$A73="","",_xlfn.RANK.EQ('Results and Rankings'!$H73,'Results and Rankings'!$H$3:$H$202))</f>
        <v/>
      </c>
      <c r="J73" s="69" t="str">
        <f t="array" ref="J73">IF('Results and Rankings'!$A73="","",XLOOKUP('Results and Rankings'!$A73,'Core Values Input'!$A$2:$A$201,'Core Values Input'!$V$2:$V$201,NumberOfTeams+1,0,))</f>
        <v/>
      </c>
      <c r="K73" s="69" t="str">
        <f t="array" ref="K73">IF('Results and Rankings'!$A73="","",XLOOKUP('Results and Rankings'!$A73,'Innovation Project Input'!$A$2:$A$201,'Innovation Project Input'!$N$2:$N$201,NumberOfTeams+1,0,))</f>
        <v/>
      </c>
      <c r="L73" s="69" t="str">
        <f t="array" ref="L73">IF('Results and Rankings'!$A73="","",XLOOKUP('Results and Rankings'!$A73,'Robot Design Input'!$A$2:$A$201,'Robot Design Input'!$N$2:$N$201,NumberOfTeams+1,0,))</f>
        <v/>
      </c>
      <c r="M73" s="69" t="str">
        <f> IF('Results and Rankings'!$A73="","",IF('Results and Rankings'!$J73="",NumberOfTeams+1,'Results and Rankings'!$J73) + IF('Results and Rankings'!$K73="",NumberOfTeams+1,'Results and Rankings'!$K73) + IF('Results and Rankings'!$L73="",NumberOfTeams+1,'Results and Rankings'!$L73) + 'Results and Rankings'!$I73)</f>
        <v/>
      </c>
      <c r="N73" s="70" t="str">
        <f>IF('Results and Rankings'!$A73="","",IF(M73,RANK(M73,M$3:M$202,1)-COUNTIF(M$3:M$202,0),NumberOfTeams+1))</f>
        <v/>
      </c>
      <c r="O73" s="72" t="str">
        <f t="array" ref="O73">XLOOKUP('Results and Rankings'!$A73,'Core Values Input'!$A$2:$A$201,'Core Values Input'!$W$2:$W$201,0,0,)</f>
        <v>#VALUE!</v>
      </c>
      <c r="P73" s="72" t="str">
        <f t="array" ref="P73">XLOOKUP('Results and Rankings'!$A73,'Core Values Input'!$A$2:$A$201,'Core Values Input'!$X$2:$X$201,0,0,)</f>
        <v>#VALUE!</v>
      </c>
      <c r="Q73" s="72" t="str">
        <f t="array" ref="Q73">XLOOKUP('Results and Rankings'!$A73,'Core Values Input'!$A$2:$A$201,'Core Values Input'!$Y$2:$Y$201,0,0,)</f>
        <v>#VALUE!</v>
      </c>
      <c r="R73" s="38"/>
      <c r="S73" s="38"/>
      <c r="T73" s="72"/>
      <c r="U73" s="69" t="str">
        <f t="array" ref="U73">XLOOKUP('Results and Rankings'!$A73,'Core Values Input'!$A$2:$A$201,'Core Values Input'!$U$2:$U$201,0,0,)</f>
        <v>#VALUE!</v>
      </c>
      <c r="V73" s="69" t="str">
        <f t="array" ref="V73">XLOOKUP('Results and Rankings'!$A73,'Innovation Project Input'!$A$2:$A$201,'Innovation Project Input'!$M$2:$M$201,0,0,)</f>
        <v>#VALUE!</v>
      </c>
      <c r="W73" s="69" t="str">
        <f t="array" ref="W73">XLOOKUP('Results and Rankings'!$A73,'Robot Design Input'!$A$2:$A$201,'Robot Design Input'!$M$2:$M$201,0,0,)</f>
        <v>#VALUE!</v>
      </c>
      <c r="X73" s="73">
        <f>IF(ISERR(GEOMEAN('Results and Rankings'!$H73,'Results and Rankings'!$U73,'Results and Rankings'!$V73,'Results and Rankings'!$W73)),0,GEOMEAN('Results and Rankings'!$H73,'Results and Rankings'!$U73,'Results and Rankings'!$V73,'Results and Rankings'!$W73))</f>
        <v>0</v>
      </c>
      <c r="Y73" s="74">
        <f>IF(X73,_xlfn.RANK.EQ(X73,X$3:X$110,0),NumberOfTeams)</f>
        <v>0</v>
      </c>
      <c r="Z73" s="38"/>
    </row>
    <row r="74" ht="21.0" customHeight="1">
      <c r="A74" s="67" t="str">
        <f t="array" ref="A74">XLOOKUP(72,'Team and Program Information'!$B$3:$B$202,'Team and Program Information'!$C$3:$C$202,"ERROR",0)</f>
        <v/>
      </c>
      <c r="B74" s="68" t="str">
        <f t="array" ref="B74">XLOOKUP('Results and Rankings'!$A74,'Team and Program Information'!$C$3:$C$202,'Team and Program Information'!$D$3:$D$202,"",0,)</f>
        <v>#VALUE!</v>
      </c>
      <c r="C74" s="69" t="str">
        <f t="array" ref="C74">IF('Results and Rankings'!$A74="","",XLOOKUP('Results and Rankings'!$A74,'Robot Game Scores'!$B$2:$B$201,'Robot Game Scores'!$D$2:$D$201,0,0,))</f>
        <v/>
      </c>
      <c r="D74" s="69" t="str">
        <f t="array" ref="D74">IF('Results and Rankings'!$A74="","",XLOOKUP('Results and Rankings'!$A74,'Robot Game Scores'!$B$2:$B$201,'Robot Game Scores'!$E$2:$E$201,0,0,))</f>
        <v/>
      </c>
      <c r="E74" s="69" t="str">
        <f t="array" ref="E74">IF('Results and Rankings'!$A74="","",XLOOKUP('Results and Rankings'!$A74,'Robot Game Scores'!$B$2:$B$201,'Robot Game Scores'!$F$2:$F$201,0,0,))</f>
        <v/>
      </c>
      <c r="F74" s="69" t="str">
        <f t="array" ref="F74">IF('Results and Rankings'!$A74="","",XLOOKUP('Results and Rankings'!$A74,'Robot Game Scores'!$B$2:$B$201,'Robot Game Scores'!$G$2:$G$201,0,0,))</f>
        <v/>
      </c>
      <c r="G74" s="69" t="str">
        <f t="array" ref="G74">IF('Results and Rankings'!$A74="","",XLOOKUP('Results and Rankings'!$A74,'Robot Game Scores'!$B$2:$B$201,'Robot Game Scores'!$H$2:$H$201,0,0,))</f>
        <v/>
      </c>
      <c r="H74" s="69" t="str">
        <f>IF('Results and Rankings'!$A74="","",IF(ISNA(LARGE('Results and Rankings'!$C74:$G74,1)+0.0001*LARGE('Results and Rankings'!$C74:$G74,2)+0.0000001*LARGE('Results and Rankings'!$C74:$G74,3)+1E-11*LARGE('Results and Rankings'!$C74:$G74,4)+1E-14*LARGE('Results and Rankings'!$C74:$G74,5)),0,LARGE('Results and Rankings'!$C74:$G74,1)+0.0001*LARGE('Results and Rankings'!$C74:$G74,2)+0.0000001*LARGE('Results and Rankings'!$C74:$G74,3)+1E-11*LARGE('Results and Rankings'!$C74:$G74,4)+1E-14*LARGE('Results and Rankings'!$C74:$G74,5)))</f>
        <v/>
      </c>
      <c r="I74" s="69" t="str">
        <f>IF('Results and Rankings'!$A74="","",_xlfn.RANK.EQ('Results and Rankings'!$H74,'Results and Rankings'!$H$3:$H$202))</f>
        <v/>
      </c>
      <c r="J74" s="69" t="str">
        <f t="array" ref="J74">IF('Results and Rankings'!$A74="","",XLOOKUP('Results and Rankings'!$A74,'Core Values Input'!$A$2:$A$201,'Core Values Input'!$V$2:$V$201,NumberOfTeams+1,0,))</f>
        <v/>
      </c>
      <c r="K74" s="69" t="str">
        <f t="array" ref="K74">IF('Results and Rankings'!$A74="","",XLOOKUP('Results and Rankings'!$A74,'Innovation Project Input'!$A$2:$A$201,'Innovation Project Input'!$N$2:$N$201,NumberOfTeams+1,0,))</f>
        <v/>
      </c>
      <c r="L74" s="69" t="str">
        <f t="array" ref="L74">IF('Results and Rankings'!$A74="","",XLOOKUP('Results and Rankings'!$A74,'Robot Design Input'!$A$2:$A$201,'Robot Design Input'!$N$2:$N$201,NumberOfTeams+1,0,))</f>
        <v/>
      </c>
      <c r="M74" s="69" t="str">
        <f> IF('Results and Rankings'!$A74="","",IF('Results and Rankings'!$J74="",NumberOfTeams+1,'Results and Rankings'!$J74) + IF('Results and Rankings'!$K74="",NumberOfTeams+1,'Results and Rankings'!$K74) + IF('Results and Rankings'!$L74="",NumberOfTeams+1,'Results and Rankings'!$L74) + 'Results and Rankings'!$I74)</f>
        <v/>
      </c>
      <c r="N74" s="70" t="str">
        <f>IF('Results and Rankings'!$A74="","",IF(M74,RANK(M74,M$3:M$202,1)-COUNTIF(M$3:M$202,0),NumberOfTeams+1))</f>
        <v/>
      </c>
      <c r="O74" s="72" t="str">
        <f t="array" ref="O74">XLOOKUP('Results and Rankings'!$A74,'Core Values Input'!$A$2:$A$201,'Core Values Input'!$W$2:$W$201,0,0,)</f>
        <v>#VALUE!</v>
      </c>
      <c r="P74" s="72" t="str">
        <f t="array" ref="P74">XLOOKUP('Results and Rankings'!$A74,'Core Values Input'!$A$2:$A$201,'Core Values Input'!$X$2:$X$201,0,0,)</f>
        <v>#VALUE!</v>
      </c>
      <c r="Q74" s="72" t="str">
        <f t="array" ref="Q74">XLOOKUP('Results and Rankings'!$A74,'Core Values Input'!$A$2:$A$201,'Core Values Input'!$Y$2:$Y$201,0,0,)</f>
        <v>#VALUE!</v>
      </c>
      <c r="R74" s="38"/>
      <c r="S74" s="38"/>
      <c r="T74" s="72"/>
      <c r="U74" s="69" t="str">
        <f t="array" ref="U74">XLOOKUP('Results and Rankings'!$A74,'Core Values Input'!$A$2:$A$201,'Core Values Input'!$U$2:$U$201,0,0,)</f>
        <v>#VALUE!</v>
      </c>
      <c r="V74" s="69" t="str">
        <f t="array" ref="V74">XLOOKUP('Results and Rankings'!$A74,'Innovation Project Input'!$A$2:$A$201,'Innovation Project Input'!$M$2:$M$201,0,0,)</f>
        <v>#VALUE!</v>
      </c>
      <c r="W74" s="69" t="str">
        <f t="array" ref="W74">XLOOKUP('Results and Rankings'!$A74,'Robot Design Input'!$A$2:$A$201,'Robot Design Input'!$M$2:$M$201,0,0,)</f>
        <v>#VALUE!</v>
      </c>
      <c r="X74" s="73">
        <f>IF(ISERR(GEOMEAN('Results and Rankings'!$H74,'Results and Rankings'!$U74,'Results and Rankings'!$V74,'Results and Rankings'!$W74)),0,GEOMEAN('Results and Rankings'!$H74,'Results and Rankings'!$U74,'Results and Rankings'!$V74,'Results and Rankings'!$W74))</f>
        <v>0</v>
      </c>
      <c r="Y74" s="74">
        <f>IF(X74,_xlfn.RANK.EQ(X74,X$3:X$110,0),NumberOfTeams)</f>
        <v>0</v>
      </c>
      <c r="Z74" s="38"/>
    </row>
    <row r="75" ht="21.0" customHeight="1">
      <c r="A75" s="67" t="str">
        <f t="array" ref="A75">XLOOKUP(73,'Team and Program Information'!$B$3:$B$202,'Team and Program Information'!$C$3:$C$202,"ERROR",0)</f>
        <v/>
      </c>
      <c r="B75" s="68" t="str">
        <f t="array" ref="B75">XLOOKUP('Results and Rankings'!$A75,'Team and Program Information'!$C$3:$C$202,'Team and Program Information'!$D$3:$D$202,"",0,)</f>
        <v>#VALUE!</v>
      </c>
      <c r="C75" s="69" t="str">
        <f t="array" ref="C75">IF('Results and Rankings'!$A75="","",XLOOKUP('Results and Rankings'!$A75,'Robot Game Scores'!$B$2:$B$201,'Robot Game Scores'!$D$2:$D$201,0,0,))</f>
        <v/>
      </c>
      <c r="D75" s="69" t="str">
        <f t="array" ref="D75">IF('Results and Rankings'!$A75="","",XLOOKUP('Results and Rankings'!$A75,'Robot Game Scores'!$B$2:$B$201,'Robot Game Scores'!$E$2:$E$201,0,0,))</f>
        <v/>
      </c>
      <c r="E75" s="69" t="str">
        <f t="array" ref="E75">IF('Results and Rankings'!$A75="","",XLOOKUP('Results and Rankings'!$A75,'Robot Game Scores'!$B$2:$B$201,'Robot Game Scores'!$F$2:$F$201,0,0,))</f>
        <v/>
      </c>
      <c r="F75" s="69" t="str">
        <f t="array" ref="F75">IF('Results and Rankings'!$A75="","",XLOOKUP('Results and Rankings'!$A75,'Robot Game Scores'!$B$2:$B$201,'Robot Game Scores'!$G$2:$G$201,0,0,))</f>
        <v/>
      </c>
      <c r="G75" s="69" t="str">
        <f t="array" ref="G75">IF('Results and Rankings'!$A75="","",XLOOKUP('Results and Rankings'!$A75,'Robot Game Scores'!$B$2:$B$201,'Robot Game Scores'!$H$2:$H$201,0,0,))</f>
        <v/>
      </c>
      <c r="H75" s="69" t="str">
        <f>IF('Results and Rankings'!$A75="","",IF(ISNA(LARGE('Results and Rankings'!$C75:$G75,1)+0.0001*LARGE('Results and Rankings'!$C75:$G75,2)+0.0000001*LARGE('Results and Rankings'!$C75:$G75,3)+1E-11*LARGE('Results and Rankings'!$C75:$G75,4)+1E-14*LARGE('Results and Rankings'!$C75:$G75,5)),0,LARGE('Results and Rankings'!$C75:$G75,1)+0.0001*LARGE('Results and Rankings'!$C75:$G75,2)+0.0000001*LARGE('Results and Rankings'!$C75:$G75,3)+1E-11*LARGE('Results and Rankings'!$C75:$G75,4)+1E-14*LARGE('Results and Rankings'!$C75:$G75,5)))</f>
        <v/>
      </c>
      <c r="I75" s="69" t="str">
        <f>IF('Results and Rankings'!$A75="","",_xlfn.RANK.EQ('Results and Rankings'!$H75,'Results and Rankings'!$H$3:$H$202))</f>
        <v/>
      </c>
      <c r="J75" s="69" t="str">
        <f t="array" ref="J75">IF('Results and Rankings'!$A75="","",XLOOKUP('Results and Rankings'!$A75,'Core Values Input'!$A$2:$A$201,'Core Values Input'!$V$2:$V$201,NumberOfTeams+1,0,))</f>
        <v/>
      </c>
      <c r="K75" s="69" t="str">
        <f t="array" ref="K75">IF('Results and Rankings'!$A75="","",XLOOKUP('Results and Rankings'!$A75,'Innovation Project Input'!$A$2:$A$201,'Innovation Project Input'!$N$2:$N$201,NumberOfTeams+1,0,))</f>
        <v/>
      </c>
      <c r="L75" s="69" t="str">
        <f t="array" ref="L75">IF('Results and Rankings'!$A75="","",XLOOKUP('Results and Rankings'!$A75,'Robot Design Input'!$A$2:$A$201,'Robot Design Input'!$N$2:$N$201,NumberOfTeams+1,0,))</f>
        <v/>
      </c>
      <c r="M75" s="69" t="str">
        <f> IF('Results and Rankings'!$A75="","",IF('Results and Rankings'!$J75="",NumberOfTeams+1,'Results and Rankings'!$J75) + IF('Results and Rankings'!$K75="",NumberOfTeams+1,'Results and Rankings'!$K75) + IF('Results and Rankings'!$L75="",NumberOfTeams+1,'Results and Rankings'!$L75) + 'Results and Rankings'!$I75)</f>
        <v/>
      </c>
      <c r="N75" s="70" t="str">
        <f>IF('Results and Rankings'!$A75="","",IF(M75,RANK(M75,M$3:M$202,1)-COUNTIF(M$3:M$202,0),NumberOfTeams+1))</f>
        <v/>
      </c>
      <c r="O75" s="72" t="str">
        <f t="array" ref="O75">XLOOKUP('Results and Rankings'!$A75,'Core Values Input'!$A$2:$A$201,'Core Values Input'!$W$2:$W$201,0,0,)</f>
        <v>#VALUE!</v>
      </c>
      <c r="P75" s="72" t="str">
        <f t="array" ref="P75">XLOOKUP('Results and Rankings'!$A75,'Core Values Input'!$A$2:$A$201,'Core Values Input'!$X$2:$X$201,0,0,)</f>
        <v>#VALUE!</v>
      </c>
      <c r="Q75" s="72" t="str">
        <f t="array" ref="Q75">XLOOKUP('Results and Rankings'!$A75,'Core Values Input'!$A$2:$A$201,'Core Values Input'!$Y$2:$Y$201,0,0,)</f>
        <v>#VALUE!</v>
      </c>
      <c r="R75" s="38"/>
      <c r="S75" s="38"/>
      <c r="T75" s="72"/>
      <c r="U75" s="69" t="str">
        <f t="array" ref="U75">XLOOKUP('Results and Rankings'!$A75,'Core Values Input'!$A$2:$A$201,'Core Values Input'!$U$2:$U$201,0,0,)</f>
        <v>#VALUE!</v>
      </c>
      <c r="V75" s="69" t="str">
        <f t="array" ref="V75">XLOOKUP('Results and Rankings'!$A75,'Innovation Project Input'!$A$2:$A$201,'Innovation Project Input'!$M$2:$M$201,0,0,)</f>
        <v>#VALUE!</v>
      </c>
      <c r="W75" s="69" t="str">
        <f t="array" ref="W75">XLOOKUP('Results and Rankings'!$A75,'Robot Design Input'!$A$2:$A$201,'Robot Design Input'!$M$2:$M$201,0,0,)</f>
        <v>#VALUE!</v>
      </c>
      <c r="X75" s="73">
        <f>IF(ISERR(GEOMEAN('Results and Rankings'!$H75,'Results and Rankings'!$U75,'Results and Rankings'!$V75,'Results and Rankings'!$W75)),0,GEOMEAN('Results and Rankings'!$H75,'Results and Rankings'!$U75,'Results and Rankings'!$V75,'Results and Rankings'!$W75))</f>
        <v>0</v>
      </c>
      <c r="Y75" s="74">
        <f>IF(X75,_xlfn.RANK.EQ(X75,X$3:X$110,0),NumberOfTeams)</f>
        <v>0</v>
      </c>
      <c r="Z75" s="38"/>
    </row>
    <row r="76" ht="21.0" customHeight="1">
      <c r="A76" s="67" t="str">
        <f t="array" ref="A76">XLOOKUP(74,'Team and Program Information'!$B$3:$B$202,'Team and Program Information'!$C$3:$C$202,"ERROR",0)</f>
        <v/>
      </c>
      <c r="B76" s="68" t="str">
        <f t="array" ref="B76">XLOOKUP('Results and Rankings'!$A76,'Team and Program Information'!$C$3:$C$202,'Team and Program Information'!$D$3:$D$202,"",0,)</f>
        <v>#VALUE!</v>
      </c>
      <c r="C76" s="69" t="str">
        <f t="array" ref="C76">IF('Results and Rankings'!$A76="","",XLOOKUP('Results and Rankings'!$A76,'Robot Game Scores'!$B$2:$B$201,'Robot Game Scores'!$D$2:$D$201,0,0,))</f>
        <v/>
      </c>
      <c r="D76" s="69" t="str">
        <f t="array" ref="D76">IF('Results and Rankings'!$A76="","",XLOOKUP('Results and Rankings'!$A76,'Robot Game Scores'!$B$2:$B$201,'Robot Game Scores'!$E$2:$E$201,0,0,))</f>
        <v/>
      </c>
      <c r="E76" s="69" t="str">
        <f t="array" ref="E76">IF('Results and Rankings'!$A76="","",XLOOKUP('Results and Rankings'!$A76,'Robot Game Scores'!$B$2:$B$201,'Robot Game Scores'!$F$2:$F$201,0,0,))</f>
        <v/>
      </c>
      <c r="F76" s="69" t="str">
        <f t="array" ref="F76">IF('Results and Rankings'!$A76="","",XLOOKUP('Results and Rankings'!$A76,'Robot Game Scores'!$B$2:$B$201,'Robot Game Scores'!$G$2:$G$201,0,0,))</f>
        <v/>
      </c>
      <c r="G76" s="69" t="str">
        <f t="array" ref="G76">IF('Results and Rankings'!$A76="","",XLOOKUP('Results and Rankings'!$A76,'Robot Game Scores'!$B$2:$B$201,'Robot Game Scores'!$H$2:$H$201,0,0,))</f>
        <v/>
      </c>
      <c r="H76" s="69" t="str">
        <f>IF('Results and Rankings'!$A76="","",IF(ISNA(LARGE('Results and Rankings'!$C76:$G76,1)+0.0001*LARGE('Results and Rankings'!$C76:$G76,2)+0.0000001*LARGE('Results and Rankings'!$C76:$G76,3)+1E-11*LARGE('Results and Rankings'!$C76:$G76,4)+1E-14*LARGE('Results and Rankings'!$C76:$G76,5)),0,LARGE('Results and Rankings'!$C76:$G76,1)+0.0001*LARGE('Results and Rankings'!$C76:$G76,2)+0.0000001*LARGE('Results and Rankings'!$C76:$G76,3)+1E-11*LARGE('Results and Rankings'!$C76:$G76,4)+1E-14*LARGE('Results and Rankings'!$C76:$G76,5)))</f>
        <v/>
      </c>
      <c r="I76" s="69" t="str">
        <f>IF('Results and Rankings'!$A76="","",_xlfn.RANK.EQ('Results and Rankings'!$H76,'Results and Rankings'!$H$3:$H$202))</f>
        <v/>
      </c>
      <c r="J76" s="69" t="str">
        <f t="array" ref="J76">IF('Results and Rankings'!$A76="","",XLOOKUP('Results and Rankings'!$A76,'Core Values Input'!$A$2:$A$201,'Core Values Input'!$V$2:$V$201,NumberOfTeams+1,0,))</f>
        <v/>
      </c>
      <c r="K76" s="69" t="str">
        <f t="array" ref="K76">IF('Results and Rankings'!$A76="","",XLOOKUP('Results and Rankings'!$A76,'Innovation Project Input'!$A$2:$A$201,'Innovation Project Input'!$N$2:$N$201,NumberOfTeams+1,0,))</f>
        <v/>
      </c>
      <c r="L76" s="69" t="str">
        <f t="array" ref="L76">IF('Results and Rankings'!$A76="","",XLOOKUP('Results and Rankings'!$A76,'Robot Design Input'!$A$2:$A$201,'Robot Design Input'!$N$2:$N$201,NumberOfTeams+1,0,))</f>
        <v/>
      </c>
      <c r="M76" s="69" t="str">
        <f> IF('Results and Rankings'!$A76="","",IF('Results and Rankings'!$J76="",NumberOfTeams+1,'Results and Rankings'!$J76) + IF('Results and Rankings'!$K76="",NumberOfTeams+1,'Results and Rankings'!$K76) + IF('Results and Rankings'!$L76="",NumberOfTeams+1,'Results and Rankings'!$L76) + 'Results and Rankings'!$I76)</f>
        <v/>
      </c>
      <c r="N76" s="70" t="str">
        <f>IF('Results and Rankings'!$A76="","",IF(M76,RANK(M76,M$3:M$202,1)-COUNTIF(M$3:M$202,0),NumberOfTeams+1))</f>
        <v/>
      </c>
      <c r="O76" s="72" t="str">
        <f t="array" ref="O76">XLOOKUP('Results and Rankings'!$A76,'Core Values Input'!$A$2:$A$201,'Core Values Input'!$W$2:$W$201,0,0,)</f>
        <v>#VALUE!</v>
      </c>
      <c r="P76" s="72" t="str">
        <f t="array" ref="P76">XLOOKUP('Results and Rankings'!$A76,'Core Values Input'!$A$2:$A$201,'Core Values Input'!$X$2:$X$201,0,0,)</f>
        <v>#VALUE!</v>
      </c>
      <c r="Q76" s="72" t="str">
        <f t="array" ref="Q76">XLOOKUP('Results and Rankings'!$A76,'Core Values Input'!$A$2:$A$201,'Core Values Input'!$Y$2:$Y$201,0,0,)</f>
        <v>#VALUE!</v>
      </c>
      <c r="R76" s="38"/>
      <c r="S76" s="38"/>
      <c r="T76" s="72"/>
      <c r="U76" s="69" t="str">
        <f t="array" ref="U76">XLOOKUP('Results and Rankings'!$A76,'Core Values Input'!$A$2:$A$201,'Core Values Input'!$U$2:$U$201,0,0,)</f>
        <v>#VALUE!</v>
      </c>
      <c r="V76" s="69" t="str">
        <f t="array" ref="V76">XLOOKUP('Results and Rankings'!$A76,'Innovation Project Input'!$A$2:$A$201,'Innovation Project Input'!$M$2:$M$201,0,0,)</f>
        <v>#VALUE!</v>
      </c>
      <c r="W76" s="69" t="str">
        <f t="array" ref="W76">XLOOKUP('Results and Rankings'!$A76,'Robot Design Input'!$A$2:$A$201,'Robot Design Input'!$M$2:$M$201,0,0,)</f>
        <v>#VALUE!</v>
      </c>
      <c r="X76" s="73">
        <f>IF(ISERR(GEOMEAN('Results and Rankings'!$H76,'Results and Rankings'!$U76,'Results and Rankings'!$V76,'Results and Rankings'!$W76)),0,GEOMEAN('Results and Rankings'!$H76,'Results and Rankings'!$U76,'Results and Rankings'!$V76,'Results and Rankings'!$W76))</f>
        <v>0</v>
      </c>
      <c r="Y76" s="74">
        <f>IF(X76,_xlfn.RANK.EQ(X76,X$3:X$110,0),NumberOfTeams)</f>
        <v>0</v>
      </c>
      <c r="Z76" s="38"/>
    </row>
    <row r="77" ht="21.0" customHeight="1">
      <c r="A77" s="67" t="str">
        <f t="array" ref="A77">XLOOKUP(75,'Team and Program Information'!$B$3:$B$202,'Team and Program Information'!$C$3:$C$202,"ERROR",0)</f>
        <v/>
      </c>
      <c r="B77" s="68" t="str">
        <f t="array" ref="B77">XLOOKUP('Results and Rankings'!$A77,'Team and Program Information'!$C$3:$C$202,'Team and Program Information'!$D$3:$D$202,"",0,)</f>
        <v>#VALUE!</v>
      </c>
      <c r="C77" s="69" t="str">
        <f t="array" ref="C77">IF('Results and Rankings'!$A77="","",XLOOKUP('Results and Rankings'!$A77,'Robot Game Scores'!$B$2:$B$201,'Robot Game Scores'!$D$2:$D$201,0,0,))</f>
        <v/>
      </c>
      <c r="D77" s="69" t="str">
        <f t="array" ref="D77">IF('Results and Rankings'!$A77="","",XLOOKUP('Results and Rankings'!$A77,'Robot Game Scores'!$B$2:$B$201,'Robot Game Scores'!$E$2:$E$201,0,0,))</f>
        <v/>
      </c>
      <c r="E77" s="69" t="str">
        <f t="array" ref="E77">IF('Results and Rankings'!$A77="","",XLOOKUP('Results and Rankings'!$A77,'Robot Game Scores'!$B$2:$B$201,'Robot Game Scores'!$F$2:$F$201,0,0,))</f>
        <v/>
      </c>
      <c r="F77" s="69" t="str">
        <f t="array" ref="F77">IF('Results and Rankings'!$A77="","",XLOOKUP('Results and Rankings'!$A77,'Robot Game Scores'!$B$2:$B$201,'Robot Game Scores'!$G$2:$G$201,0,0,))</f>
        <v/>
      </c>
      <c r="G77" s="69" t="str">
        <f t="array" ref="G77">IF('Results and Rankings'!$A77="","",XLOOKUP('Results and Rankings'!$A77,'Robot Game Scores'!$B$2:$B$201,'Robot Game Scores'!$H$2:$H$201,0,0,))</f>
        <v/>
      </c>
      <c r="H77" s="69" t="str">
        <f>IF('Results and Rankings'!$A77="","",IF(ISNA(LARGE('Results and Rankings'!$C77:$G77,1)+0.0001*LARGE('Results and Rankings'!$C77:$G77,2)+0.0000001*LARGE('Results and Rankings'!$C77:$G77,3)+1E-11*LARGE('Results and Rankings'!$C77:$G77,4)+1E-14*LARGE('Results and Rankings'!$C77:$G77,5)),0,LARGE('Results and Rankings'!$C77:$G77,1)+0.0001*LARGE('Results and Rankings'!$C77:$G77,2)+0.0000001*LARGE('Results and Rankings'!$C77:$G77,3)+1E-11*LARGE('Results and Rankings'!$C77:$G77,4)+1E-14*LARGE('Results and Rankings'!$C77:$G77,5)))</f>
        <v/>
      </c>
      <c r="I77" s="69" t="str">
        <f>IF('Results and Rankings'!$A77="","",_xlfn.RANK.EQ('Results and Rankings'!$H77,'Results and Rankings'!$H$3:$H$202))</f>
        <v/>
      </c>
      <c r="J77" s="69" t="str">
        <f t="array" ref="J77">IF('Results and Rankings'!$A77="","",XLOOKUP('Results and Rankings'!$A77,'Core Values Input'!$A$2:$A$201,'Core Values Input'!$V$2:$V$201,NumberOfTeams+1,0,))</f>
        <v/>
      </c>
      <c r="K77" s="69" t="str">
        <f t="array" ref="K77">IF('Results and Rankings'!$A77="","",XLOOKUP('Results and Rankings'!$A77,'Innovation Project Input'!$A$2:$A$201,'Innovation Project Input'!$N$2:$N$201,NumberOfTeams+1,0,))</f>
        <v/>
      </c>
      <c r="L77" s="69" t="str">
        <f t="array" ref="L77">IF('Results and Rankings'!$A77="","",XLOOKUP('Results and Rankings'!$A77,'Robot Design Input'!$A$2:$A$201,'Robot Design Input'!$N$2:$N$201,NumberOfTeams+1,0,))</f>
        <v/>
      </c>
      <c r="M77" s="69" t="str">
        <f> IF('Results and Rankings'!$A77="","",IF('Results and Rankings'!$J77="",NumberOfTeams+1,'Results and Rankings'!$J77) + IF('Results and Rankings'!$K77="",NumberOfTeams+1,'Results and Rankings'!$K77) + IF('Results and Rankings'!$L77="",NumberOfTeams+1,'Results and Rankings'!$L77) + 'Results and Rankings'!$I77)</f>
        <v/>
      </c>
      <c r="N77" s="70" t="str">
        <f>IF('Results and Rankings'!$A77="","",IF(M77,RANK(M77,M$3:M$202,1)-COUNTIF(M$3:M$202,0),NumberOfTeams+1))</f>
        <v/>
      </c>
      <c r="O77" s="72" t="str">
        <f t="array" ref="O77">XLOOKUP('Results and Rankings'!$A77,'Core Values Input'!$A$2:$A$201,'Core Values Input'!$W$2:$W$201,0,0,)</f>
        <v>#VALUE!</v>
      </c>
      <c r="P77" s="72" t="str">
        <f t="array" ref="P77">XLOOKUP('Results and Rankings'!$A77,'Core Values Input'!$A$2:$A$201,'Core Values Input'!$X$2:$X$201,0,0,)</f>
        <v>#VALUE!</v>
      </c>
      <c r="Q77" s="72" t="str">
        <f t="array" ref="Q77">XLOOKUP('Results and Rankings'!$A77,'Core Values Input'!$A$2:$A$201,'Core Values Input'!$Y$2:$Y$201,0,0,)</f>
        <v>#VALUE!</v>
      </c>
      <c r="R77" s="38"/>
      <c r="S77" s="38"/>
      <c r="T77" s="72"/>
      <c r="U77" s="69" t="str">
        <f t="array" ref="U77">XLOOKUP('Results and Rankings'!$A77,'Core Values Input'!$A$2:$A$201,'Core Values Input'!$U$2:$U$201,0,0,)</f>
        <v>#VALUE!</v>
      </c>
      <c r="V77" s="69" t="str">
        <f t="array" ref="V77">XLOOKUP('Results and Rankings'!$A77,'Innovation Project Input'!$A$2:$A$201,'Innovation Project Input'!$M$2:$M$201,0,0,)</f>
        <v>#VALUE!</v>
      </c>
      <c r="W77" s="69" t="str">
        <f t="array" ref="W77">XLOOKUP('Results and Rankings'!$A77,'Robot Design Input'!$A$2:$A$201,'Robot Design Input'!$M$2:$M$201,0,0,)</f>
        <v>#VALUE!</v>
      </c>
      <c r="X77" s="73">
        <f>IF(ISERR(GEOMEAN('Results and Rankings'!$H77,'Results and Rankings'!$U77,'Results and Rankings'!$V77,'Results and Rankings'!$W77)),0,GEOMEAN('Results and Rankings'!$H77,'Results and Rankings'!$U77,'Results and Rankings'!$V77,'Results and Rankings'!$W77))</f>
        <v>0</v>
      </c>
      <c r="Y77" s="74">
        <f>IF(X77,_xlfn.RANK.EQ(X77,X$3:X$110,0),NumberOfTeams)</f>
        <v>0</v>
      </c>
      <c r="Z77" s="38"/>
    </row>
    <row r="78" ht="21.0" customHeight="1">
      <c r="A78" s="67" t="str">
        <f t="array" ref="A78">XLOOKUP(76,'Team and Program Information'!$B$3:$B$202,'Team and Program Information'!$C$3:$C$202,"ERROR",0)</f>
        <v/>
      </c>
      <c r="B78" s="68" t="str">
        <f t="array" ref="B78">XLOOKUP('Results and Rankings'!$A78,'Team and Program Information'!$C$3:$C$202,'Team and Program Information'!$D$3:$D$202,"",0,)</f>
        <v>#VALUE!</v>
      </c>
      <c r="C78" s="69" t="str">
        <f t="array" ref="C78">IF('Results and Rankings'!$A78="","",XLOOKUP('Results and Rankings'!$A78,'Robot Game Scores'!$B$2:$B$201,'Robot Game Scores'!$D$2:$D$201,0,0,))</f>
        <v/>
      </c>
      <c r="D78" s="69" t="str">
        <f t="array" ref="D78">IF('Results and Rankings'!$A78="","",XLOOKUP('Results and Rankings'!$A78,'Robot Game Scores'!$B$2:$B$201,'Robot Game Scores'!$E$2:$E$201,0,0,))</f>
        <v/>
      </c>
      <c r="E78" s="69" t="str">
        <f t="array" ref="E78">IF('Results and Rankings'!$A78="","",XLOOKUP('Results and Rankings'!$A78,'Robot Game Scores'!$B$2:$B$201,'Robot Game Scores'!$F$2:$F$201,0,0,))</f>
        <v/>
      </c>
      <c r="F78" s="69" t="str">
        <f t="array" ref="F78">IF('Results and Rankings'!$A78="","",XLOOKUP('Results and Rankings'!$A78,'Robot Game Scores'!$B$2:$B$201,'Robot Game Scores'!$G$2:$G$201,0,0,))</f>
        <v/>
      </c>
      <c r="G78" s="69" t="str">
        <f t="array" ref="G78">IF('Results and Rankings'!$A78="","",XLOOKUP('Results and Rankings'!$A78,'Robot Game Scores'!$B$2:$B$201,'Robot Game Scores'!$H$2:$H$201,0,0,))</f>
        <v/>
      </c>
      <c r="H78" s="69" t="str">
        <f>IF('Results and Rankings'!$A78="","",IF(ISNA(LARGE('Results and Rankings'!$C78:$G78,1)+0.0001*LARGE('Results and Rankings'!$C78:$G78,2)+0.0000001*LARGE('Results and Rankings'!$C78:$G78,3)+1E-11*LARGE('Results and Rankings'!$C78:$G78,4)+1E-14*LARGE('Results and Rankings'!$C78:$G78,5)),0,LARGE('Results and Rankings'!$C78:$G78,1)+0.0001*LARGE('Results and Rankings'!$C78:$G78,2)+0.0000001*LARGE('Results and Rankings'!$C78:$G78,3)+1E-11*LARGE('Results and Rankings'!$C78:$G78,4)+1E-14*LARGE('Results and Rankings'!$C78:$G78,5)))</f>
        <v/>
      </c>
      <c r="I78" s="69" t="str">
        <f>IF('Results and Rankings'!$A78="","",_xlfn.RANK.EQ('Results and Rankings'!$H78,'Results and Rankings'!$H$3:$H$202))</f>
        <v/>
      </c>
      <c r="J78" s="69" t="str">
        <f t="array" ref="J78">IF('Results and Rankings'!$A78="","",XLOOKUP('Results and Rankings'!$A78,'Core Values Input'!$A$2:$A$201,'Core Values Input'!$V$2:$V$201,NumberOfTeams+1,0,))</f>
        <v/>
      </c>
      <c r="K78" s="69" t="str">
        <f t="array" ref="K78">IF('Results and Rankings'!$A78="","",XLOOKUP('Results and Rankings'!$A78,'Innovation Project Input'!$A$2:$A$201,'Innovation Project Input'!$N$2:$N$201,NumberOfTeams+1,0,))</f>
        <v/>
      </c>
      <c r="L78" s="69" t="str">
        <f t="array" ref="L78">IF('Results and Rankings'!$A78="","",XLOOKUP('Results and Rankings'!$A78,'Robot Design Input'!$A$2:$A$201,'Robot Design Input'!$N$2:$N$201,NumberOfTeams+1,0,))</f>
        <v/>
      </c>
      <c r="M78" s="69" t="str">
        <f> IF('Results and Rankings'!$A78="","",IF('Results and Rankings'!$J78="",NumberOfTeams+1,'Results and Rankings'!$J78) + IF('Results and Rankings'!$K78="",NumberOfTeams+1,'Results and Rankings'!$K78) + IF('Results and Rankings'!$L78="",NumberOfTeams+1,'Results and Rankings'!$L78) + 'Results and Rankings'!$I78)</f>
        <v/>
      </c>
      <c r="N78" s="70" t="str">
        <f>IF('Results and Rankings'!$A78="","",IF(M78,RANK(M78,M$3:M$202,1)-COUNTIF(M$3:M$202,0),NumberOfTeams+1))</f>
        <v/>
      </c>
      <c r="O78" s="72" t="str">
        <f t="array" ref="O78">XLOOKUP('Results and Rankings'!$A78,'Core Values Input'!$A$2:$A$201,'Core Values Input'!$W$2:$W$201,0,0,)</f>
        <v>#VALUE!</v>
      </c>
      <c r="P78" s="72" t="str">
        <f t="array" ref="P78">XLOOKUP('Results and Rankings'!$A78,'Core Values Input'!$A$2:$A$201,'Core Values Input'!$X$2:$X$201,0,0,)</f>
        <v>#VALUE!</v>
      </c>
      <c r="Q78" s="72" t="str">
        <f t="array" ref="Q78">XLOOKUP('Results and Rankings'!$A78,'Core Values Input'!$A$2:$A$201,'Core Values Input'!$Y$2:$Y$201,0,0,)</f>
        <v>#VALUE!</v>
      </c>
      <c r="R78" s="38"/>
      <c r="S78" s="38"/>
      <c r="T78" s="72"/>
      <c r="U78" s="69" t="str">
        <f t="array" ref="U78">XLOOKUP('Results and Rankings'!$A78,'Core Values Input'!$A$2:$A$201,'Core Values Input'!$U$2:$U$201,0,0,)</f>
        <v>#VALUE!</v>
      </c>
      <c r="V78" s="69" t="str">
        <f t="array" ref="V78">XLOOKUP('Results and Rankings'!$A78,'Innovation Project Input'!$A$2:$A$201,'Innovation Project Input'!$M$2:$M$201,0,0,)</f>
        <v>#VALUE!</v>
      </c>
      <c r="W78" s="69" t="str">
        <f t="array" ref="W78">XLOOKUP('Results and Rankings'!$A78,'Robot Design Input'!$A$2:$A$201,'Robot Design Input'!$M$2:$M$201,0,0,)</f>
        <v>#VALUE!</v>
      </c>
      <c r="X78" s="73">
        <f>IF(ISERR(GEOMEAN('Results and Rankings'!$H78,'Results and Rankings'!$U78,'Results and Rankings'!$V78,'Results and Rankings'!$W78)),0,GEOMEAN('Results and Rankings'!$H78,'Results and Rankings'!$U78,'Results and Rankings'!$V78,'Results and Rankings'!$W78))</f>
        <v>0</v>
      </c>
      <c r="Y78" s="74">
        <f>IF(X78,_xlfn.RANK.EQ(X78,X$3:X$110,0),NumberOfTeams)</f>
        <v>0</v>
      </c>
      <c r="Z78" s="38"/>
    </row>
    <row r="79" ht="21.0" customHeight="1">
      <c r="A79" s="67" t="str">
        <f t="array" ref="A79">XLOOKUP(77,'Team and Program Information'!$B$3:$B$202,'Team and Program Information'!$C$3:$C$202,"ERROR",0)</f>
        <v/>
      </c>
      <c r="B79" s="68" t="str">
        <f t="array" ref="B79">XLOOKUP('Results and Rankings'!$A79,'Team and Program Information'!$C$3:$C$202,'Team and Program Information'!$D$3:$D$202,"",0,)</f>
        <v>#VALUE!</v>
      </c>
      <c r="C79" s="69" t="str">
        <f t="array" ref="C79">IF('Results and Rankings'!$A79="","",XLOOKUP('Results and Rankings'!$A79,'Robot Game Scores'!$B$2:$B$201,'Robot Game Scores'!$D$2:$D$201,0,0,))</f>
        <v/>
      </c>
      <c r="D79" s="69" t="str">
        <f t="array" ref="D79">IF('Results and Rankings'!$A79="","",XLOOKUP('Results and Rankings'!$A79,'Robot Game Scores'!$B$2:$B$201,'Robot Game Scores'!$E$2:$E$201,0,0,))</f>
        <v/>
      </c>
      <c r="E79" s="69" t="str">
        <f t="array" ref="E79">IF('Results and Rankings'!$A79="","",XLOOKUP('Results and Rankings'!$A79,'Robot Game Scores'!$B$2:$B$201,'Robot Game Scores'!$F$2:$F$201,0,0,))</f>
        <v/>
      </c>
      <c r="F79" s="69" t="str">
        <f t="array" ref="F79">IF('Results and Rankings'!$A79="","",XLOOKUP('Results and Rankings'!$A79,'Robot Game Scores'!$B$2:$B$201,'Robot Game Scores'!$G$2:$G$201,0,0,))</f>
        <v/>
      </c>
      <c r="G79" s="69" t="str">
        <f t="array" ref="G79">IF('Results and Rankings'!$A79="","",XLOOKUP('Results and Rankings'!$A79,'Robot Game Scores'!$B$2:$B$201,'Robot Game Scores'!$H$2:$H$201,0,0,))</f>
        <v/>
      </c>
      <c r="H79" s="69" t="str">
        <f>IF('Results and Rankings'!$A79="","",IF(ISNA(LARGE('Results and Rankings'!$C79:$G79,1)+0.0001*LARGE('Results and Rankings'!$C79:$G79,2)+0.0000001*LARGE('Results and Rankings'!$C79:$G79,3)+1E-11*LARGE('Results and Rankings'!$C79:$G79,4)+1E-14*LARGE('Results and Rankings'!$C79:$G79,5)),0,LARGE('Results and Rankings'!$C79:$G79,1)+0.0001*LARGE('Results and Rankings'!$C79:$G79,2)+0.0000001*LARGE('Results and Rankings'!$C79:$G79,3)+1E-11*LARGE('Results and Rankings'!$C79:$G79,4)+1E-14*LARGE('Results and Rankings'!$C79:$G79,5)))</f>
        <v/>
      </c>
      <c r="I79" s="69" t="str">
        <f>IF('Results and Rankings'!$A79="","",_xlfn.RANK.EQ('Results and Rankings'!$H79,'Results and Rankings'!$H$3:$H$202))</f>
        <v/>
      </c>
      <c r="J79" s="69" t="str">
        <f t="array" ref="J79">IF('Results and Rankings'!$A79="","",XLOOKUP('Results and Rankings'!$A79,'Core Values Input'!$A$2:$A$201,'Core Values Input'!$V$2:$V$201,NumberOfTeams+1,0,))</f>
        <v/>
      </c>
      <c r="K79" s="69" t="str">
        <f t="array" ref="K79">IF('Results and Rankings'!$A79="","",XLOOKUP('Results and Rankings'!$A79,'Innovation Project Input'!$A$2:$A$201,'Innovation Project Input'!$N$2:$N$201,NumberOfTeams+1,0,))</f>
        <v/>
      </c>
      <c r="L79" s="69" t="str">
        <f t="array" ref="L79">IF('Results and Rankings'!$A79="","",XLOOKUP('Results and Rankings'!$A79,'Robot Design Input'!$A$2:$A$201,'Robot Design Input'!$N$2:$N$201,NumberOfTeams+1,0,))</f>
        <v/>
      </c>
      <c r="M79" s="69" t="str">
        <f> IF('Results and Rankings'!$A79="","",IF('Results and Rankings'!$J79="",NumberOfTeams+1,'Results and Rankings'!$J79) + IF('Results and Rankings'!$K79="",NumberOfTeams+1,'Results and Rankings'!$K79) + IF('Results and Rankings'!$L79="",NumberOfTeams+1,'Results and Rankings'!$L79) + 'Results and Rankings'!$I79)</f>
        <v/>
      </c>
      <c r="N79" s="70" t="str">
        <f>IF('Results and Rankings'!$A79="","",IF(M79,RANK(M79,M$3:M$202,1)-COUNTIF(M$3:M$202,0),NumberOfTeams+1))</f>
        <v/>
      </c>
      <c r="O79" s="72" t="str">
        <f t="array" ref="O79">XLOOKUP('Results and Rankings'!$A79,'Core Values Input'!$A$2:$A$201,'Core Values Input'!$W$2:$W$201,0,0,)</f>
        <v>#VALUE!</v>
      </c>
      <c r="P79" s="72" t="str">
        <f t="array" ref="P79">XLOOKUP('Results and Rankings'!$A79,'Core Values Input'!$A$2:$A$201,'Core Values Input'!$X$2:$X$201,0,0,)</f>
        <v>#VALUE!</v>
      </c>
      <c r="Q79" s="72" t="str">
        <f t="array" ref="Q79">XLOOKUP('Results and Rankings'!$A79,'Core Values Input'!$A$2:$A$201,'Core Values Input'!$Y$2:$Y$201,0,0,)</f>
        <v>#VALUE!</v>
      </c>
      <c r="R79" s="38"/>
      <c r="S79" s="38"/>
      <c r="T79" s="72"/>
      <c r="U79" s="69" t="str">
        <f t="array" ref="U79">XLOOKUP('Results and Rankings'!$A79,'Core Values Input'!$A$2:$A$201,'Core Values Input'!$U$2:$U$201,0,0,)</f>
        <v>#VALUE!</v>
      </c>
      <c r="V79" s="69" t="str">
        <f t="array" ref="V79">XLOOKUP('Results and Rankings'!$A79,'Innovation Project Input'!$A$2:$A$201,'Innovation Project Input'!$M$2:$M$201,0,0,)</f>
        <v>#VALUE!</v>
      </c>
      <c r="W79" s="69" t="str">
        <f t="array" ref="W79">XLOOKUP('Results and Rankings'!$A79,'Robot Design Input'!$A$2:$A$201,'Robot Design Input'!$M$2:$M$201,0,0,)</f>
        <v>#VALUE!</v>
      </c>
      <c r="X79" s="73">
        <f>IF(ISERR(GEOMEAN('Results and Rankings'!$H79,'Results and Rankings'!$U79,'Results and Rankings'!$V79,'Results and Rankings'!$W79)),0,GEOMEAN('Results and Rankings'!$H79,'Results and Rankings'!$U79,'Results and Rankings'!$V79,'Results and Rankings'!$W79))</f>
        <v>0</v>
      </c>
      <c r="Y79" s="74">
        <f>IF(X79,_xlfn.RANK.EQ(X79,X$3:X$110,0),NumberOfTeams)</f>
        <v>0</v>
      </c>
      <c r="Z79" s="38"/>
    </row>
    <row r="80" ht="21.0" customHeight="1">
      <c r="A80" s="67" t="str">
        <f t="array" ref="A80">XLOOKUP(78,'Team and Program Information'!$B$3:$B$202,'Team and Program Information'!$C$3:$C$202,"ERROR",0)</f>
        <v/>
      </c>
      <c r="B80" s="68" t="str">
        <f t="array" ref="B80">XLOOKUP('Results and Rankings'!$A80,'Team and Program Information'!$C$3:$C$202,'Team and Program Information'!$D$3:$D$202,"",0,)</f>
        <v>#VALUE!</v>
      </c>
      <c r="C80" s="69" t="str">
        <f t="array" ref="C80">IF('Results and Rankings'!$A80="","",XLOOKUP('Results and Rankings'!$A80,'Robot Game Scores'!$B$2:$B$201,'Robot Game Scores'!$D$2:$D$201,0,0,))</f>
        <v/>
      </c>
      <c r="D80" s="69" t="str">
        <f t="array" ref="D80">IF('Results and Rankings'!$A80="","",XLOOKUP('Results and Rankings'!$A80,'Robot Game Scores'!$B$2:$B$201,'Robot Game Scores'!$E$2:$E$201,0,0,))</f>
        <v/>
      </c>
      <c r="E80" s="69" t="str">
        <f t="array" ref="E80">IF('Results and Rankings'!$A80="","",XLOOKUP('Results and Rankings'!$A80,'Robot Game Scores'!$B$2:$B$201,'Robot Game Scores'!$F$2:$F$201,0,0,))</f>
        <v/>
      </c>
      <c r="F80" s="69" t="str">
        <f t="array" ref="F80">IF('Results and Rankings'!$A80="","",XLOOKUP('Results and Rankings'!$A80,'Robot Game Scores'!$B$2:$B$201,'Robot Game Scores'!$G$2:$G$201,0,0,))</f>
        <v/>
      </c>
      <c r="G80" s="69" t="str">
        <f t="array" ref="G80">IF('Results and Rankings'!$A80="","",XLOOKUP('Results and Rankings'!$A80,'Robot Game Scores'!$B$2:$B$201,'Robot Game Scores'!$H$2:$H$201,0,0,))</f>
        <v/>
      </c>
      <c r="H80" s="69" t="str">
        <f>IF('Results and Rankings'!$A80="","",IF(ISNA(LARGE('Results and Rankings'!$C80:$G80,1)+0.0001*LARGE('Results and Rankings'!$C80:$G80,2)+0.0000001*LARGE('Results and Rankings'!$C80:$G80,3)+1E-11*LARGE('Results and Rankings'!$C80:$G80,4)+1E-14*LARGE('Results and Rankings'!$C80:$G80,5)),0,LARGE('Results and Rankings'!$C80:$G80,1)+0.0001*LARGE('Results and Rankings'!$C80:$G80,2)+0.0000001*LARGE('Results and Rankings'!$C80:$G80,3)+1E-11*LARGE('Results and Rankings'!$C80:$G80,4)+1E-14*LARGE('Results and Rankings'!$C80:$G80,5)))</f>
        <v/>
      </c>
      <c r="I80" s="69" t="str">
        <f>IF('Results and Rankings'!$A80="","",_xlfn.RANK.EQ('Results and Rankings'!$H80,'Results and Rankings'!$H$3:$H$202))</f>
        <v/>
      </c>
      <c r="J80" s="69" t="str">
        <f t="array" ref="J80">IF('Results and Rankings'!$A80="","",XLOOKUP('Results and Rankings'!$A80,'Core Values Input'!$A$2:$A$201,'Core Values Input'!$V$2:$V$201,NumberOfTeams+1,0,))</f>
        <v/>
      </c>
      <c r="K80" s="69" t="str">
        <f t="array" ref="K80">IF('Results and Rankings'!$A80="","",XLOOKUP('Results and Rankings'!$A80,'Innovation Project Input'!$A$2:$A$201,'Innovation Project Input'!$N$2:$N$201,NumberOfTeams+1,0,))</f>
        <v/>
      </c>
      <c r="L80" s="69" t="str">
        <f t="array" ref="L80">IF('Results and Rankings'!$A80="","",XLOOKUP('Results and Rankings'!$A80,'Robot Design Input'!$A$2:$A$201,'Robot Design Input'!$N$2:$N$201,NumberOfTeams+1,0,))</f>
        <v/>
      </c>
      <c r="M80" s="69" t="str">
        <f> IF('Results and Rankings'!$A80="","",IF('Results and Rankings'!$J80="",NumberOfTeams+1,'Results and Rankings'!$J80) + IF('Results and Rankings'!$K80="",NumberOfTeams+1,'Results and Rankings'!$K80) + IF('Results and Rankings'!$L80="",NumberOfTeams+1,'Results and Rankings'!$L80) + 'Results and Rankings'!$I80)</f>
        <v/>
      </c>
      <c r="N80" s="70" t="str">
        <f>IF('Results and Rankings'!$A80="","",IF(M80,RANK(M80,M$3:M$202,1)-COUNTIF(M$3:M$202,0),NumberOfTeams+1))</f>
        <v/>
      </c>
      <c r="O80" s="72" t="str">
        <f t="array" ref="O80">XLOOKUP('Results and Rankings'!$A80,'Core Values Input'!$A$2:$A$201,'Core Values Input'!$W$2:$W$201,0,0,)</f>
        <v>#VALUE!</v>
      </c>
      <c r="P80" s="72" t="str">
        <f t="array" ref="P80">XLOOKUP('Results and Rankings'!$A80,'Core Values Input'!$A$2:$A$201,'Core Values Input'!$X$2:$X$201,0,0,)</f>
        <v>#VALUE!</v>
      </c>
      <c r="Q80" s="72" t="str">
        <f t="array" ref="Q80">XLOOKUP('Results and Rankings'!$A80,'Core Values Input'!$A$2:$A$201,'Core Values Input'!$Y$2:$Y$201,0,0,)</f>
        <v>#VALUE!</v>
      </c>
      <c r="R80" s="38"/>
      <c r="S80" s="38"/>
      <c r="T80" s="72"/>
      <c r="U80" s="69" t="str">
        <f t="array" ref="U80">XLOOKUP('Results and Rankings'!$A80,'Core Values Input'!$A$2:$A$201,'Core Values Input'!$U$2:$U$201,0,0,)</f>
        <v>#VALUE!</v>
      </c>
      <c r="V80" s="69" t="str">
        <f t="array" ref="V80">XLOOKUP('Results and Rankings'!$A80,'Innovation Project Input'!$A$2:$A$201,'Innovation Project Input'!$M$2:$M$201,0,0,)</f>
        <v>#VALUE!</v>
      </c>
      <c r="W80" s="69" t="str">
        <f t="array" ref="W80">XLOOKUP('Results and Rankings'!$A80,'Robot Design Input'!$A$2:$A$201,'Robot Design Input'!$M$2:$M$201,0,0,)</f>
        <v>#VALUE!</v>
      </c>
      <c r="X80" s="73">
        <f>IF(ISERR(GEOMEAN('Results and Rankings'!$H80,'Results and Rankings'!$U80,'Results and Rankings'!$V80,'Results and Rankings'!$W80)),0,GEOMEAN('Results and Rankings'!$H80,'Results and Rankings'!$U80,'Results and Rankings'!$V80,'Results and Rankings'!$W80))</f>
        <v>0</v>
      </c>
      <c r="Y80" s="74">
        <f>IF(X80,_xlfn.RANK.EQ(X80,X$3:X$110,0),NumberOfTeams)</f>
        <v>0</v>
      </c>
      <c r="Z80" s="38"/>
    </row>
    <row r="81" ht="21.0" customHeight="1">
      <c r="A81" s="67" t="str">
        <f t="array" ref="A81">XLOOKUP(79,'Team and Program Information'!$B$3:$B$202,'Team and Program Information'!$C$3:$C$202,"ERROR",0)</f>
        <v/>
      </c>
      <c r="B81" s="68" t="str">
        <f t="array" ref="B81">XLOOKUP('Results and Rankings'!$A81,'Team and Program Information'!$C$3:$C$202,'Team and Program Information'!$D$3:$D$202,"",0,)</f>
        <v>#VALUE!</v>
      </c>
      <c r="C81" s="69" t="str">
        <f t="array" ref="C81">IF('Results and Rankings'!$A81="","",XLOOKUP('Results and Rankings'!$A81,'Robot Game Scores'!$B$2:$B$201,'Robot Game Scores'!$D$2:$D$201,0,0,))</f>
        <v/>
      </c>
      <c r="D81" s="69" t="str">
        <f t="array" ref="D81">IF('Results and Rankings'!$A81="","",XLOOKUP('Results and Rankings'!$A81,'Robot Game Scores'!$B$2:$B$201,'Robot Game Scores'!$E$2:$E$201,0,0,))</f>
        <v/>
      </c>
      <c r="E81" s="69" t="str">
        <f t="array" ref="E81">IF('Results and Rankings'!$A81="","",XLOOKUP('Results and Rankings'!$A81,'Robot Game Scores'!$B$2:$B$201,'Robot Game Scores'!$F$2:$F$201,0,0,))</f>
        <v/>
      </c>
      <c r="F81" s="69" t="str">
        <f t="array" ref="F81">IF('Results and Rankings'!$A81="","",XLOOKUP('Results and Rankings'!$A81,'Robot Game Scores'!$B$2:$B$201,'Robot Game Scores'!$G$2:$G$201,0,0,))</f>
        <v/>
      </c>
      <c r="G81" s="69" t="str">
        <f t="array" ref="G81">IF('Results and Rankings'!$A81="","",XLOOKUP('Results and Rankings'!$A81,'Robot Game Scores'!$B$2:$B$201,'Robot Game Scores'!$H$2:$H$201,0,0,))</f>
        <v/>
      </c>
      <c r="H81" s="69" t="str">
        <f>IF('Results and Rankings'!$A81="","",IF(ISNA(LARGE('Results and Rankings'!$C81:$G81,1)+0.0001*LARGE('Results and Rankings'!$C81:$G81,2)+0.0000001*LARGE('Results and Rankings'!$C81:$G81,3)+1E-11*LARGE('Results and Rankings'!$C81:$G81,4)+1E-14*LARGE('Results and Rankings'!$C81:$G81,5)),0,LARGE('Results and Rankings'!$C81:$G81,1)+0.0001*LARGE('Results and Rankings'!$C81:$G81,2)+0.0000001*LARGE('Results and Rankings'!$C81:$G81,3)+1E-11*LARGE('Results and Rankings'!$C81:$G81,4)+1E-14*LARGE('Results and Rankings'!$C81:$G81,5)))</f>
        <v/>
      </c>
      <c r="I81" s="69" t="str">
        <f>IF('Results and Rankings'!$A81="","",_xlfn.RANK.EQ('Results and Rankings'!$H81,'Results and Rankings'!$H$3:$H$202))</f>
        <v/>
      </c>
      <c r="J81" s="69" t="str">
        <f t="array" ref="J81">IF('Results and Rankings'!$A81="","",XLOOKUP('Results and Rankings'!$A81,'Core Values Input'!$A$2:$A$201,'Core Values Input'!$V$2:$V$201,NumberOfTeams+1,0,))</f>
        <v/>
      </c>
      <c r="K81" s="69" t="str">
        <f t="array" ref="K81">IF('Results and Rankings'!$A81="","",XLOOKUP('Results and Rankings'!$A81,'Innovation Project Input'!$A$2:$A$201,'Innovation Project Input'!$N$2:$N$201,NumberOfTeams+1,0,))</f>
        <v/>
      </c>
      <c r="L81" s="69" t="str">
        <f t="array" ref="L81">IF('Results and Rankings'!$A81="","",XLOOKUP('Results and Rankings'!$A81,'Robot Design Input'!$A$2:$A$201,'Robot Design Input'!$N$2:$N$201,NumberOfTeams+1,0,))</f>
        <v/>
      </c>
      <c r="M81" s="69" t="str">
        <f> IF('Results and Rankings'!$A81="","",IF('Results and Rankings'!$J81="",NumberOfTeams+1,'Results and Rankings'!$J81) + IF('Results and Rankings'!$K81="",NumberOfTeams+1,'Results and Rankings'!$K81) + IF('Results and Rankings'!$L81="",NumberOfTeams+1,'Results and Rankings'!$L81) + 'Results and Rankings'!$I81)</f>
        <v/>
      </c>
      <c r="N81" s="70" t="str">
        <f>IF('Results and Rankings'!$A81="","",IF(M81,RANK(M81,M$3:M$202,1)-COUNTIF(M$3:M$202,0),NumberOfTeams+1))</f>
        <v/>
      </c>
      <c r="O81" s="72" t="str">
        <f t="array" ref="O81">XLOOKUP('Results and Rankings'!$A81,'Core Values Input'!$A$2:$A$201,'Core Values Input'!$W$2:$W$201,0,0,)</f>
        <v>#VALUE!</v>
      </c>
      <c r="P81" s="72" t="str">
        <f t="array" ref="P81">XLOOKUP('Results and Rankings'!$A81,'Core Values Input'!$A$2:$A$201,'Core Values Input'!$X$2:$X$201,0,0,)</f>
        <v>#VALUE!</v>
      </c>
      <c r="Q81" s="72" t="str">
        <f t="array" ref="Q81">XLOOKUP('Results and Rankings'!$A81,'Core Values Input'!$A$2:$A$201,'Core Values Input'!$Y$2:$Y$201,0,0,)</f>
        <v>#VALUE!</v>
      </c>
      <c r="R81" s="38"/>
      <c r="S81" s="38"/>
      <c r="T81" s="72"/>
      <c r="U81" s="69" t="str">
        <f t="array" ref="U81">XLOOKUP('Results and Rankings'!$A81,'Core Values Input'!$A$2:$A$201,'Core Values Input'!$U$2:$U$201,0,0,)</f>
        <v>#VALUE!</v>
      </c>
      <c r="V81" s="69" t="str">
        <f t="array" ref="V81">XLOOKUP('Results and Rankings'!$A81,'Innovation Project Input'!$A$2:$A$201,'Innovation Project Input'!$M$2:$M$201,0,0,)</f>
        <v>#VALUE!</v>
      </c>
      <c r="W81" s="69" t="str">
        <f t="array" ref="W81">XLOOKUP('Results and Rankings'!$A81,'Robot Design Input'!$A$2:$A$201,'Robot Design Input'!$M$2:$M$201,0,0,)</f>
        <v>#VALUE!</v>
      </c>
      <c r="X81" s="73">
        <f>IF(ISERR(GEOMEAN('Results and Rankings'!$H81,'Results and Rankings'!$U81,'Results and Rankings'!$V81,'Results and Rankings'!$W81)),0,GEOMEAN('Results and Rankings'!$H81,'Results and Rankings'!$U81,'Results and Rankings'!$V81,'Results and Rankings'!$W81))</f>
        <v>0</v>
      </c>
      <c r="Y81" s="74">
        <f>IF(X81,_xlfn.RANK.EQ(X81,X$3:X$110,0),NumberOfTeams)</f>
        <v>0</v>
      </c>
      <c r="Z81" s="38"/>
    </row>
    <row r="82" ht="21.0" customHeight="1">
      <c r="A82" s="67" t="str">
        <f t="array" ref="A82">XLOOKUP(80,'Team and Program Information'!$B$3:$B$202,'Team and Program Information'!$C$3:$C$202,"ERROR",0)</f>
        <v/>
      </c>
      <c r="B82" s="68" t="str">
        <f t="array" ref="B82">XLOOKUP('Results and Rankings'!$A82,'Team and Program Information'!$C$3:$C$202,'Team and Program Information'!$D$3:$D$202,"",0,)</f>
        <v>#VALUE!</v>
      </c>
      <c r="C82" s="69" t="str">
        <f t="array" ref="C82">IF('Results and Rankings'!$A82="","",XLOOKUP('Results and Rankings'!$A82,'Robot Game Scores'!$B$2:$B$201,'Robot Game Scores'!$D$2:$D$201,0,0,))</f>
        <v/>
      </c>
      <c r="D82" s="69" t="str">
        <f t="array" ref="D82">IF('Results and Rankings'!$A82="","",XLOOKUP('Results and Rankings'!$A82,'Robot Game Scores'!$B$2:$B$201,'Robot Game Scores'!$E$2:$E$201,0,0,))</f>
        <v/>
      </c>
      <c r="E82" s="69" t="str">
        <f t="array" ref="E82">IF('Results and Rankings'!$A82="","",XLOOKUP('Results and Rankings'!$A82,'Robot Game Scores'!$B$2:$B$201,'Robot Game Scores'!$F$2:$F$201,0,0,))</f>
        <v/>
      </c>
      <c r="F82" s="69" t="str">
        <f t="array" ref="F82">IF('Results and Rankings'!$A82="","",XLOOKUP('Results and Rankings'!$A82,'Robot Game Scores'!$B$2:$B$201,'Robot Game Scores'!$G$2:$G$201,0,0,))</f>
        <v/>
      </c>
      <c r="G82" s="69" t="str">
        <f t="array" ref="G82">IF('Results and Rankings'!$A82="","",XLOOKUP('Results and Rankings'!$A82,'Robot Game Scores'!$B$2:$B$201,'Robot Game Scores'!$H$2:$H$201,0,0,))</f>
        <v/>
      </c>
      <c r="H82" s="69" t="str">
        <f>IF('Results and Rankings'!$A82="","",IF(ISNA(LARGE('Results and Rankings'!$C82:$G82,1)+0.0001*LARGE('Results and Rankings'!$C82:$G82,2)+0.0000001*LARGE('Results and Rankings'!$C82:$G82,3)+1E-11*LARGE('Results and Rankings'!$C82:$G82,4)+1E-14*LARGE('Results and Rankings'!$C82:$G82,5)),0,LARGE('Results and Rankings'!$C82:$G82,1)+0.0001*LARGE('Results and Rankings'!$C82:$G82,2)+0.0000001*LARGE('Results and Rankings'!$C82:$G82,3)+1E-11*LARGE('Results and Rankings'!$C82:$G82,4)+1E-14*LARGE('Results and Rankings'!$C82:$G82,5)))</f>
        <v/>
      </c>
      <c r="I82" s="69" t="str">
        <f>IF('Results and Rankings'!$A82="","",_xlfn.RANK.EQ('Results and Rankings'!$H82,'Results and Rankings'!$H$3:$H$202))</f>
        <v/>
      </c>
      <c r="J82" s="69" t="str">
        <f t="array" ref="J82">IF('Results and Rankings'!$A82="","",XLOOKUP('Results and Rankings'!$A82,'Core Values Input'!$A$2:$A$201,'Core Values Input'!$V$2:$V$201,NumberOfTeams+1,0,))</f>
        <v/>
      </c>
      <c r="K82" s="69" t="str">
        <f t="array" ref="K82">IF('Results and Rankings'!$A82="","",XLOOKUP('Results and Rankings'!$A82,'Innovation Project Input'!$A$2:$A$201,'Innovation Project Input'!$N$2:$N$201,NumberOfTeams+1,0,))</f>
        <v/>
      </c>
      <c r="L82" s="69" t="str">
        <f t="array" ref="L82">IF('Results and Rankings'!$A82="","",XLOOKUP('Results and Rankings'!$A82,'Robot Design Input'!$A$2:$A$201,'Robot Design Input'!$N$2:$N$201,NumberOfTeams+1,0,))</f>
        <v/>
      </c>
      <c r="M82" s="69" t="str">
        <f> IF('Results and Rankings'!$A82="","",IF('Results and Rankings'!$J82="",NumberOfTeams+1,'Results and Rankings'!$J82) + IF('Results and Rankings'!$K82="",NumberOfTeams+1,'Results and Rankings'!$K82) + IF('Results and Rankings'!$L82="",NumberOfTeams+1,'Results and Rankings'!$L82) + 'Results and Rankings'!$I82)</f>
        <v/>
      </c>
      <c r="N82" s="70" t="str">
        <f>IF('Results and Rankings'!$A82="","",IF(M82,RANK(M82,M$3:M$202,1)-COUNTIF(M$3:M$202,0),NumberOfTeams+1))</f>
        <v/>
      </c>
      <c r="O82" s="72" t="str">
        <f t="array" ref="O82">XLOOKUP('Results and Rankings'!$A82,'Core Values Input'!$A$2:$A$201,'Core Values Input'!$W$2:$W$201,0,0,)</f>
        <v>#VALUE!</v>
      </c>
      <c r="P82" s="72" t="str">
        <f t="array" ref="P82">XLOOKUP('Results and Rankings'!$A82,'Core Values Input'!$A$2:$A$201,'Core Values Input'!$X$2:$X$201,0,0,)</f>
        <v>#VALUE!</v>
      </c>
      <c r="Q82" s="72" t="str">
        <f t="array" ref="Q82">XLOOKUP('Results and Rankings'!$A82,'Core Values Input'!$A$2:$A$201,'Core Values Input'!$Y$2:$Y$201,0,0,)</f>
        <v>#VALUE!</v>
      </c>
      <c r="R82" s="38"/>
      <c r="S82" s="38"/>
      <c r="T82" s="72"/>
      <c r="U82" s="69" t="str">
        <f t="array" ref="U82">XLOOKUP('Results and Rankings'!$A82,'Core Values Input'!$A$2:$A$201,'Core Values Input'!$U$2:$U$201,0,0,)</f>
        <v>#VALUE!</v>
      </c>
      <c r="V82" s="69" t="str">
        <f t="array" ref="V82">XLOOKUP('Results and Rankings'!$A82,'Innovation Project Input'!$A$2:$A$201,'Innovation Project Input'!$M$2:$M$201,0,0,)</f>
        <v>#VALUE!</v>
      </c>
      <c r="W82" s="69" t="str">
        <f t="array" ref="W82">XLOOKUP('Results and Rankings'!$A82,'Robot Design Input'!$A$2:$A$201,'Robot Design Input'!$M$2:$M$201,0,0,)</f>
        <v>#VALUE!</v>
      </c>
      <c r="X82" s="73">
        <f>IF(ISERR(GEOMEAN('Results and Rankings'!$H82,'Results and Rankings'!$U82,'Results and Rankings'!$V82,'Results and Rankings'!$W82)),0,GEOMEAN('Results and Rankings'!$H82,'Results and Rankings'!$U82,'Results and Rankings'!$V82,'Results and Rankings'!$W82))</f>
        <v>0</v>
      </c>
      <c r="Y82" s="74">
        <f>IF(X82,_xlfn.RANK.EQ(X82,X$3:X$110,0),NumberOfTeams)</f>
        <v>0</v>
      </c>
      <c r="Z82" s="38"/>
    </row>
    <row r="83" ht="21.0" customHeight="1">
      <c r="A83" s="67" t="str">
        <f t="array" ref="A83">XLOOKUP(81,'Team and Program Information'!$B$3:$B$202,'Team and Program Information'!$C$3:$C$202,"ERROR",0)</f>
        <v/>
      </c>
      <c r="B83" s="68" t="str">
        <f t="array" ref="B83">XLOOKUP('Results and Rankings'!$A83,'Team and Program Information'!$C$3:$C$202,'Team and Program Information'!$D$3:$D$202,"",0,)</f>
        <v>#VALUE!</v>
      </c>
      <c r="C83" s="69" t="str">
        <f t="array" ref="C83">IF('Results and Rankings'!$A83="","",XLOOKUP('Results and Rankings'!$A83,'Robot Game Scores'!$B$2:$B$201,'Robot Game Scores'!$D$2:$D$201,0,0,))</f>
        <v/>
      </c>
      <c r="D83" s="69" t="str">
        <f t="array" ref="D83">IF('Results and Rankings'!$A83="","",XLOOKUP('Results and Rankings'!$A83,'Robot Game Scores'!$B$2:$B$201,'Robot Game Scores'!$E$2:$E$201,0,0,))</f>
        <v/>
      </c>
      <c r="E83" s="69" t="str">
        <f t="array" ref="E83">IF('Results and Rankings'!$A83="","",XLOOKUP('Results and Rankings'!$A83,'Robot Game Scores'!$B$2:$B$201,'Robot Game Scores'!$F$2:$F$201,0,0,))</f>
        <v/>
      </c>
      <c r="F83" s="69" t="str">
        <f t="array" ref="F83">IF('Results and Rankings'!$A83="","",XLOOKUP('Results and Rankings'!$A83,'Robot Game Scores'!$B$2:$B$201,'Robot Game Scores'!$G$2:$G$201,0,0,))</f>
        <v/>
      </c>
      <c r="G83" s="69" t="str">
        <f t="array" ref="G83">IF('Results and Rankings'!$A83="","",XLOOKUP('Results and Rankings'!$A83,'Robot Game Scores'!$B$2:$B$201,'Robot Game Scores'!$H$2:$H$201,0,0,))</f>
        <v/>
      </c>
      <c r="H83" s="69" t="str">
        <f>IF('Results and Rankings'!$A83="","",IF(ISNA(LARGE('Results and Rankings'!$C83:$G83,1)+0.0001*LARGE('Results and Rankings'!$C83:$G83,2)+0.0000001*LARGE('Results and Rankings'!$C83:$G83,3)+1E-11*LARGE('Results and Rankings'!$C83:$G83,4)+1E-14*LARGE('Results and Rankings'!$C83:$G83,5)),0,LARGE('Results and Rankings'!$C83:$G83,1)+0.0001*LARGE('Results and Rankings'!$C83:$G83,2)+0.0000001*LARGE('Results and Rankings'!$C83:$G83,3)+1E-11*LARGE('Results and Rankings'!$C83:$G83,4)+1E-14*LARGE('Results and Rankings'!$C83:$G83,5)))</f>
        <v/>
      </c>
      <c r="I83" s="69" t="str">
        <f>IF('Results and Rankings'!$A83="","",_xlfn.RANK.EQ('Results and Rankings'!$H83,'Results and Rankings'!$H$3:$H$202))</f>
        <v/>
      </c>
      <c r="J83" s="69" t="str">
        <f t="array" ref="J83">IF('Results and Rankings'!$A83="","",XLOOKUP('Results and Rankings'!$A83,'Core Values Input'!$A$2:$A$201,'Core Values Input'!$V$2:$V$201,NumberOfTeams+1,0,))</f>
        <v/>
      </c>
      <c r="K83" s="69" t="str">
        <f t="array" ref="K83">IF('Results and Rankings'!$A83="","",XLOOKUP('Results and Rankings'!$A83,'Innovation Project Input'!$A$2:$A$201,'Innovation Project Input'!$N$2:$N$201,NumberOfTeams+1,0,))</f>
        <v/>
      </c>
      <c r="L83" s="69" t="str">
        <f t="array" ref="L83">IF('Results and Rankings'!$A83="","",XLOOKUP('Results and Rankings'!$A83,'Robot Design Input'!$A$2:$A$201,'Robot Design Input'!$N$2:$N$201,NumberOfTeams+1,0,))</f>
        <v/>
      </c>
      <c r="M83" s="69" t="str">
        <f> IF('Results and Rankings'!$A83="","",IF('Results and Rankings'!$J83="",NumberOfTeams+1,'Results and Rankings'!$J83) + IF('Results and Rankings'!$K83="",NumberOfTeams+1,'Results and Rankings'!$K83) + IF('Results and Rankings'!$L83="",NumberOfTeams+1,'Results and Rankings'!$L83) + 'Results and Rankings'!$I83)</f>
        <v/>
      </c>
      <c r="N83" s="70" t="str">
        <f>IF('Results and Rankings'!$A83="","",IF(M83,RANK(M83,M$3:M$202,1)-COUNTIF(M$3:M$202,0),NumberOfTeams+1))</f>
        <v/>
      </c>
      <c r="O83" s="72" t="str">
        <f t="array" ref="O83">XLOOKUP('Results and Rankings'!$A83,'Core Values Input'!$A$2:$A$201,'Core Values Input'!$W$2:$W$201,0,0,)</f>
        <v>#VALUE!</v>
      </c>
      <c r="P83" s="72" t="str">
        <f t="array" ref="P83">XLOOKUP('Results and Rankings'!$A83,'Core Values Input'!$A$2:$A$201,'Core Values Input'!$X$2:$X$201,0,0,)</f>
        <v>#VALUE!</v>
      </c>
      <c r="Q83" s="72" t="str">
        <f t="array" ref="Q83">XLOOKUP('Results and Rankings'!$A83,'Core Values Input'!$A$2:$A$201,'Core Values Input'!$Y$2:$Y$201,0,0,)</f>
        <v>#VALUE!</v>
      </c>
      <c r="R83" s="38"/>
      <c r="S83" s="38"/>
      <c r="T83" s="72"/>
      <c r="U83" s="69" t="str">
        <f t="array" ref="U83">XLOOKUP('Results and Rankings'!$A83,'Core Values Input'!$A$2:$A$201,'Core Values Input'!$U$2:$U$201,0,0,)</f>
        <v>#VALUE!</v>
      </c>
      <c r="V83" s="69" t="str">
        <f t="array" ref="V83">XLOOKUP('Results and Rankings'!$A83,'Innovation Project Input'!$A$2:$A$201,'Innovation Project Input'!$M$2:$M$201,0,0,)</f>
        <v>#VALUE!</v>
      </c>
      <c r="W83" s="69" t="str">
        <f t="array" ref="W83">XLOOKUP('Results and Rankings'!$A83,'Robot Design Input'!$A$2:$A$201,'Robot Design Input'!$M$2:$M$201,0,0,)</f>
        <v>#VALUE!</v>
      </c>
      <c r="X83" s="73">
        <f>IF(ISERR(GEOMEAN('Results and Rankings'!$H83,'Results and Rankings'!$U83,'Results and Rankings'!$V83,'Results and Rankings'!$W83)),0,GEOMEAN('Results and Rankings'!$H83,'Results and Rankings'!$U83,'Results and Rankings'!$V83,'Results and Rankings'!$W83))</f>
        <v>0</v>
      </c>
      <c r="Y83" s="74">
        <f>IF(X83,_xlfn.RANK.EQ(X83,X$3:X$110,0),NumberOfTeams)</f>
        <v>0</v>
      </c>
      <c r="Z83" s="38"/>
    </row>
    <row r="84" ht="21.0" customHeight="1">
      <c r="A84" s="67" t="str">
        <f t="array" ref="A84">XLOOKUP(82,'Team and Program Information'!$B$3:$B$202,'Team and Program Information'!$C$3:$C$202,"ERROR",0)</f>
        <v/>
      </c>
      <c r="B84" s="68" t="str">
        <f t="array" ref="B84">XLOOKUP('Results and Rankings'!$A84,'Team and Program Information'!$C$3:$C$202,'Team and Program Information'!$D$3:$D$202,"",0,)</f>
        <v>#VALUE!</v>
      </c>
      <c r="C84" s="69" t="str">
        <f t="array" ref="C84">IF('Results and Rankings'!$A84="","",XLOOKUP('Results and Rankings'!$A84,'Robot Game Scores'!$B$2:$B$201,'Robot Game Scores'!$D$2:$D$201,0,0,))</f>
        <v/>
      </c>
      <c r="D84" s="69" t="str">
        <f t="array" ref="D84">IF('Results and Rankings'!$A84="","",XLOOKUP('Results and Rankings'!$A84,'Robot Game Scores'!$B$2:$B$201,'Robot Game Scores'!$E$2:$E$201,0,0,))</f>
        <v/>
      </c>
      <c r="E84" s="69" t="str">
        <f t="array" ref="E84">IF('Results and Rankings'!$A84="","",XLOOKUP('Results and Rankings'!$A84,'Robot Game Scores'!$B$2:$B$201,'Robot Game Scores'!$F$2:$F$201,0,0,))</f>
        <v/>
      </c>
      <c r="F84" s="69" t="str">
        <f t="array" ref="F84">IF('Results and Rankings'!$A84="","",XLOOKUP('Results and Rankings'!$A84,'Robot Game Scores'!$B$2:$B$201,'Robot Game Scores'!$G$2:$G$201,0,0,))</f>
        <v/>
      </c>
      <c r="G84" s="69" t="str">
        <f t="array" ref="G84">IF('Results and Rankings'!$A84="","",XLOOKUP('Results and Rankings'!$A84,'Robot Game Scores'!$B$2:$B$201,'Robot Game Scores'!$H$2:$H$201,0,0,))</f>
        <v/>
      </c>
      <c r="H84" s="69" t="str">
        <f>IF('Results and Rankings'!$A84="","",IF(ISNA(LARGE('Results and Rankings'!$C84:$G84,1)+0.0001*LARGE('Results and Rankings'!$C84:$G84,2)+0.0000001*LARGE('Results and Rankings'!$C84:$G84,3)+1E-11*LARGE('Results and Rankings'!$C84:$G84,4)+1E-14*LARGE('Results and Rankings'!$C84:$G84,5)),0,LARGE('Results and Rankings'!$C84:$G84,1)+0.0001*LARGE('Results and Rankings'!$C84:$G84,2)+0.0000001*LARGE('Results and Rankings'!$C84:$G84,3)+1E-11*LARGE('Results and Rankings'!$C84:$G84,4)+1E-14*LARGE('Results and Rankings'!$C84:$G84,5)))</f>
        <v/>
      </c>
      <c r="I84" s="69" t="str">
        <f>IF('Results and Rankings'!$A84="","",_xlfn.RANK.EQ('Results and Rankings'!$H84,'Results and Rankings'!$H$3:$H$202))</f>
        <v/>
      </c>
      <c r="J84" s="69" t="str">
        <f t="array" ref="J84">IF('Results and Rankings'!$A84="","",XLOOKUP('Results and Rankings'!$A84,'Core Values Input'!$A$2:$A$201,'Core Values Input'!$V$2:$V$201,NumberOfTeams+1,0,))</f>
        <v/>
      </c>
      <c r="K84" s="69" t="str">
        <f t="array" ref="K84">IF('Results and Rankings'!$A84="","",XLOOKUP('Results and Rankings'!$A84,'Innovation Project Input'!$A$2:$A$201,'Innovation Project Input'!$N$2:$N$201,NumberOfTeams+1,0,))</f>
        <v/>
      </c>
      <c r="L84" s="69" t="str">
        <f t="array" ref="L84">IF('Results and Rankings'!$A84="","",XLOOKUP('Results and Rankings'!$A84,'Robot Design Input'!$A$2:$A$201,'Robot Design Input'!$N$2:$N$201,NumberOfTeams+1,0,))</f>
        <v/>
      </c>
      <c r="M84" s="69" t="str">
        <f> IF('Results and Rankings'!$A84="","",IF('Results and Rankings'!$J84="",NumberOfTeams+1,'Results and Rankings'!$J84) + IF('Results and Rankings'!$K84="",NumberOfTeams+1,'Results and Rankings'!$K84) + IF('Results and Rankings'!$L84="",NumberOfTeams+1,'Results and Rankings'!$L84) + 'Results and Rankings'!$I84)</f>
        <v/>
      </c>
      <c r="N84" s="70" t="str">
        <f>IF('Results and Rankings'!$A84="","",IF(M84,RANK(M84,M$3:M$202,1)-COUNTIF(M$3:M$202,0),NumberOfTeams+1))</f>
        <v/>
      </c>
      <c r="O84" s="72" t="str">
        <f t="array" ref="O84">XLOOKUP('Results and Rankings'!$A84,'Core Values Input'!$A$2:$A$201,'Core Values Input'!$W$2:$W$201,0,0,)</f>
        <v>#VALUE!</v>
      </c>
      <c r="P84" s="72" t="str">
        <f t="array" ref="P84">XLOOKUP('Results and Rankings'!$A84,'Core Values Input'!$A$2:$A$201,'Core Values Input'!$X$2:$X$201,0,0,)</f>
        <v>#VALUE!</v>
      </c>
      <c r="Q84" s="72" t="str">
        <f t="array" ref="Q84">XLOOKUP('Results and Rankings'!$A84,'Core Values Input'!$A$2:$A$201,'Core Values Input'!$Y$2:$Y$201,0,0,)</f>
        <v>#VALUE!</v>
      </c>
      <c r="R84" s="38"/>
      <c r="S84" s="38"/>
      <c r="T84" s="72"/>
      <c r="U84" s="69" t="str">
        <f t="array" ref="U84">XLOOKUP('Results and Rankings'!$A84,'Core Values Input'!$A$2:$A$201,'Core Values Input'!$U$2:$U$201,0,0,)</f>
        <v>#VALUE!</v>
      </c>
      <c r="V84" s="69" t="str">
        <f t="array" ref="V84">XLOOKUP('Results and Rankings'!$A84,'Innovation Project Input'!$A$2:$A$201,'Innovation Project Input'!$M$2:$M$201,0,0,)</f>
        <v>#VALUE!</v>
      </c>
      <c r="W84" s="69" t="str">
        <f t="array" ref="W84">XLOOKUP('Results and Rankings'!$A84,'Robot Design Input'!$A$2:$A$201,'Robot Design Input'!$M$2:$M$201,0,0,)</f>
        <v>#VALUE!</v>
      </c>
      <c r="X84" s="73">
        <f>IF(ISERR(GEOMEAN('Results and Rankings'!$H84,'Results and Rankings'!$U84,'Results and Rankings'!$V84,'Results and Rankings'!$W84)),0,GEOMEAN('Results and Rankings'!$H84,'Results and Rankings'!$U84,'Results and Rankings'!$V84,'Results and Rankings'!$W84))</f>
        <v>0</v>
      </c>
      <c r="Y84" s="74">
        <f>IF(X84,_xlfn.RANK.EQ(X84,X$3:X$110,0),NumberOfTeams)</f>
        <v>0</v>
      </c>
      <c r="Z84" s="38"/>
    </row>
    <row r="85" ht="21.0" customHeight="1">
      <c r="A85" s="67" t="str">
        <f t="array" ref="A85">XLOOKUP(83,'Team and Program Information'!$B$3:$B$202,'Team and Program Information'!$C$3:$C$202,"ERROR",0)</f>
        <v/>
      </c>
      <c r="B85" s="68" t="str">
        <f t="array" ref="B85">XLOOKUP('Results and Rankings'!$A85,'Team and Program Information'!$C$3:$C$202,'Team and Program Information'!$D$3:$D$202,"",0,)</f>
        <v>#VALUE!</v>
      </c>
      <c r="C85" s="69" t="str">
        <f t="array" ref="C85">IF('Results and Rankings'!$A85="","",XLOOKUP('Results and Rankings'!$A85,'Robot Game Scores'!$B$2:$B$201,'Robot Game Scores'!$D$2:$D$201,0,0,))</f>
        <v/>
      </c>
      <c r="D85" s="69" t="str">
        <f t="array" ref="D85">IF('Results and Rankings'!$A85="","",XLOOKUP('Results and Rankings'!$A85,'Robot Game Scores'!$B$2:$B$201,'Robot Game Scores'!$E$2:$E$201,0,0,))</f>
        <v/>
      </c>
      <c r="E85" s="69" t="str">
        <f t="array" ref="E85">IF('Results and Rankings'!$A85="","",XLOOKUP('Results and Rankings'!$A85,'Robot Game Scores'!$B$2:$B$201,'Robot Game Scores'!$F$2:$F$201,0,0,))</f>
        <v/>
      </c>
      <c r="F85" s="69" t="str">
        <f t="array" ref="F85">IF('Results and Rankings'!$A85="","",XLOOKUP('Results and Rankings'!$A85,'Robot Game Scores'!$B$2:$B$201,'Robot Game Scores'!$G$2:$G$201,0,0,))</f>
        <v/>
      </c>
      <c r="G85" s="69" t="str">
        <f t="array" ref="G85">IF('Results and Rankings'!$A85="","",XLOOKUP('Results and Rankings'!$A85,'Robot Game Scores'!$B$2:$B$201,'Robot Game Scores'!$H$2:$H$201,0,0,))</f>
        <v/>
      </c>
      <c r="H85" s="69" t="str">
        <f>IF('Results and Rankings'!$A85="","",IF(ISNA(LARGE('Results and Rankings'!$C85:$G85,1)+0.0001*LARGE('Results and Rankings'!$C85:$G85,2)+0.0000001*LARGE('Results and Rankings'!$C85:$G85,3)+1E-11*LARGE('Results and Rankings'!$C85:$G85,4)+1E-14*LARGE('Results and Rankings'!$C85:$G85,5)),0,LARGE('Results and Rankings'!$C85:$G85,1)+0.0001*LARGE('Results and Rankings'!$C85:$G85,2)+0.0000001*LARGE('Results and Rankings'!$C85:$G85,3)+1E-11*LARGE('Results and Rankings'!$C85:$G85,4)+1E-14*LARGE('Results and Rankings'!$C85:$G85,5)))</f>
        <v/>
      </c>
      <c r="I85" s="69" t="str">
        <f>IF('Results and Rankings'!$A85="","",_xlfn.RANK.EQ('Results and Rankings'!$H85,'Results and Rankings'!$H$3:$H$202))</f>
        <v/>
      </c>
      <c r="J85" s="69" t="str">
        <f t="array" ref="J85">IF('Results and Rankings'!$A85="","",XLOOKUP('Results and Rankings'!$A85,'Core Values Input'!$A$2:$A$201,'Core Values Input'!$V$2:$V$201,NumberOfTeams+1,0,))</f>
        <v/>
      </c>
      <c r="K85" s="69" t="str">
        <f t="array" ref="K85">IF('Results and Rankings'!$A85="","",XLOOKUP('Results and Rankings'!$A85,'Innovation Project Input'!$A$2:$A$201,'Innovation Project Input'!$N$2:$N$201,NumberOfTeams+1,0,))</f>
        <v/>
      </c>
      <c r="L85" s="69" t="str">
        <f t="array" ref="L85">IF('Results and Rankings'!$A85="","",XLOOKUP('Results and Rankings'!$A85,'Robot Design Input'!$A$2:$A$201,'Robot Design Input'!$N$2:$N$201,NumberOfTeams+1,0,))</f>
        <v/>
      </c>
      <c r="M85" s="69" t="str">
        <f> IF('Results and Rankings'!$A85="","",IF('Results and Rankings'!$J85="",NumberOfTeams+1,'Results and Rankings'!$J85) + IF('Results and Rankings'!$K85="",NumberOfTeams+1,'Results and Rankings'!$K85) + IF('Results and Rankings'!$L85="",NumberOfTeams+1,'Results and Rankings'!$L85) + 'Results and Rankings'!$I85)</f>
        <v/>
      </c>
      <c r="N85" s="70" t="str">
        <f>IF('Results and Rankings'!$A85="","",IF(M85,RANK(M85,M$3:M$202,1)-COUNTIF(M$3:M$202,0),NumberOfTeams+1))</f>
        <v/>
      </c>
      <c r="O85" s="72" t="str">
        <f t="array" ref="O85">XLOOKUP('Results and Rankings'!$A85,'Core Values Input'!$A$2:$A$201,'Core Values Input'!$W$2:$W$201,0,0,)</f>
        <v>#VALUE!</v>
      </c>
      <c r="P85" s="72" t="str">
        <f t="array" ref="P85">XLOOKUP('Results and Rankings'!$A85,'Core Values Input'!$A$2:$A$201,'Core Values Input'!$X$2:$X$201,0,0,)</f>
        <v>#VALUE!</v>
      </c>
      <c r="Q85" s="72" t="str">
        <f t="array" ref="Q85">XLOOKUP('Results and Rankings'!$A85,'Core Values Input'!$A$2:$A$201,'Core Values Input'!$Y$2:$Y$201,0,0,)</f>
        <v>#VALUE!</v>
      </c>
      <c r="R85" s="38"/>
      <c r="S85" s="38"/>
      <c r="T85" s="72"/>
      <c r="U85" s="69" t="str">
        <f t="array" ref="U85">XLOOKUP('Results and Rankings'!$A85,'Core Values Input'!$A$2:$A$201,'Core Values Input'!$U$2:$U$201,0,0,)</f>
        <v>#VALUE!</v>
      </c>
      <c r="V85" s="69" t="str">
        <f t="array" ref="V85">XLOOKUP('Results and Rankings'!$A85,'Innovation Project Input'!$A$2:$A$201,'Innovation Project Input'!$M$2:$M$201,0,0,)</f>
        <v>#VALUE!</v>
      </c>
      <c r="W85" s="69" t="str">
        <f t="array" ref="W85">XLOOKUP('Results and Rankings'!$A85,'Robot Design Input'!$A$2:$A$201,'Robot Design Input'!$M$2:$M$201,0,0,)</f>
        <v>#VALUE!</v>
      </c>
      <c r="X85" s="73">
        <f>IF(ISERR(GEOMEAN('Results and Rankings'!$H85,'Results and Rankings'!$U85,'Results and Rankings'!$V85,'Results and Rankings'!$W85)),0,GEOMEAN('Results and Rankings'!$H85,'Results and Rankings'!$U85,'Results and Rankings'!$V85,'Results and Rankings'!$W85))</f>
        <v>0</v>
      </c>
      <c r="Y85" s="74">
        <f>IF(X85,_xlfn.RANK.EQ(X85,X$3:X$110,0),NumberOfTeams)</f>
        <v>0</v>
      </c>
      <c r="Z85" s="38"/>
    </row>
    <row r="86" ht="21.0" customHeight="1">
      <c r="A86" s="67" t="str">
        <f t="array" ref="A86">XLOOKUP(84,'Team and Program Information'!$B$3:$B$202,'Team and Program Information'!$C$3:$C$202,"ERROR",0)</f>
        <v/>
      </c>
      <c r="B86" s="68" t="str">
        <f t="array" ref="B86">XLOOKUP('Results and Rankings'!$A86,'Team and Program Information'!$C$3:$C$202,'Team and Program Information'!$D$3:$D$202,"",0,)</f>
        <v>#VALUE!</v>
      </c>
      <c r="C86" s="69" t="str">
        <f t="array" ref="C86">IF('Results and Rankings'!$A86="","",XLOOKUP('Results and Rankings'!$A86,'Robot Game Scores'!$B$2:$B$201,'Robot Game Scores'!$D$2:$D$201,0,0,))</f>
        <v/>
      </c>
      <c r="D86" s="69" t="str">
        <f t="array" ref="D86">IF('Results and Rankings'!$A86="","",XLOOKUP('Results and Rankings'!$A86,'Robot Game Scores'!$B$2:$B$201,'Robot Game Scores'!$E$2:$E$201,0,0,))</f>
        <v/>
      </c>
      <c r="E86" s="69" t="str">
        <f t="array" ref="E86">IF('Results and Rankings'!$A86="","",XLOOKUP('Results and Rankings'!$A86,'Robot Game Scores'!$B$2:$B$201,'Robot Game Scores'!$F$2:$F$201,0,0,))</f>
        <v/>
      </c>
      <c r="F86" s="69" t="str">
        <f t="array" ref="F86">IF('Results and Rankings'!$A86="","",XLOOKUP('Results and Rankings'!$A86,'Robot Game Scores'!$B$2:$B$201,'Robot Game Scores'!$G$2:$G$201,0,0,))</f>
        <v/>
      </c>
      <c r="G86" s="69" t="str">
        <f t="array" ref="G86">IF('Results and Rankings'!$A86="","",XLOOKUP('Results and Rankings'!$A86,'Robot Game Scores'!$B$2:$B$201,'Robot Game Scores'!$H$2:$H$201,0,0,))</f>
        <v/>
      </c>
      <c r="H86" s="69" t="str">
        <f>IF('Results and Rankings'!$A86="","",IF(ISNA(LARGE('Results and Rankings'!$C86:$G86,1)+0.0001*LARGE('Results and Rankings'!$C86:$G86,2)+0.0000001*LARGE('Results and Rankings'!$C86:$G86,3)+1E-11*LARGE('Results and Rankings'!$C86:$G86,4)+1E-14*LARGE('Results and Rankings'!$C86:$G86,5)),0,LARGE('Results and Rankings'!$C86:$G86,1)+0.0001*LARGE('Results and Rankings'!$C86:$G86,2)+0.0000001*LARGE('Results and Rankings'!$C86:$G86,3)+1E-11*LARGE('Results and Rankings'!$C86:$G86,4)+1E-14*LARGE('Results and Rankings'!$C86:$G86,5)))</f>
        <v/>
      </c>
      <c r="I86" s="69" t="str">
        <f>IF('Results and Rankings'!$A86="","",_xlfn.RANK.EQ('Results and Rankings'!$H86,'Results and Rankings'!$H$3:$H$202))</f>
        <v/>
      </c>
      <c r="J86" s="69" t="str">
        <f t="array" ref="J86">IF('Results and Rankings'!$A86="","",XLOOKUP('Results and Rankings'!$A86,'Core Values Input'!$A$2:$A$201,'Core Values Input'!$V$2:$V$201,NumberOfTeams+1,0,))</f>
        <v/>
      </c>
      <c r="K86" s="69" t="str">
        <f t="array" ref="K86">IF('Results and Rankings'!$A86="","",XLOOKUP('Results and Rankings'!$A86,'Innovation Project Input'!$A$2:$A$201,'Innovation Project Input'!$N$2:$N$201,NumberOfTeams+1,0,))</f>
        <v/>
      </c>
      <c r="L86" s="69" t="str">
        <f t="array" ref="L86">IF('Results and Rankings'!$A86="","",XLOOKUP('Results and Rankings'!$A86,'Robot Design Input'!$A$2:$A$201,'Robot Design Input'!$N$2:$N$201,NumberOfTeams+1,0,))</f>
        <v/>
      </c>
      <c r="M86" s="69" t="str">
        <f> IF('Results and Rankings'!$A86="","",IF('Results and Rankings'!$J86="",NumberOfTeams+1,'Results and Rankings'!$J86) + IF('Results and Rankings'!$K86="",NumberOfTeams+1,'Results and Rankings'!$K86) + IF('Results and Rankings'!$L86="",NumberOfTeams+1,'Results and Rankings'!$L86) + 'Results and Rankings'!$I86)</f>
        <v/>
      </c>
      <c r="N86" s="70" t="str">
        <f>IF('Results and Rankings'!$A86="","",IF(M86,RANK(M86,M$3:M$202,1)-COUNTIF(M$3:M$202,0),NumberOfTeams+1))</f>
        <v/>
      </c>
      <c r="O86" s="72" t="str">
        <f t="array" ref="O86">XLOOKUP('Results and Rankings'!$A86,'Core Values Input'!$A$2:$A$201,'Core Values Input'!$W$2:$W$201,0,0,)</f>
        <v>#VALUE!</v>
      </c>
      <c r="P86" s="72" t="str">
        <f t="array" ref="P86">XLOOKUP('Results and Rankings'!$A86,'Core Values Input'!$A$2:$A$201,'Core Values Input'!$X$2:$X$201,0,0,)</f>
        <v>#VALUE!</v>
      </c>
      <c r="Q86" s="72" t="str">
        <f t="array" ref="Q86">XLOOKUP('Results and Rankings'!$A86,'Core Values Input'!$A$2:$A$201,'Core Values Input'!$Y$2:$Y$201,0,0,)</f>
        <v>#VALUE!</v>
      </c>
      <c r="R86" s="38"/>
      <c r="S86" s="38"/>
      <c r="T86" s="72"/>
      <c r="U86" s="69" t="str">
        <f t="array" ref="U86">XLOOKUP('Results and Rankings'!$A86,'Core Values Input'!$A$2:$A$201,'Core Values Input'!$U$2:$U$201,0,0,)</f>
        <v>#VALUE!</v>
      </c>
      <c r="V86" s="69" t="str">
        <f t="array" ref="V86">XLOOKUP('Results and Rankings'!$A86,'Innovation Project Input'!$A$2:$A$201,'Innovation Project Input'!$M$2:$M$201,0,0,)</f>
        <v>#VALUE!</v>
      </c>
      <c r="W86" s="69" t="str">
        <f t="array" ref="W86">XLOOKUP('Results and Rankings'!$A86,'Robot Design Input'!$A$2:$A$201,'Robot Design Input'!$M$2:$M$201,0,0,)</f>
        <v>#VALUE!</v>
      </c>
      <c r="X86" s="73">
        <f>IF(ISERR(GEOMEAN('Results and Rankings'!$H86,'Results and Rankings'!$U86,'Results and Rankings'!$V86,'Results and Rankings'!$W86)),0,GEOMEAN('Results and Rankings'!$H86,'Results and Rankings'!$U86,'Results and Rankings'!$V86,'Results and Rankings'!$W86))</f>
        <v>0</v>
      </c>
      <c r="Y86" s="74">
        <f>IF(X86,_xlfn.RANK.EQ(X86,X$3:X$110,0),NumberOfTeams)</f>
        <v>0</v>
      </c>
      <c r="Z86" s="38"/>
    </row>
    <row r="87" ht="21.0" customHeight="1">
      <c r="A87" s="67" t="str">
        <f t="array" ref="A87">XLOOKUP(85,'Team and Program Information'!$B$3:$B$202,'Team and Program Information'!$C$3:$C$202,"ERROR",0)</f>
        <v/>
      </c>
      <c r="B87" s="68" t="str">
        <f t="array" ref="B87">XLOOKUP('Results and Rankings'!$A87,'Team and Program Information'!$C$3:$C$202,'Team and Program Information'!$D$3:$D$202,"",0,)</f>
        <v>#VALUE!</v>
      </c>
      <c r="C87" s="69" t="str">
        <f t="array" ref="C87">IF('Results and Rankings'!$A87="","",XLOOKUP('Results and Rankings'!$A87,'Robot Game Scores'!$B$2:$B$201,'Robot Game Scores'!$D$2:$D$201,0,0,))</f>
        <v/>
      </c>
      <c r="D87" s="69" t="str">
        <f t="array" ref="D87">IF('Results and Rankings'!$A87="","",XLOOKUP('Results and Rankings'!$A87,'Robot Game Scores'!$B$2:$B$201,'Robot Game Scores'!$E$2:$E$201,0,0,))</f>
        <v/>
      </c>
      <c r="E87" s="69" t="str">
        <f t="array" ref="E87">IF('Results and Rankings'!$A87="","",XLOOKUP('Results and Rankings'!$A87,'Robot Game Scores'!$B$2:$B$201,'Robot Game Scores'!$F$2:$F$201,0,0,))</f>
        <v/>
      </c>
      <c r="F87" s="69" t="str">
        <f t="array" ref="F87">IF('Results and Rankings'!$A87="","",XLOOKUP('Results and Rankings'!$A87,'Robot Game Scores'!$B$2:$B$201,'Robot Game Scores'!$G$2:$G$201,0,0,))</f>
        <v/>
      </c>
      <c r="G87" s="69" t="str">
        <f t="array" ref="G87">IF('Results and Rankings'!$A87="","",XLOOKUP('Results and Rankings'!$A87,'Robot Game Scores'!$B$2:$B$201,'Robot Game Scores'!$H$2:$H$201,0,0,))</f>
        <v/>
      </c>
      <c r="H87" s="69" t="str">
        <f>IF('Results and Rankings'!$A87="","",IF(ISNA(LARGE('Results and Rankings'!$C87:$G87,1)+0.0001*LARGE('Results and Rankings'!$C87:$G87,2)+0.0000001*LARGE('Results and Rankings'!$C87:$G87,3)+1E-11*LARGE('Results and Rankings'!$C87:$G87,4)+1E-14*LARGE('Results and Rankings'!$C87:$G87,5)),0,LARGE('Results and Rankings'!$C87:$G87,1)+0.0001*LARGE('Results and Rankings'!$C87:$G87,2)+0.0000001*LARGE('Results and Rankings'!$C87:$G87,3)+1E-11*LARGE('Results and Rankings'!$C87:$G87,4)+1E-14*LARGE('Results and Rankings'!$C87:$G87,5)))</f>
        <v/>
      </c>
      <c r="I87" s="69" t="str">
        <f>IF('Results and Rankings'!$A87="","",_xlfn.RANK.EQ('Results and Rankings'!$H87,'Results and Rankings'!$H$3:$H$202))</f>
        <v/>
      </c>
      <c r="J87" s="69" t="str">
        <f t="array" ref="J87">IF('Results and Rankings'!$A87="","",XLOOKUP('Results and Rankings'!$A87,'Core Values Input'!$A$2:$A$201,'Core Values Input'!$V$2:$V$201,NumberOfTeams+1,0,))</f>
        <v/>
      </c>
      <c r="K87" s="69" t="str">
        <f t="array" ref="K87">IF('Results and Rankings'!$A87="","",XLOOKUP('Results and Rankings'!$A87,'Innovation Project Input'!$A$2:$A$201,'Innovation Project Input'!$N$2:$N$201,NumberOfTeams+1,0,))</f>
        <v/>
      </c>
      <c r="L87" s="69" t="str">
        <f t="array" ref="L87">IF('Results and Rankings'!$A87="","",XLOOKUP('Results and Rankings'!$A87,'Robot Design Input'!$A$2:$A$201,'Robot Design Input'!$N$2:$N$201,NumberOfTeams+1,0,))</f>
        <v/>
      </c>
      <c r="M87" s="69" t="str">
        <f> IF('Results and Rankings'!$A87="","",IF('Results and Rankings'!$J87="",NumberOfTeams+1,'Results and Rankings'!$J87) + IF('Results and Rankings'!$K87="",NumberOfTeams+1,'Results and Rankings'!$K87) + IF('Results and Rankings'!$L87="",NumberOfTeams+1,'Results and Rankings'!$L87) + 'Results and Rankings'!$I87)</f>
        <v/>
      </c>
      <c r="N87" s="70" t="str">
        <f>IF('Results and Rankings'!$A87="","",IF(M87,RANK(M87,M$3:M$202,1)-COUNTIF(M$3:M$202,0),NumberOfTeams+1))</f>
        <v/>
      </c>
      <c r="O87" s="72" t="str">
        <f t="array" ref="O87">XLOOKUP('Results and Rankings'!$A87,'Core Values Input'!$A$2:$A$201,'Core Values Input'!$W$2:$W$201,0,0,)</f>
        <v>#VALUE!</v>
      </c>
      <c r="P87" s="72" t="str">
        <f t="array" ref="P87">XLOOKUP('Results and Rankings'!$A87,'Core Values Input'!$A$2:$A$201,'Core Values Input'!$X$2:$X$201,0,0,)</f>
        <v>#VALUE!</v>
      </c>
      <c r="Q87" s="72" t="str">
        <f t="array" ref="Q87">XLOOKUP('Results and Rankings'!$A87,'Core Values Input'!$A$2:$A$201,'Core Values Input'!$Y$2:$Y$201,0,0,)</f>
        <v>#VALUE!</v>
      </c>
      <c r="R87" s="38"/>
      <c r="S87" s="38"/>
      <c r="T87" s="72"/>
      <c r="U87" s="69" t="str">
        <f t="array" ref="U87">XLOOKUP('Results and Rankings'!$A87,'Core Values Input'!$A$2:$A$201,'Core Values Input'!$U$2:$U$201,0,0,)</f>
        <v>#VALUE!</v>
      </c>
      <c r="V87" s="69" t="str">
        <f t="array" ref="V87">XLOOKUP('Results and Rankings'!$A87,'Innovation Project Input'!$A$2:$A$201,'Innovation Project Input'!$M$2:$M$201,0,0,)</f>
        <v>#VALUE!</v>
      </c>
      <c r="W87" s="69" t="str">
        <f t="array" ref="W87">XLOOKUP('Results and Rankings'!$A87,'Robot Design Input'!$A$2:$A$201,'Robot Design Input'!$M$2:$M$201,0,0,)</f>
        <v>#VALUE!</v>
      </c>
      <c r="X87" s="73">
        <f>IF(ISERR(GEOMEAN('Results and Rankings'!$H87,'Results and Rankings'!$U87,'Results and Rankings'!$V87,'Results and Rankings'!$W87)),0,GEOMEAN('Results and Rankings'!$H87,'Results and Rankings'!$U87,'Results and Rankings'!$V87,'Results and Rankings'!$W87))</f>
        <v>0</v>
      </c>
      <c r="Y87" s="74">
        <f>IF(X87,_xlfn.RANK.EQ(X87,X$3:X$110,0),NumberOfTeams)</f>
        <v>0</v>
      </c>
      <c r="Z87" s="38"/>
    </row>
    <row r="88" ht="21.0" customHeight="1">
      <c r="A88" s="67" t="str">
        <f t="array" ref="A88">XLOOKUP(86,'Team and Program Information'!$B$3:$B$202,'Team and Program Information'!$C$3:$C$202,"ERROR",0)</f>
        <v/>
      </c>
      <c r="B88" s="68" t="str">
        <f t="array" ref="B88">XLOOKUP('Results and Rankings'!$A88,'Team and Program Information'!$C$3:$C$202,'Team and Program Information'!$D$3:$D$202,"",0,)</f>
        <v>#VALUE!</v>
      </c>
      <c r="C88" s="69" t="str">
        <f t="array" ref="C88">IF('Results and Rankings'!$A88="","",XLOOKUP('Results and Rankings'!$A88,'Robot Game Scores'!$B$2:$B$201,'Robot Game Scores'!$D$2:$D$201,0,0,))</f>
        <v/>
      </c>
      <c r="D88" s="69" t="str">
        <f t="array" ref="D88">IF('Results and Rankings'!$A88="","",XLOOKUP('Results and Rankings'!$A88,'Robot Game Scores'!$B$2:$B$201,'Robot Game Scores'!$E$2:$E$201,0,0,))</f>
        <v/>
      </c>
      <c r="E88" s="69" t="str">
        <f t="array" ref="E88">IF('Results and Rankings'!$A88="","",XLOOKUP('Results and Rankings'!$A88,'Robot Game Scores'!$B$2:$B$201,'Robot Game Scores'!$F$2:$F$201,0,0,))</f>
        <v/>
      </c>
      <c r="F88" s="69" t="str">
        <f t="array" ref="F88">IF('Results and Rankings'!$A88="","",XLOOKUP('Results and Rankings'!$A88,'Robot Game Scores'!$B$2:$B$201,'Robot Game Scores'!$G$2:$G$201,0,0,))</f>
        <v/>
      </c>
      <c r="G88" s="69" t="str">
        <f t="array" ref="G88">IF('Results and Rankings'!$A88="","",XLOOKUP('Results and Rankings'!$A88,'Robot Game Scores'!$B$2:$B$201,'Robot Game Scores'!$H$2:$H$201,0,0,))</f>
        <v/>
      </c>
      <c r="H88" s="69" t="str">
        <f>IF('Results and Rankings'!$A88="","",IF(ISNA(LARGE('Results and Rankings'!$C88:$G88,1)+0.0001*LARGE('Results and Rankings'!$C88:$G88,2)+0.0000001*LARGE('Results and Rankings'!$C88:$G88,3)+1E-11*LARGE('Results and Rankings'!$C88:$G88,4)+1E-14*LARGE('Results and Rankings'!$C88:$G88,5)),0,LARGE('Results and Rankings'!$C88:$G88,1)+0.0001*LARGE('Results and Rankings'!$C88:$G88,2)+0.0000001*LARGE('Results and Rankings'!$C88:$G88,3)+1E-11*LARGE('Results and Rankings'!$C88:$G88,4)+1E-14*LARGE('Results and Rankings'!$C88:$G88,5)))</f>
        <v/>
      </c>
      <c r="I88" s="69" t="str">
        <f>IF('Results and Rankings'!$A88="","",_xlfn.RANK.EQ('Results and Rankings'!$H88,'Results and Rankings'!$H$3:$H$202))</f>
        <v/>
      </c>
      <c r="J88" s="69" t="str">
        <f t="array" ref="J88">IF('Results and Rankings'!$A88="","",XLOOKUP('Results and Rankings'!$A88,'Core Values Input'!$A$2:$A$201,'Core Values Input'!$V$2:$V$201,NumberOfTeams+1,0,))</f>
        <v/>
      </c>
      <c r="K88" s="69" t="str">
        <f t="array" ref="K88">IF('Results and Rankings'!$A88="","",XLOOKUP('Results and Rankings'!$A88,'Innovation Project Input'!$A$2:$A$201,'Innovation Project Input'!$N$2:$N$201,NumberOfTeams+1,0,))</f>
        <v/>
      </c>
      <c r="L88" s="69" t="str">
        <f t="array" ref="L88">IF('Results and Rankings'!$A88="","",XLOOKUP('Results and Rankings'!$A88,'Robot Design Input'!$A$2:$A$201,'Robot Design Input'!$N$2:$N$201,NumberOfTeams+1,0,))</f>
        <v/>
      </c>
      <c r="M88" s="69" t="str">
        <f> IF('Results and Rankings'!$A88="","",IF('Results and Rankings'!$J88="",NumberOfTeams+1,'Results and Rankings'!$J88) + IF('Results and Rankings'!$K88="",NumberOfTeams+1,'Results and Rankings'!$K88) + IF('Results and Rankings'!$L88="",NumberOfTeams+1,'Results and Rankings'!$L88) + 'Results and Rankings'!$I88)</f>
        <v/>
      </c>
      <c r="N88" s="70" t="str">
        <f>IF('Results and Rankings'!$A88="","",IF(M88,RANK(M88,M$3:M$202,1)-COUNTIF(M$3:M$202,0),NumberOfTeams+1))</f>
        <v/>
      </c>
      <c r="O88" s="72" t="str">
        <f t="array" ref="O88">XLOOKUP('Results and Rankings'!$A88,'Core Values Input'!$A$2:$A$201,'Core Values Input'!$W$2:$W$201,0,0,)</f>
        <v>#VALUE!</v>
      </c>
      <c r="P88" s="72" t="str">
        <f t="array" ref="P88">XLOOKUP('Results and Rankings'!$A88,'Core Values Input'!$A$2:$A$201,'Core Values Input'!$X$2:$X$201,0,0,)</f>
        <v>#VALUE!</v>
      </c>
      <c r="Q88" s="72" t="str">
        <f t="array" ref="Q88">XLOOKUP('Results and Rankings'!$A88,'Core Values Input'!$A$2:$A$201,'Core Values Input'!$Y$2:$Y$201,0,0,)</f>
        <v>#VALUE!</v>
      </c>
      <c r="R88" s="38"/>
      <c r="S88" s="38"/>
      <c r="T88" s="72"/>
      <c r="U88" s="69" t="str">
        <f t="array" ref="U88">XLOOKUP('Results and Rankings'!$A88,'Core Values Input'!$A$2:$A$201,'Core Values Input'!$U$2:$U$201,0,0,)</f>
        <v>#VALUE!</v>
      </c>
      <c r="V88" s="69" t="str">
        <f t="array" ref="V88">XLOOKUP('Results and Rankings'!$A88,'Innovation Project Input'!$A$2:$A$201,'Innovation Project Input'!$M$2:$M$201,0,0,)</f>
        <v>#VALUE!</v>
      </c>
      <c r="W88" s="69" t="str">
        <f t="array" ref="W88">XLOOKUP('Results and Rankings'!$A88,'Robot Design Input'!$A$2:$A$201,'Robot Design Input'!$M$2:$M$201,0,0,)</f>
        <v>#VALUE!</v>
      </c>
      <c r="X88" s="73">
        <f>IF(ISERR(GEOMEAN('Results and Rankings'!$H88,'Results and Rankings'!$U88,'Results and Rankings'!$V88,'Results and Rankings'!$W88)),0,GEOMEAN('Results and Rankings'!$H88,'Results and Rankings'!$U88,'Results and Rankings'!$V88,'Results and Rankings'!$W88))</f>
        <v>0</v>
      </c>
      <c r="Y88" s="74">
        <f>IF(X88,_xlfn.RANK.EQ(X88,X$3:X$110,0),NumberOfTeams)</f>
        <v>0</v>
      </c>
      <c r="Z88" s="38"/>
    </row>
    <row r="89" ht="21.0" customHeight="1">
      <c r="A89" s="67" t="str">
        <f t="array" ref="A89">XLOOKUP(87,'Team and Program Information'!$B$3:$B$202,'Team and Program Information'!$C$3:$C$202,"ERROR",0)</f>
        <v/>
      </c>
      <c r="B89" s="68" t="str">
        <f t="array" ref="B89">XLOOKUP('Results and Rankings'!$A89,'Team and Program Information'!$C$3:$C$202,'Team and Program Information'!$D$3:$D$202,"",0,)</f>
        <v>#VALUE!</v>
      </c>
      <c r="C89" s="69" t="str">
        <f t="array" ref="C89">IF('Results and Rankings'!$A89="","",XLOOKUP('Results and Rankings'!$A89,'Robot Game Scores'!$B$2:$B$201,'Robot Game Scores'!$D$2:$D$201,0,0,))</f>
        <v/>
      </c>
      <c r="D89" s="69" t="str">
        <f t="array" ref="D89">IF('Results and Rankings'!$A89="","",XLOOKUP('Results and Rankings'!$A89,'Robot Game Scores'!$B$2:$B$201,'Robot Game Scores'!$E$2:$E$201,0,0,))</f>
        <v/>
      </c>
      <c r="E89" s="69" t="str">
        <f t="array" ref="E89">IF('Results and Rankings'!$A89="","",XLOOKUP('Results and Rankings'!$A89,'Robot Game Scores'!$B$2:$B$201,'Robot Game Scores'!$F$2:$F$201,0,0,))</f>
        <v/>
      </c>
      <c r="F89" s="69" t="str">
        <f t="array" ref="F89">IF('Results and Rankings'!$A89="","",XLOOKUP('Results and Rankings'!$A89,'Robot Game Scores'!$B$2:$B$201,'Robot Game Scores'!$G$2:$G$201,0,0,))</f>
        <v/>
      </c>
      <c r="G89" s="69" t="str">
        <f t="array" ref="G89">IF('Results and Rankings'!$A89="","",XLOOKUP('Results and Rankings'!$A89,'Robot Game Scores'!$B$2:$B$201,'Robot Game Scores'!$H$2:$H$201,0,0,))</f>
        <v/>
      </c>
      <c r="H89" s="69" t="str">
        <f>IF('Results and Rankings'!$A89="","",IF(ISNA(LARGE('Results and Rankings'!$C89:$G89,1)+0.0001*LARGE('Results and Rankings'!$C89:$G89,2)+0.0000001*LARGE('Results and Rankings'!$C89:$G89,3)+1E-11*LARGE('Results and Rankings'!$C89:$G89,4)+1E-14*LARGE('Results and Rankings'!$C89:$G89,5)),0,LARGE('Results and Rankings'!$C89:$G89,1)+0.0001*LARGE('Results and Rankings'!$C89:$G89,2)+0.0000001*LARGE('Results and Rankings'!$C89:$G89,3)+1E-11*LARGE('Results and Rankings'!$C89:$G89,4)+1E-14*LARGE('Results and Rankings'!$C89:$G89,5)))</f>
        <v/>
      </c>
      <c r="I89" s="69" t="str">
        <f>IF('Results and Rankings'!$A89="","",_xlfn.RANK.EQ('Results and Rankings'!$H89,'Results and Rankings'!$H$3:$H$202))</f>
        <v/>
      </c>
      <c r="J89" s="69" t="str">
        <f t="array" ref="J89">IF('Results and Rankings'!$A89="","",XLOOKUP('Results and Rankings'!$A89,'Core Values Input'!$A$2:$A$201,'Core Values Input'!$V$2:$V$201,NumberOfTeams+1,0,))</f>
        <v/>
      </c>
      <c r="K89" s="69" t="str">
        <f t="array" ref="K89">IF('Results and Rankings'!$A89="","",XLOOKUP('Results and Rankings'!$A89,'Innovation Project Input'!$A$2:$A$201,'Innovation Project Input'!$N$2:$N$201,NumberOfTeams+1,0,))</f>
        <v/>
      </c>
      <c r="L89" s="69" t="str">
        <f t="array" ref="L89">IF('Results and Rankings'!$A89="","",XLOOKUP('Results and Rankings'!$A89,'Robot Design Input'!$A$2:$A$201,'Robot Design Input'!$N$2:$N$201,NumberOfTeams+1,0,))</f>
        <v/>
      </c>
      <c r="M89" s="69" t="str">
        <f> IF('Results and Rankings'!$A89="","",IF('Results and Rankings'!$J89="",NumberOfTeams+1,'Results and Rankings'!$J89) + IF('Results and Rankings'!$K89="",NumberOfTeams+1,'Results and Rankings'!$K89) + IF('Results and Rankings'!$L89="",NumberOfTeams+1,'Results and Rankings'!$L89) + 'Results and Rankings'!$I89)</f>
        <v/>
      </c>
      <c r="N89" s="70" t="str">
        <f>IF('Results and Rankings'!$A89="","",IF(M89,RANK(M89,M$3:M$202,1)-COUNTIF(M$3:M$202,0),NumberOfTeams+1))</f>
        <v/>
      </c>
      <c r="O89" s="72" t="str">
        <f t="array" ref="O89">XLOOKUP('Results and Rankings'!$A89,'Core Values Input'!$A$2:$A$201,'Core Values Input'!$W$2:$W$201,0,0,)</f>
        <v>#VALUE!</v>
      </c>
      <c r="P89" s="72" t="str">
        <f t="array" ref="P89">XLOOKUP('Results and Rankings'!$A89,'Core Values Input'!$A$2:$A$201,'Core Values Input'!$X$2:$X$201,0,0,)</f>
        <v>#VALUE!</v>
      </c>
      <c r="Q89" s="72" t="str">
        <f t="array" ref="Q89">XLOOKUP('Results and Rankings'!$A89,'Core Values Input'!$A$2:$A$201,'Core Values Input'!$Y$2:$Y$201,0,0,)</f>
        <v>#VALUE!</v>
      </c>
      <c r="R89" s="38"/>
      <c r="S89" s="38"/>
      <c r="T89" s="72"/>
      <c r="U89" s="69" t="str">
        <f t="array" ref="U89">XLOOKUP('Results and Rankings'!$A89,'Core Values Input'!$A$2:$A$201,'Core Values Input'!$U$2:$U$201,0,0,)</f>
        <v>#VALUE!</v>
      </c>
      <c r="V89" s="69" t="str">
        <f t="array" ref="V89">XLOOKUP('Results and Rankings'!$A89,'Innovation Project Input'!$A$2:$A$201,'Innovation Project Input'!$M$2:$M$201,0,0,)</f>
        <v>#VALUE!</v>
      </c>
      <c r="W89" s="69" t="str">
        <f t="array" ref="W89">XLOOKUP('Results and Rankings'!$A89,'Robot Design Input'!$A$2:$A$201,'Robot Design Input'!$M$2:$M$201,0,0,)</f>
        <v>#VALUE!</v>
      </c>
      <c r="X89" s="73">
        <f>IF(ISERR(GEOMEAN('Results and Rankings'!$H89,'Results and Rankings'!$U89,'Results and Rankings'!$V89,'Results and Rankings'!$W89)),0,GEOMEAN('Results and Rankings'!$H89,'Results and Rankings'!$U89,'Results and Rankings'!$V89,'Results and Rankings'!$W89))</f>
        <v>0</v>
      </c>
      <c r="Y89" s="74">
        <f>IF(X89,_xlfn.RANK.EQ(X89,X$3:X$110,0),NumberOfTeams)</f>
        <v>0</v>
      </c>
      <c r="Z89" s="38"/>
    </row>
    <row r="90" ht="21.0" customHeight="1">
      <c r="A90" s="67" t="str">
        <f t="array" ref="A90">XLOOKUP(88,'Team and Program Information'!$B$3:$B$202,'Team and Program Information'!$C$3:$C$202,"ERROR",0)</f>
        <v/>
      </c>
      <c r="B90" s="68" t="str">
        <f t="array" ref="B90">XLOOKUP('Results and Rankings'!$A90,'Team and Program Information'!$C$3:$C$202,'Team and Program Information'!$D$3:$D$202,"",0,)</f>
        <v>#VALUE!</v>
      </c>
      <c r="C90" s="69" t="str">
        <f t="array" ref="C90">IF('Results and Rankings'!$A90="","",XLOOKUP('Results and Rankings'!$A90,'Robot Game Scores'!$B$2:$B$201,'Robot Game Scores'!$D$2:$D$201,0,0,))</f>
        <v/>
      </c>
      <c r="D90" s="69" t="str">
        <f t="array" ref="D90">IF('Results and Rankings'!$A90="","",XLOOKUP('Results and Rankings'!$A90,'Robot Game Scores'!$B$2:$B$201,'Robot Game Scores'!$E$2:$E$201,0,0,))</f>
        <v/>
      </c>
      <c r="E90" s="69" t="str">
        <f t="array" ref="E90">IF('Results and Rankings'!$A90="","",XLOOKUP('Results and Rankings'!$A90,'Robot Game Scores'!$B$2:$B$201,'Robot Game Scores'!$F$2:$F$201,0,0,))</f>
        <v/>
      </c>
      <c r="F90" s="69" t="str">
        <f t="array" ref="F90">IF('Results and Rankings'!$A90="","",XLOOKUP('Results and Rankings'!$A90,'Robot Game Scores'!$B$2:$B$201,'Robot Game Scores'!$G$2:$G$201,0,0,))</f>
        <v/>
      </c>
      <c r="G90" s="69" t="str">
        <f t="array" ref="G90">IF('Results and Rankings'!$A90="","",XLOOKUP('Results and Rankings'!$A90,'Robot Game Scores'!$B$2:$B$201,'Robot Game Scores'!$H$2:$H$201,0,0,))</f>
        <v/>
      </c>
      <c r="H90" s="69" t="str">
        <f>IF('Results and Rankings'!$A90="","",IF(ISNA(LARGE('Results and Rankings'!$C90:$G90,1)+0.0001*LARGE('Results and Rankings'!$C90:$G90,2)+0.0000001*LARGE('Results and Rankings'!$C90:$G90,3)+1E-11*LARGE('Results and Rankings'!$C90:$G90,4)+1E-14*LARGE('Results and Rankings'!$C90:$G90,5)),0,LARGE('Results and Rankings'!$C90:$G90,1)+0.0001*LARGE('Results and Rankings'!$C90:$G90,2)+0.0000001*LARGE('Results and Rankings'!$C90:$G90,3)+1E-11*LARGE('Results and Rankings'!$C90:$G90,4)+1E-14*LARGE('Results and Rankings'!$C90:$G90,5)))</f>
        <v/>
      </c>
      <c r="I90" s="69" t="str">
        <f>IF('Results and Rankings'!$A90="","",_xlfn.RANK.EQ('Results and Rankings'!$H90,'Results and Rankings'!$H$3:$H$202))</f>
        <v/>
      </c>
      <c r="J90" s="69" t="str">
        <f t="array" ref="J90">IF('Results and Rankings'!$A90="","",XLOOKUP('Results and Rankings'!$A90,'Core Values Input'!$A$2:$A$201,'Core Values Input'!$V$2:$V$201,NumberOfTeams+1,0,))</f>
        <v/>
      </c>
      <c r="K90" s="69" t="str">
        <f t="array" ref="K90">IF('Results and Rankings'!$A90="","",XLOOKUP('Results and Rankings'!$A90,'Innovation Project Input'!$A$2:$A$201,'Innovation Project Input'!$N$2:$N$201,NumberOfTeams+1,0,))</f>
        <v/>
      </c>
      <c r="L90" s="69" t="str">
        <f t="array" ref="L90">IF('Results and Rankings'!$A90="","",XLOOKUP('Results and Rankings'!$A90,'Robot Design Input'!$A$2:$A$201,'Robot Design Input'!$N$2:$N$201,NumberOfTeams+1,0,))</f>
        <v/>
      </c>
      <c r="M90" s="69" t="str">
        <f> IF('Results and Rankings'!$A90="","",IF('Results and Rankings'!$J90="",NumberOfTeams+1,'Results and Rankings'!$J90) + IF('Results and Rankings'!$K90="",NumberOfTeams+1,'Results and Rankings'!$K90) + IF('Results and Rankings'!$L90="",NumberOfTeams+1,'Results and Rankings'!$L90) + 'Results and Rankings'!$I90)</f>
        <v/>
      </c>
      <c r="N90" s="70" t="str">
        <f>IF('Results and Rankings'!$A90="","",IF(M90,RANK(M90,M$3:M$202,1)-COUNTIF(M$3:M$202,0),NumberOfTeams+1))</f>
        <v/>
      </c>
      <c r="O90" s="72" t="str">
        <f t="array" ref="O90">XLOOKUP('Results and Rankings'!$A90,'Core Values Input'!$A$2:$A$201,'Core Values Input'!$W$2:$W$201,0,0,)</f>
        <v>#VALUE!</v>
      </c>
      <c r="P90" s="72" t="str">
        <f t="array" ref="P90">XLOOKUP('Results and Rankings'!$A90,'Core Values Input'!$A$2:$A$201,'Core Values Input'!$X$2:$X$201,0,0,)</f>
        <v>#VALUE!</v>
      </c>
      <c r="Q90" s="72" t="str">
        <f t="array" ref="Q90">XLOOKUP('Results and Rankings'!$A90,'Core Values Input'!$A$2:$A$201,'Core Values Input'!$Y$2:$Y$201,0,0,)</f>
        <v>#VALUE!</v>
      </c>
      <c r="R90" s="38"/>
      <c r="S90" s="38"/>
      <c r="T90" s="72"/>
      <c r="U90" s="69" t="str">
        <f t="array" ref="U90">XLOOKUP('Results and Rankings'!$A90,'Core Values Input'!$A$2:$A$201,'Core Values Input'!$U$2:$U$201,0,0,)</f>
        <v>#VALUE!</v>
      </c>
      <c r="V90" s="69" t="str">
        <f t="array" ref="V90">XLOOKUP('Results and Rankings'!$A90,'Innovation Project Input'!$A$2:$A$201,'Innovation Project Input'!$M$2:$M$201,0,0,)</f>
        <v>#VALUE!</v>
      </c>
      <c r="W90" s="69" t="str">
        <f t="array" ref="W90">XLOOKUP('Results and Rankings'!$A90,'Robot Design Input'!$A$2:$A$201,'Robot Design Input'!$M$2:$M$201,0,0,)</f>
        <v>#VALUE!</v>
      </c>
      <c r="X90" s="73">
        <f>IF(ISERR(GEOMEAN('Results and Rankings'!$H90,'Results and Rankings'!$U90,'Results and Rankings'!$V90,'Results and Rankings'!$W90)),0,GEOMEAN('Results and Rankings'!$H90,'Results and Rankings'!$U90,'Results and Rankings'!$V90,'Results and Rankings'!$W90))</f>
        <v>0</v>
      </c>
      <c r="Y90" s="74">
        <f>IF(X90,_xlfn.RANK.EQ(X90,X$3:X$110,0),NumberOfTeams)</f>
        <v>0</v>
      </c>
      <c r="Z90" s="38"/>
    </row>
    <row r="91" ht="21.0" customHeight="1">
      <c r="A91" s="67" t="str">
        <f t="array" ref="A91">XLOOKUP(89,'Team and Program Information'!$B$3:$B$202,'Team and Program Information'!$C$3:$C$202,"ERROR",0)</f>
        <v/>
      </c>
      <c r="B91" s="68" t="str">
        <f t="array" ref="B91">XLOOKUP('Results and Rankings'!$A91,'Team and Program Information'!$C$3:$C$202,'Team and Program Information'!$D$3:$D$202,"",0,)</f>
        <v>#VALUE!</v>
      </c>
      <c r="C91" s="69" t="str">
        <f t="array" ref="C91">IF('Results and Rankings'!$A91="","",XLOOKUP('Results and Rankings'!$A91,'Robot Game Scores'!$B$2:$B$201,'Robot Game Scores'!$D$2:$D$201,0,0,))</f>
        <v/>
      </c>
      <c r="D91" s="69" t="str">
        <f t="array" ref="D91">IF('Results and Rankings'!$A91="","",XLOOKUP('Results and Rankings'!$A91,'Robot Game Scores'!$B$2:$B$201,'Robot Game Scores'!$E$2:$E$201,0,0,))</f>
        <v/>
      </c>
      <c r="E91" s="69" t="str">
        <f t="array" ref="E91">IF('Results and Rankings'!$A91="","",XLOOKUP('Results and Rankings'!$A91,'Robot Game Scores'!$B$2:$B$201,'Robot Game Scores'!$F$2:$F$201,0,0,))</f>
        <v/>
      </c>
      <c r="F91" s="69" t="str">
        <f t="array" ref="F91">IF('Results and Rankings'!$A91="","",XLOOKUP('Results and Rankings'!$A91,'Robot Game Scores'!$B$2:$B$201,'Robot Game Scores'!$G$2:$G$201,0,0,))</f>
        <v/>
      </c>
      <c r="G91" s="69" t="str">
        <f t="array" ref="G91">IF('Results and Rankings'!$A91="","",XLOOKUP('Results and Rankings'!$A91,'Robot Game Scores'!$B$2:$B$201,'Robot Game Scores'!$H$2:$H$201,0,0,))</f>
        <v/>
      </c>
      <c r="H91" s="69" t="str">
        <f>IF('Results and Rankings'!$A91="","",IF(ISNA(LARGE('Results and Rankings'!$C91:$G91,1)+0.0001*LARGE('Results and Rankings'!$C91:$G91,2)+0.0000001*LARGE('Results and Rankings'!$C91:$G91,3)+1E-11*LARGE('Results and Rankings'!$C91:$G91,4)+1E-14*LARGE('Results and Rankings'!$C91:$G91,5)),0,LARGE('Results and Rankings'!$C91:$G91,1)+0.0001*LARGE('Results and Rankings'!$C91:$G91,2)+0.0000001*LARGE('Results and Rankings'!$C91:$G91,3)+1E-11*LARGE('Results and Rankings'!$C91:$G91,4)+1E-14*LARGE('Results and Rankings'!$C91:$G91,5)))</f>
        <v/>
      </c>
      <c r="I91" s="69" t="str">
        <f>IF('Results and Rankings'!$A91="","",_xlfn.RANK.EQ('Results and Rankings'!$H91,'Results and Rankings'!$H$3:$H$202))</f>
        <v/>
      </c>
      <c r="J91" s="69" t="str">
        <f t="array" ref="J91">IF('Results and Rankings'!$A91="","",XLOOKUP('Results and Rankings'!$A91,'Core Values Input'!$A$2:$A$201,'Core Values Input'!$V$2:$V$201,NumberOfTeams+1,0,))</f>
        <v/>
      </c>
      <c r="K91" s="69" t="str">
        <f t="array" ref="K91">IF('Results and Rankings'!$A91="","",XLOOKUP('Results and Rankings'!$A91,'Innovation Project Input'!$A$2:$A$201,'Innovation Project Input'!$N$2:$N$201,NumberOfTeams+1,0,))</f>
        <v/>
      </c>
      <c r="L91" s="69" t="str">
        <f t="array" ref="L91">IF('Results and Rankings'!$A91="","",XLOOKUP('Results and Rankings'!$A91,'Robot Design Input'!$A$2:$A$201,'Robot Design Input'!$N$2:$N$201,NumberOfTeams+1,0,))</f>
        <v/>
      </c>
      <c r="M91" s="69" t="str">
        <f> IF('Results and Rankings'!$A91="","",IF('Results and Rankings'!$J91="",NumberOfTeams+1,'Results and Rankings'!$J91) + IF('Results and Rankings'!$K91="",NumberOfTeams+1,'Results and Rankings'!$K91) + IF('Results and Rankings'!$L91="",NumberOfTeams+1,'Results and Rankings'!$L91) + 'Results and Rankings'!$I91)</f>
        <v/>
      </c>
      <c r="N91" s="70" t="str">
        <f>IF('Results and Rankings'!$A91="","",IF(M91,RANK(M91,M$3:M$202,1)-COUNTIF(M$3:M$202,0),NumberOfTeams+1))</f>
        <v/>
      </c>
      <c r="O91" s="72" t="str">
        <f t="array" ref="O91">XLOOKUP('Results and Rankings'!$A91,'Core Values Input'!$A$2:$A$201,'Core Values Input'!$W$2:$W$201,0,0,)</f>
        <v>#VALUE!</v>
      </c>
      <c r="P91" s="72" t="str">
        <f t="array" ref="P91">XLOOKUP('Results and Rankings'!$A91,'Core Values Input'!$A$2:$A$201,'Core Values Input'!$X$2:$X$201,0,0,)</f>
        <v>#VALUE!</v>
      </c>
      <c r="Q91" s="72" t="str">
        <f t="array" ref="Q91">XLOOKUP('Results and Rankings'!$A91,'Core Values Input'!$A$2:$A$201,'Core Values Input'!$Y$2:$Y$201,0,0,)</f>
        <v>#VALUE!</v>
      </c>
      <c r="R91" s="38"/>
      <c r="S91" s="38"/>
      <c r="T91" s="72"/>
      <c r="U91" s="69" t="str">
        <f t="array" ref="U91">XLOOKUP('Results and Rankings'!$A91,'Core Values Input'!$A$2:$A$201,'Core Values Input'!$U$2:$U$201,0,0,)</f>
        <v>#VALUE!</v>
      </c>
      <c r="V91" s="69" t="str">
        <f t="array" ref="V91">XLOOKUP('Results and Rankings'!$A91,'Innovation Project Input'!$A$2:$A$201,'Innovation Project Input'!$M$2:$M$201,0,0,)</f>
        <v>#VALUE!</v>
      </c>
      <c r="W91" s="69" t="str">
        <f t="array" ref="W91">XLOOKUP('Results and Rankings'!$A91,'Robot Design Input'!$A$2:$A$201,'Robot Design Input'!$M$2:$M$201,0,0,)</f>
        <v>#VALUE!</v>
      </c>
      <c r="X91" s="73">
        <f>IF(ISERR(GEOMEAN('Results and Rankings'!$H91,'Results and Rankings'!$U91,'Results and Rankings'!$V91,'Results and Rankings'!$W91)),0,GEOMEAN('Results and Rankings'!$H91,'Results and Rankings'!$U91,'Results and Rankings'!$V91,'Results and Rankings'!$W91))</f>
        <v>0</v>
      </c>
      <c r="Y91" s="74">
        <f>IF(X91,_xlfn.RANK.EQ(X91,X$3:X$110,0),NumberOfTeams)</f>
        <v>0</v>
      </c>
      <c r="Z91" s="38"/>
    </row>
    <row r="92" ht="21.0" customHeight="1">
      <c r="A92" s="67" t="str">
        <f t="array" ref="A92">XLOOKUP(90,'Team and Program Information'!$B$3:$B$202,'Team and Program Information'!$C$3:$C$202,"ERROR",0)</f>
        <v/>
      </c>
      <c r="B92" s="68" t="str">
        <f t="array" ref="B92">XLOOKUP('Results and Rankings'!$A92,'Team and Program Information'!$C$3:$C$202,'Team and Program Information'!$D$3:$D$202,"",0,)</f>
        <v>#VALUE!</v>
      </c>
      <c r="C92" s="69" t="str">
        <f t="array" ref="C92">IF('Results and Rankings'!$A92="","",XLOOKUP('Results and Rankings'!$A92,'Robot Game Scores'!$B$2:$B$201,'Robot Game Scores'!$D$2:$D$201,0,0,))</f>
        <v/>
      </c>
      <c r="D92" s="69" t="str">
        <f t="array" ref="D92">IF('Results and Rankings'!$A92="","",XLOOKUP('Results and Rankings'!$A92,'Robot Game Scores'!$B$2:$B$201,'Robot Game Scores'!$E$2:$E$201,0,0,))</f>
        <v/>
      </c>
      <c r="E92" s="69" t="str">
        <f t="array" ref="E92">IF('Results and Rankings'!$A92="","",XLOOKUP('Results and Rankings'!$A92,'Robot Game Scores'!$B$2:$B$201,'Robot Game Scores'!$F$2:$F$201,0,0,))</f>
        <v/>
      </c>
      <c r="F92" s="69" t="str">
        <f t="array" ref="F92">IF('Results and Rankings'!$A92="","",XLOOKUP('Results and Rankings'!$A92,'Robot Game Scores'!$B$2:$B$201,'Robot Game Scores'!$G$2:$G$201,0,0,))</f>
        <v/>
      </c>
      <c r="G92" s="69" t="str">
        <f t="array" ref="G92">IF('Results and Rankings'!$A92="","",XLOOKUP('Results and Rankings'!$A92,'Robot Game Scores'!$B$2:$B$201,'Robot Game Scores'!$H$2:$H$201,0,0,))</f>
        <v/>
      </c>
      <c r="H92" s="69" t="str">
        <f>IF('Results and Rankings'!$A92="","",IF(ISNA(LARGE('Results and Rankings'!$C92:$G92,1)+0.0001*LARGE('Results and Rankings'!$C92:$G92,2)+0.0000001*LARGE('Results and Rankings'!$C92:$G92,3)+1E-11*LARGE('Results and Rankings'!$C92:$G92,4)+1E-14*LARGE('Results and Rankings'!$C92:$G92,5)),0,LARGE('Results and Rankings'!$C92:$G92,1)+0.0001*LARGE('Results and Rankings'!$C92:$G92,2)+0.0000001*LARGE('Results and Rankings'!$C92:$G92,3)+1E-11*LARGE('Results and Rankings'!$C92:$G92,4)+1E-14*LARGE('Results and Rankings'!$C92:$G92,5)))</f>
        <v/>
      </c>
      <c r="I92" s="69" t="str">
        <f>IF('Results and Rankings'!$A92="","",_xlfn.RANK.EQ('Results and Rankings'!$H92,'Results and Rankings'!$H$3:$H$202))</f>
        <v/>
      </c>
      <c r="J92" s="69" t="str">
        <f t="array" ref="J92">IF('Results and Rankings'!$A92="","",XLOOKUP('Results and Rankings'!$A92,'Core Values Input'!$A$2:$A$201,'Core Values Input'!$V$2:$V$201,NumberOfTeams+1,0,))</f>
        <v/>
      </c>
      <c r="K92" s="69" t="str">
        <f t="array" ref="K92">IF('Results and Rankings'!$A92="","",XLOOKUP('Results and Rankings'!$A92,'Innovation Project Input'!$A$2:$A$201,'Innovation Project Input'!$N$2:$N$201,NumberOfTeams+1,0,))</f>
        <v/>
      </c>
      <c r="L92" s="69" t="str">
        <f t="array" ref="L92">IF('Results and Rankings'!$A92="","",XLOOKUP('Results and Rankings'!$A92,'Robot Design Input'!$A$2:$A$201,'Robot Design Input'!$N$2:$N$201,NumberOfTeams+1,0,))</f>
        <v/>
      </c>
      <c r="M92" s="69" t="str">
        <f> IF('Results and Rankings'!$A92="","",IF('Results and Rankings'!$J92="",NumberOfTeams+1,'Results and Rankings'!$J92) + IF('Results and Rankings'!$K92="",NumberOfTeams+1,'Results and Rankings'!$K92) + IF('Results and Rankings'!$L92="",NumberOfTeams+1,'Results and Rankings'!$L92) + 'Results and Rankings'!$I92)</f>
        <v/>
      </c>
      <c r="N92" s="70" t="str">
        <f>IF('Results and Rankings'!$A92="","",IF(M92,RANK(M92,M$3:M$202,1)-COUNTIF(M$3:M$202,0),NumberOfTeams+1))</f>
        <v/>
      </c>
      <c r="O92" s="72" t="str">
        <f t="array" ref="O92">XLOOKUP('Results and Rankings'!$A92,'Core Values Input'!$A$2:$A$201,'Core Values Input'!$W$2:$W$201,0,0,)</f>
        <v>#VALUE!</v>
      </c>
      <c r="P92" s="72" t="str">
        <f t="array" ref="P92">XLOOKUP('Results and Rankings'!$A92,'Core Values Input'!$A$2:$A$201,'Core Values Input'!$X$2:$X$201,0,0,)</f>
        <v>#VALUE!</v>
      </c>
      <c r="Q92" s="72" t="str">
        <f t="array" ref="Q92">XLOOKUP('Results and Rankings'!$A92,'Core Values Input'!$A$2:$A$201,'Core Values Input'!$Y$2:$Y$201,0,0,)</f>
        <v>#VALUE!</v>
      </c>
      <c r="R92" s="38"/>
      <c r="S92" s="38"/>
      <c r="T92" s="72"/>
      <c r="U92" s="69" t="str">
        <f t="array" ref="U92">XLOOKUP('Results and Rankings'!$A92,'Core Values Input'!$A$2:$A$201,'Core Values Input'!$U$2:$U$201,0,0,)</f>
        <v>#VALUE!</v>
      </c>
      <c r="V92" s="69" t="str">
        <f t="array" ref="V92">XLOOKUP('Results and Rankings'!$A92,'Innovation Project Input'!$A$2:$A$201,'Innovation Project Input'!$M$2:$M$201,0,0,)</f>
        <v>#VALUE!</v>
      </c>
      <c r="W92" s="69" t="str">
        <f t="array" ref="W92">XLOOKUP('Results and Rankings'!$A92,'Robot Design Input'!$A$2:$A$201,'Robot Design Input'!$M$2:$M$201,0,0,)</f>
        <v>#VALUE!</v>
      </c>
      <c r="X92" s="73">
        <f>IF(ISERR(GEOMEAN('Results and Rankings'!$H92,'Results and Rankings'!$U92,'Results and Rankings'!$V92,'Results and Rankings'!$W92)),0,GEOMEAN('Results and Rankings'!$H92,'Results and Rankings'!$U92,'Results and Rankings'!$V92,'Results and Rankings'!$W92))</f>
        <v>0</v>
      </c>
      <c r="Y92" s="74">
        <f>IF(X92,_xlfn.RANK.EQ(X92,X$3:X$110,0),NumberOfTeams)</f>
        <v>0</v>
      </c>
      <c r="Z92" s="38"/>
    </row>
    <row r="93" ht="21.0" customHeight="1">
      <c r="A93" s="67" t="str">
        <f t="array" ref="A93">XLOOKUP(91,'Team and Program Information'!$B$3:$B$202,'Team and Program Information'!$C$3:$C$202,"ERROR",0)</f>
        <v/>
      </c>
      <c r="B93" s="68" t="str">
        <f t="array" ref="B93">XLOOKUP('Results and Rankings'!$A93,'Team and Program Information'!$C$3:$C$202,'Team and Program Information'!$D$3:$D$202,"",0,)</f>
        <v>#VALUE!</v>
      </c>
      <c r="C93" s="69" t="str">
        <f t="array" ref="C93">IF('Results and Rankings'!$A93="","",XLOOKUP('Results and Rankings'!$A93,'Robot Game Scores'!$B$2:$B$201,'Robot Game Scores'!$D$2:$D$201,0,0,))</f>
        <v/>
      </c>
      <c r="D93" s="69" t="str">
        <f t="array" ref="D93">IF('Results and Rankings'!$A93="","",XLOOKUP('Results and Rankings'!$A93,'Robot Game Scores'!$B$2:$B$201,'Robot Game Scores'!$E$2:$E$201,0,0,))</f>
        <v/>
      </c>
      <c r="E93" s="69" t="str">
        <f t="array" ref="E93">IF('Results and Rankings'!$A93="","",XLOOKUP('Results and Rankings'!$A93,'Robot Game Scores'!$B$2:$B$201,'Robot Game Scores'!$F$2:$F$201,0,0,))</f>
        <v/>
      </c>
      <c r="F93" s="69" t="str">
        <f t="array" ref="F93">IF('Results and Rankings'!$A93="","",XLOOKUP('Results and Rankings'!$A93,'Robot Game Scores'!$B$2:$B$201,'Robot Game Scores'!$G$2:$G$201,0,0,))</f>
        <v/>
      </c>
      <c r="G93" s="69" t="str">
        <f t="array" ref="G93">IF('Results and Rankings'!$A93="","",XLOOKUP('Results and Rankings'!$A93,'Robot Game Scores'!$B$2:$B$201,'Robot Game Scores'!$H$2:$H$201,0,0,))</f>
        <v/>
      </c>
      <c r="H93" s="69" t="str">
        <f>IF('Results and Rankings'!$A93="","",IF(ISNA(LARGE('Results and Rankings'!$C93:$G93,1)+0.0001*LARGE('Results and Rankings'!$C93:$G93,2)+0.0000001*LARGE('Results and Rankings'!$C93:$G93,3)+1E-11*LARGE('Results and Rankings'!$C93:$G93,4)+1E-14*LARGE('Results and Rankings'!$C93:$G93,5)),0,LARGE('Results and Rankings'!$C93:$G93,1)+0.0001*LARGE('Results and Rankings'!$C93:$G93,2)+0.0000001*LARGE('Results and Rankings'!$C93:$G93,3)+1E-11*LARGE('Results and Rankings'!$C93:$G93,4)+1E-14*LARGE('Results and Rankings'!$C93:$G93,5)))</f>
        <v/>
      </c>
      <c r="I93" s="69" t="str">
        <f>IF('Results and Rankings'!$A93="","",_xlfn.RANK.EQ('Results and Rankings'!$H93,'Results and Rankings'!$H$3:$H$202))</f>
        <v/>
      </c>
      <c r="J93" s="69" t="str">
        <f t="array" ref="J93">IF('Results and Rankings'!$A93="","",XLOOKUP('Results and Rankings'!$A93,'Core Values Input'!$A$2:$A$201,'Core Values Input'!$V$2:$V$201,NumberOfTeams+1,0,))</f>
        <v/>
      </c>
      <c r="K93" s="69" t="str">
        <f t="array" ref="K93">IF('Results and Rankings'!$A93="","",XLOOKUP('Results and Rankings'!$A93,'Innovation Project Input'!$A$2:$A$201,'Innovation Project Input'!$N$2:$N$201,NumberOfTeams+1,0,))</f>
        <v/>
      </c>
      <c r="L93" s="69" t="str">
        <f t="array" ref="L93">IF('Results and Rankings'!$A93="","",XLOOKUP('Results and Rankings'!$A93,'Robot Design Input'!$A$2:$A$201,'Robot Design Input'!$N$2:$N$201,NumberOfTeams+1,0,))</f>
        <v/>
      </c>
      <c r="M93" s="69" t="str">
        <f> IF('Results and Rankings'!$A93="","",IF('Results and Rankings'!$J93="",NumberOfTeams+1,'Results and Rankings'!$J93) + IF('Results and Rankings'!$K93="",NumberOfTeams+1,'Results and Rankings'!$K93) + IF('Results and Rankings'!$L93="",NumberOfTeams+1,'Results and Rankings'!$L93) + 'Results and Rankings'!$I93)</f>
        <v/>
      </c>
      <c r="N93" s="70" t="str">
        <f>IF('Results and Rankings'!$A93="","",IF(M93,RANK(M93,M$3:M$202,1)-COUNTIF(M$3:M$202,0),NumberOfTeams+1))</f>
        <v/>
      </c>
      <c r="O93" s="72" t="str">
        <f t="array" ref="O93">XLOOKUP('Results and Rankings'!$A93,'Core Values Input'!$A$2:$A$201,'Core Values Input'!$W$2:$W$201,0,0,)</f>
        <v>#VALUE!</v>
      </c>
      <c r="P93" s="72" t="str">
        <f t="array" ref="P93">XLOOKUP('Results and Rankings'!$A93,'Core Values Input'!$A$2:$A$201,'Core Values Input'!$X$2:$X$201,0,0,)</f>
        <v>#VALUE!</v>
      </c>
      <c r="Q93" s="72" t="str">
        <f t="array" ref="Q93">XLOOKUP('Results and Rankings'!$A93,'Core Values Input'!$A$2:$A$201,'Core Values Input'!$Y$2:$Y$201,0,0,)</f>
        <v>#VALUE!</v>
      </c>
      <c r="R93" s="38"/>
      <c r="S93" s="38"/>
      <c r="T93" s="72"/>
      <c r="U93" s="69" t="str">
        <f t="array" ref="U93">XLOOKUP('Results and Rankings'!$A93,'Core Values Input'!$A$2:$A$201,'Core Values Input'!$U$2:$U$201,0,0,)</f>
        <v>#VALUE!</v>
      </c>
      <c r="V93" s="69" t="str">
        <f t="array" ref="V93">XLOOKUP('Results and Rankings'!$A93,'Innovation Project Input'!$A$2:$A$201,'Innovation Project Input'!$M$2:$M$201,0,0,)</f>
        <v>#VALUE!</v>
      </c>
      <c r="W93" s="69" t="str">
        <f t="array" ref="W93">XLOOKUP('Results and Rankings'!$A93,'Robot Design Input'!$A$2:$A$201,'Robot Design Input'!$M$2:$M$201,0,0,)</f>
        <v>#VALUE!</v>
      </c>
      <c r="X93" s="73">
        <f>IF(ISERR(GEOMEAN('Results and Rankings'!$H93,'Results and Rankings'!$U93,'Results and Rankings'!$V93,'Results and Rankings'!$W93)),0,GEOMEAN('Results and Rankings'!$H93,'Results and Rankings'!$U93,'Results and Rankings'!$V93,'Results and Rankings'!$W93))</f>
        <v>0</v>
      </c>
      <c r="Y93" s="74">
        <f>IF(X93,_xlfn.RANK.EQ(X93,X$3:X$110,0),NumberOfTeams)</f>
        <v>0</v>
      </c>
      <c r="Z93" s="38"/>
    </row>
    <row r="94" ht="21.0" customHeight="1">
      <c r="A94" s="67" t="str">
        <f t="array" ref="A94">XLOOKUP(92,'Team and Program Information'!$B$3:$B$202,'Team and Program Information'!$C$3:$C$202,"ERROR",0)</f>
        <v/>
      </c>
      <c r="B94" s="68" t="str">
        <f t="array" ref="B94">XLOOKUP('Results and Rankings'!$A94,'Team and Program Information'!$C$3:$C$202,'Team and Program Information'!$D$3:$D$202,"",0,)</f>
        <v>#VALUE!</v>
      </c>
      <c r="C94" s="69" t="str">
        <f t="array" ref="C94">IF('Results and Rankings'!$A94="","",XLOOKUP('Results and Rankings'!$A94,'Robot Game Scores'!$B$2:$B$201,'Robot Game Scores'!$D$2:$D$201,0,0,))</f>
        <v/>
      </c>
      <c r="D94" s="69" t="str">
        <f t="array" ref="D94">IF('Results and Rankings'!$A94="","",XLOOKUP('Results and Rankings'!$A94,'Robot Game Scores'!$B$2:$B$201,'Robot Game Scores'!$E$2:$E$201,0,0,))</f>
        <v/>
      </c>
      <c r="E94" s="69" t="str">
        <f t="array" ref="E94">IF('Results and Rankings'!$A94="","",XLOOKUP('Results and Rankings'!$A94,'Robot Game Scores'!$B$2:$B$201,'Robot Game Scores'!$F$2:$F$201,0,0,))</f>
        <v/>
      </c>
      <c r="F94" s="69" t="str">
        <f t="array" ref="F94">IF('Results and Rankings'!$A94="","",XLOOKUP('Results and Rankings'!$A94,'Robot Game Scores'!$B$2:$B$201,'Robot Game Scores'!$G$2:$G$201,0,0,))</f>
        <v/>
      </c>
      <c r="G94" s="69" t="str">
        <f t="array" ref="G94">IF('Results and Rankings'!$A94="","",XLOOKUP('Results and Rankings'!$A94,'Robot Game Scores'!$B$2:$B$201,'Robot Game Scores'!$H$2:$H$201,0,0,))</f>
        <v/>
      </c>
      <c r="H94" s="69" t="str">
        <f>IF('Results and Rankings'!$A94="","",IF(ISNA(LARGE('Results and Rankings'!$C94:$G94,1)+0.0001*LARGE('Results and Rankings'!$C94:$G94,2)+0.0000001*LARGE('Results and Rankings'!$C94:$G94,3)+1E-11*LARGE('Results and Rankings'!$C94:$G94,4)+1E-14*LARGE('Results and Rankings'!$C94:$G94,5)),0,LARGE('Results and Rankings'!$C94:$G94,1)+0.0001*LARGE('Results and Rankings'!$C94:$G94,2)+0.0000001*LARGE('Results and Rankings'!$C94:$G94,3)+1E-11*LARGE('Results and Rankings'!$C94:$G94,4)+1E-14*LARGE('Results and Rankings'!$C94:$G94,5)))</f>
        <v/>
      </c>
      <c r="I94" s="69" t="str">
        <f>IF('Results and Rankings'!$A94="","",_xlfn.RANK.EQ('Results and Rankings'!$H94,'Results and Rankings'!$H$3:$H$202))</f>
        <v/>
      </c>
      <c r="J94" s="69" t="str">
        <f t="array" ref="J94">IF('Results and Rankings'!$A94="","",XLOOKUP('Results and Rankings'!$A94,'Core Values Input'!$A$2:$A$201,'Core Values Input'!$V$2:$V$201,NumberOfTeams+1,0,))</f>
        <v/>
      </c>
      <c r="K94" s="69" t="str">
        <f t="array" ref="K94">IF('Results and Rankings'!$A94="","",XLOOKUP('Results and Rankings'!$A94,'Innovation Project Input'!$A$2:$A$201,'Innovation Project Input'!$N$2:$N$201,NumberOfTeams+1,0,))</f>
        <v/>
      </c>
      <c r="L94" s="69" t="str">
        <f t="array" ref="L94">IF('Results and Rankings'!$A94="","",XLOOKUP('Results and Rankings'!$A94,'Robot Design Input'!$A$2:$A$201,'Robot Design Input'!$N$2:$N$201,NumberOfTeams+1,0,))</f>
        <v/>
      </c>
      <c r="M94" s="69" t="str">
        <f> IF('Results and Rankings'!$A94="","",IF('Results and Rankings'!$J94="",NumberOfTeams+1,'Results and Rankings'!$J94) + IF('Results and Rankings'!$K94="",NumberOfTeams+1,'Results and Rankings'!$K94) + IF('Results and Rankings'!$L94="",NumberOfTeams+1,'Results and Rankings'!$L94) + 'Results and Rankings'!$I94)</f>
        <v/>
      </c>
      <c r="N94" s="70" t="str">
        <f>IF('Results and Rankings'!$A94="","",IF(M94,RANK(M94,M$3:M$202,1)-COUNTIF(M$3:M$202,0),NumberOfTeams+1))</f>
        <v/>
      </c>
      <c r="O94" s="72" t="str">
        <f t="array" ref="O94">XLOOKUP('Results and Rankings'!$A94,'Core Values Input'!$A$2:$A$201,'Core Values Input'!$W$2:$W$201,0,0,)</f>
        <v>#VALUE!</v>
      </c>
      <c r="P94" s="72" t="str">
        <f t="array" ref="P94">XLOOKUP('Results and Rankings'!$A94,'Core Values Input'!$A$2:$A$201,'Core Values Input'!$X$2:$X$201,0,0,)</f>
        <v>#VALUE!</v>
      </c>
      <c r="Q94" s="72" t="str">
        <f t="array" ref="Q94">XLOOKUP('Results and Rankings'!$A94,'Core Values Input'!$A$2:$A$201,'Core Values Input'!$Y$2:$Y$201,0,0,)</f>
        <v>#VALUE!</v>
      </c>
      <c r="R94" s="38"/>
      <c r="S94" s="38"/>
      <c r="T94" s="72"/>
      <c r="U94" s="69" t="str">
        <f t="array" ref="U94">XLOOKUP('Results and Rankings'!$A94,'Core Values Input'!$A$2:$A$201,'Core Values Input'!$U$2:$U$201,0,0,)</f>
        <v>#VALUE!</v>
      </c>
      <c r="V94" s="69" t="str">
        <f t="array" ref="V94">XLOOKUP('Results and Rankings'!$A94,'Innovation Project Input'!$A$2:$A$201,'Innovation Project Input'!$M$2:$M$201,0,0,)</f>
        <v>#VALUE!</v>
      </c>
      <c r="W94" s="69" t="str">
        <f t="array" ref="W94">XLOOKUP('Results and Rankings'!$A94,'Robot Design Input'!$A$2:$A$201,'Robot Design Input'!$M$2:$M$201,0,0,)</f>
        <v>#VALUE!</v>
      </c>
      <c r="X94" s="73">
        <f>IF(ISERR(GEOMEAN('Results and Rankings'!$H94,'Results and Rankings'!$U94,'Results and Rankings'!$V94,'Results and Rankings'!$W94)),0,GEOMEAN('Results and Rankings'!$H94,'Results and Rankings'!$U94,'Results and Rankings'!$V94,'Results and Rankings'!$W94))</f>
        <v>0</v>
      </c>
      <c r="Y94" s="74">
        <f>IF(X94,_xlfn.RANK.EQ(X94,X$3:X$110,0),NumberOfTeams)</f>
        <v>0</v>
      </c>
      <c r="Z94" s="38"/>
    </row>
    <row r="95" ht="21.0" customHeight="1">
      <c r="A95" s="67" t="str">
        <f t="array" ref="A95">XLOOKUP(93,'Team and Program Information'!$B$3:$B$202,'Team and Program Information'!$C$3:$C$202,"ERROR",0)</f>
        <v/>
      </c>
      <c r="B95" s="68" t="str">
        <f t="array" ref="B95">XLOOKUP('Results and Rankings'!$A95,'Team and Program Information'!$C$3:$C$202,'Team and Program Information'!$D$3:$D$202,"",0,)</f>
        <v>#VALUE!</v>
      </c>
      <c r="C95" s="69" t="str">
        <f t="array" ref="C95">IF('Results and Rankings'!$A95="","",XLOOKUP('Results and Rankings'!$A95,'Robot Game Scores'!$B$2:$B$201,'Robot Game Scores'!$D$2:$D$201,0,0,))</f>
        <v/>
      </c>
      <c r="D95" s="69" t="str">
        <f t="array" ref="D95">IF('Results and Rankings'!$A95="","",XLOOKUP('Results and Rankings'!$A95,'Robot Game Scores'!$B$2:$B$201,'Robot Game Scores'!$E$2:$E$201,0,0,))</f>
        <v/>
      </c>
      <c r="E95" s="69" t="str">
        <f t="array" ref="E95">IF('Results and Rankings'!$A95="","",XLOOKUP('Results and Rankings'!$A95,'Robot Game Scores'!$B$2:$B$201,'Robot Game Scores'!$F$2:$F$201,0,0,))</f>
        <v/>
      </c>
      <c r="F95" s="69" t="str">
        <f t="array" ref="F95">IF('Results and Rankings'!$A95="","",XLOOKUP('Results and Rankings'!$A95,'Robot Game Scores'!$B$2:$B$201,'Robot Game Scores'!$G$2:$G$201,0,0,))</f>
        <v/>
      </c>
      <c r="G95" s="69" t="str">
        <f t="array" ref="G95">IF('Results and Rankings'!$A95="","",XLOOKUP('Results and Rankings'!$A95,'Robot Game Scores'!$B$2:$B$201,'Robot Game Scores'!$H$2:$H$201,0,0,))</f>
        <v/>
      </c>
      <c r="H95" s="69" t="str">
        <f>IF('Results and Rankings'!$A95="","",IF(ISNA(LARGE('Results and Rankings'!$C95:$G95,1)+0.0001*LARGE('Results and Rankings'!$C95:$G95,2)+0.0000001*LARGE('Results and Rankings'!$C95:$G95,3)+1E-11*LARGE('Results and Rankings'!$C95:$G95,4)+1E-14*LARGE('Results and Rankings'!$C95:$G95,5)),0,LARGE('Results and Rankings'!$C95:$G95,1)+0.0001*LARGE('Results and Rankings'!$C95:$G95,2)+0.0000001*LARGE('Results and Rankings'!$C95:$G95,3)+1E-11*LARGE('Results and Rankings'!$C95:$G95,4)+1E-14*LARGE('Results and Rankings'!$C95:$G95,5)))</f>
        <v/>
      </c>
      <c r="I95" s="69" t="str">
        <f>IF('Results and Rankings'!$A95="","",_xlfn.RANK.EQ('Results and Rankings'!$H95,'Results and Rankings'!$H$3:$H$202))</f>
        <v/>
      </c>
      <c r="J95" s="69" t="str">
        <f t="array" ref="J95">IF('Results and Rankings'!$A95="","",XLOOKUP('Results and Rankings'!$A95,'Core Values Input'!$A$2:$A$201,'Core Values Input'!$V$2:$V$201,NumberOfTeams+1,0,))</f>
        <v/>
      </c>
      <c r="K95" s="69" t="str">
        <f t="array" ref="K95">IF('Results and Rankings'!$A95="","",XLOOKUP('Results and Rankings'!$A95,'Innovation Project Input'!$A$2:$A$201,'Innovation Project Input'!$N$2:$N$201,NumberOfTeams+1,0,))</f>
        <v/>
      </c>
      <c r="L95" s="69" t="str">
        <f t="array" ref="L95">IF('Results and Rankings'!$A95="","",XLOOKUP('Results and Rankings'!$A95,'Robot Design Input'!$A$2:$A$201,'Robot Design Input'!$N$2:$N$201,NumberOfTeams+1,0,))</f>
        <v/>
      </c>
      <c r="M95" s="69" t="str">
        <f> IF('Results and Rankings'!$A95="","",IF('Results and Rankings'!$J95="",NumberOfTeams+1,'Results and Rankings'!$J95) + IF('Results and Rankings'!$K95="",NumberOfTeams+1,'Results and Rankings'!$K95) + IF('Results and Rankings'!$L95="",NumberOfTeams+1,'Results and Rankings'!$L95) + 'Results and Rankings'!$I95)</f>
        <v/>
      </c>
      <c r="N95" s="70" t="str">
        <f>IF('Results and Rankings'!$A95="","",IF(M95,RANK(M95,M$3:M$202,1)-COUNTIF(M$3:M$202,0),NumberOfTeams+1))</f>
        <v/>
      </c>
      <c r="O95" s="72" t="str">
        <f t="array" ref="O95">XLOOKUP('Results and Rankings'!$A95,'Core Values Input'!$A$2:$A$201,'Core Values Input'!$W$2:$W$201,0,0,)</f>
        <v>#VALUE!</v>
      </c>
      <c r="P95" s="72" t="str">
        <f t="array" ref="P95">XLOOKUP('Results and Rankings'!$A95,'Core Values Input'!$A$2:$A$201,'Core Values Input'!$X$2:$X$201,0,0,)</f>
        <v>#VALUE!</v>
      </c>
      <c r="Q95" s="72" t="str">
        <f t="array" ref="Q95">XLOOKUP('Results and Rankings'!$A95,'Core Values Input'!$A$2:$A$201,'Core Values Input'!$Y$2:$Y$201,0,0,)</f>
        <v>#VALUE!</v>
      </c>
      <c r="R95" s="38"/>
      <c r="S95" s="38"/>
      <c r="T95" s="72"/>
      <c r="U95" s="69" t="str">
        <f t="array" ref="U95">XLOOKUP('Results and Rankings'!$A95,'Core Values Input'!$A$2:$A$201,'Core Values Input'!$U$2:$U$201,0,0,)</f>
        <v>#VALUE!</v>
      </c>
      <c r="V95" s="69" t="str">
        <f t="array" ref="V95">XLOOKUP('Results and Rankings'!$A95,'Innovation Project Input'!$A$2:$A$201,'Innovation Project Input'!$M$2:$M$201,0,0,)</f>
        <v>#VALUE!</v>
      </c>
      <c r="W95" s="69" t="str">
        <f t="array" ref="W95">XLOOKUP('Results and Rankings'!$A95,'Robot Design Input'!$A$2:$A$201,'Robot Design Input'!$M$2:$M$201,0,0,)</f>
        <v>#VALUE!</v>
      </c>
      <c r="X95" s="73">
        <f>IF(ISERR(GEOMEAN('Results and Rankings'!$H95,'Results and Rankings'!$U95,'Results and Rankings'!$V95,'Results and Rankings'!$W95)),0,GEOMEAN('Results and Rankings'!$H95,'Results and Rankings'!$U95,'Results and Rankings'!$V95,'Results and Rankings'!$W95))</f>
        <v>0</v>
      </c>
      <c r="Y95" s="74">
        <f>IF(X95,_xlfn.RANK.EQ(X95,X$3:X$110,0),NumberOfTeams)</f>
        <v>0</v>
      </c>
      <c r="Z95" s="38"/>
    </row>
    <row r="96" ht="21.0" customHeight="1">
      <c r="A96" s="67" t="str">
        <f t="array" ref="A96">XLOOKUP(94,'Team and Program Information'!$B$3:$B$202,'Team and Program Information'!$C$3:$C$202,"ERROR",0)</f>
        <v/>
      </c>
      <c r="B96" s="68" t="str">
        <f t="array" ref="B96">XLOOKUP('Results and Rankings'!$A96,'Team and Program Information'!$C$3:$C$202,'Team and Program Information'!$D$3:$D$202,"",0,)</f>
        <v>#VALUE!</v>
      </c>
      <c r="C96" s="69" t="str">
        <f t="array" ref="C96">IF('Results and Rankings'!$A96="","",XLOOKUP('Results and Rankings'!$A96,'Robot Game Scores'!$B$2:$B$201,'Robot Game Scores'!$D$2:$D$201,0,0,))</f>
        <v/>
      </c>
      <c r="D96" s="69" t="str">
        <f t="array" ref="D96">IF('Results and Rankings'!$A96="","",XLOOKUP('Results and Rankings'!$A96,'Robot Game Scores'!$B$2:$B$201,'Robot Game Scores'!$E$2:$E$201,0,0,))</f>
        <v/>
      </c>
      <c r="E96" s="69" t="str">
        <f t="array" ref="E96">IF('Results and Rankings'!$A96="","",XLOOKUP('Results and Rankings'!$A96,'Robot Game Scores'!$B$2:$B$201,'Robot Game Scores'!$F$2:$F$201,0,0,))</f>
        <v/>
      </c>
      <c r="F96" s="69" t="str">
        <f t="array" ref="F96">IF('Results and Rankings'!$A96="","",XLOOKUP('Results and Rankings'!$A96,'Robot Game Scores'!$B$2:$B$201,'Robot Game Scores'!$G$2:$G$201,0,0,))</f>
        <v/>
      </c>
      <c r="G96" s="69" t="str">
        <f t="array" ref="G96">IF('Results and Rankings'!$A96="","",XLOOKUP('Results and Rankings'!$A96,'Robot Game Scores'!$B$2:$B$201,'Robot Game Scores'!$H$2:$H$201,0,0,))</f>
        <v/>
      </c>
      <c r="H96" s="69" t="str">
        <f>IF('Results and Rankings'!$A96="","",IF(ISNA(LARGE('Results and Rankings'!$C96:$G96,1)+0.0001*LARGE('Results and Rankings'!$C96:$G96,2)+0.0000001*LARGE('Results and Rankings'!$C96:$G96,3)+1E-11*LARGE('Results and Rankings'!$C96:$G96,4)+1E-14*LARGE('Results and Rankings'!$C96:$G96,5)),0,LARGE('Results and Rankings'!$C96:$G96,1)+0.0001*LARGE('Results and Rankings'!$C96:$G96,2)+0.0000001*LARGE('Results and Rankings'!$C96:$G96,3)+1E-11*LARGE('Results and Rankings'!$C96:$G96,4)+1E-14*LARGE('Results and Rankings'!$C96:$G96,5)))</f>
        <v/>
      </c>
      <c r="I96" s="69" t="str">
        <f>IF('Results and Rankings'!$A96="","",_xlfn.RANK.EQ('Results and Rankings'!$H96,'Results and Rankings'!$H$3:$H$202))</f>
        <v/>
      </c>
      <c r="J96" s="69" t="str">
        <f t="array" ref="J96">IF('Results and Rankings'!$A96="","",XLOOKUP('Results and Rankings'!$A96,'Core Values Input'!$A$2:$A$201,'Core Values Input'!$V$2:$V$201,NumberOfTeams+1,0,))</f>
        <v/>
      </c>
      <c r="K96" s="69" t="str">
        <f t="array" ref="K96">IF('Results and Rankings'!$A96="","",XLOOKUP('Results and Rankings'!$A96,'Innovation Project Input'!$A$2:$A$201,'Innovation Project Input'!$N$2:$N$201,NumberOfTeams+1,0,))</f>
        <v/>
      </c>
      <c r="L96" s="69" t="str">
        <f t="array" ref="L96">IF('Results and Rankings'!$A96="","",XLOOKUP('Results and Rankings'!$A96,'Robot Design Input'!$A$2:$A$201,'Robot Design Input'!$N$2:$N$201,NumberOfTeams+1,0,))</f>
        <v/>
      </c>
      <c r="M96" s="69" t="str">
        <f> IF('Results and Rankings'!$A96="","",IF('Results and Rankings'!$J96="",NumberOfTeams+1,'Results and Rankings'!$J96) + IF('Results and Rankings'!$K96="",NumberOfTeams+1,'Results and Rankings'!$K96) + IF('Results and Rankings'!$L96="",NumberOfTeams+1,'Results and Rankings'!$L96) + 'Results and Rankings'!$I96)</f>
        <v/>
      </c>
      <c r="N96" s="70" t="str">
        <f>IF('Results and Rankings'!$A96="","",IF(M96,RANK(M96,M$3:M$202,1)-COUNTIF(M$3:M$202,0),NumberOfTeams+1))</f>
        <v/>
      </c>
      <c r="O96" s="72" t="str">
        <f t="array" ref="O96">XLOOKUP('Results and Rankings'!$A96,'Core Values Input'!$A$2:$A$201,'Core Values Input'!$W$2:$W$201,0,0,)</f>
        <v>#VALUE!</v>
      </c>
      <c r="P96" s="72" t="str">
        <f t="array" ref="P96">XLOOKUP('Results and Rankings'!$A96,'Core Values Input'!$A$2:$A$201,'Core Values Input'!$X$2:$X$201,0,0,)</f>
        <v>#VALUE!</v>
      </c>
      <c r="Q96" s="72" t="str">
        <f t="array" ref="Q96">XLOOKUP('Results and Rankings'!$A96,'Core Values Input'!$A$2:$A$201,'Core Values Input'!$Y$2:$Y$201,0,0,)</f>
        <v>#VALUE!</v>
      </c>
      <c r="R96" s="38"/>
      <c r="S96" s="38"/>
      <c r="T96" s="72"/>
      <c r="U96" s="69" t="str">
        <f t="array" ref="U96">XLOOKUP('Results and Rankings'!$A96,'Core Values Input'!$A$2:$A$201,'Core Values Input'!$U$2:$U$201,0,0,)</f>
        <v>#VALUE!</v>
      </c>
      <c r="V96" s="69" t="str">
        <f t="array" ref="V96">XLOOKUP('Results and Rankings'!$A96,'Innovation Project Input'!$A$2:$A$201,'Innovation Project Input'!$M$2:$M$201,0,0,)</f>
        <v>#VALUE!</v>
      </c>
      <c r="W96" s="69" t="str">
        <f t="array" ref="W96">XLOOKUP('Results and Rankings'!$A96,'Robot Design Input'!$A$2:$A$201,'Robot Design Input'!$M$2:$M$201,0,0,)</f>
        <v>#VALUE!</v>
      </c>
      <c r="X96" s="73">
        <f>IF(ISERR(GEOMEAN('Results and Rankings'!$H96,'Results and Rankings'!$U96,'Results and Rankings'!$V96,'Results and Rankings'!$W96)),0,GEOMEAN('Results and Rankings'!$H96,'Results and Rankings'!$U96,'Results and Rankings'!$V96,'Results and Rankings'!$W96))</f>
        <v>0</v>
      </c>
      <c r="Y96" s="74">
        <f>IF(X96,_xlfn.RANK.EQ(X96,X$3:X$110,0),NumberOfTeams)</f>
        <v>0</v>
      </c>
      <c r="Z96" s="38"/>
    </row>
    <row r="97" ht="21.0" customHeight="1">
      <c r="A97" s="67" t="str">
        <f t="array" ref="A97">XLOOKUP(95,'Team and Program Information'!$B$3:$B$202,'Team and Program Information'!$C$3:$C$202,"ERROR",0)</f>
        <v/>
      </c>
      <c r="B97" s="68" t="str">
        <f t="array" ref="B97">XLOOKUP('Results and Rankings'!$A97,'Team and Program Information'!$C$3:$C$202,'Team and Program Information'!$D$3:$D$202,"",0,)</f>
        <v>#VALUE!</v>
      </c>
      <c r="C97" s="69" t="str">
        <f t="array" ref="C97">IF('Results and Rankings'!$A97="","",XLOOKUP('Results and Rankings'!$A97,'Robot Game Scores'!$B$2:$B$201,'Robot Game Scores'!$D$2:$D$201,0,0,))</f>
        <v/>
      </c>
      <c r="D97" s="69" t="str">
        <f t="array" ref="D97">IF('Results and Rankings'!$A97="","",XLOOKUP('Results and Rankings'!$A97,'Robot Game Scores'!$B$2:$B$201,'Robot Game Scores'!$E$2:$E$201,0,0,))</f>
        <v/>
      </c>
      <c r="E97" s="69" t="str">
        <f t="array" ref="E97">IF('Results and Rankings'!$A97="","",XLOOKUP('Results and Rankings'!$A97,'Robot Game Scores'!$B$2:$B$201,'Robot Game Scores'!$F$2:$F$201,0,0,))</f>
        <v/>
      </c>
      <c r="F97" s="69" t="str">
        <f t="array" ref="F97">IF('Results and Rankings'!$A97="","",XLOOKUP('Results and Rankings'!$A97,'Robot Game Scores'!$B$2:$B$201,'Robot Game Scores'!$G$2:$G$201,0,0,))</f>
        <v/>
      </c>
      <c r="G97" s="69" t="str">
        <f t="array" ref="G97">IF('Results and Rankings'!$A97="","",XLOOKUP('Results and Rankings'!$A97,'Robot Game Scores'!$B$2:$B$201,'Robot Game Scores'!$H$2:$H$201,0,0,))</f>
        <v/>
      </c>
      <c r="H97" s="69" t="str">
        <f>IF('Results and Rankings'!$A97="","",IF(ISNA(LARGE('Results and Rankings'!$C97:$G97,1)+0.0001*LARGE('Results and Rankings'!$C97:$G97,2)+0.0000001*LARGE('Results and Rankings'!$C97:$G97,3)+1E-11*LARGE('Results and Rankings'!$C97:$G97,4)+1E-14*LARGE('Results and Rankings'!$C97:$G97,5)),0,LARGE('Results and Rankings'!$C97:$G97,1)+0.0001*LARGE('Results and Rankings'!$C97:$G97,2)+0.0000001*LARGE('Results and Rankings'!$C97:$G97,3)+1E-11*LARGE('Results and Rankings'!$C97:$G97,4)+1E-14*LARGE('Results and Rankings'!$C97:$G97,5)))</f>
        <v/>
      </c>
      <c r="I97" s="69" t="str">
        <f>IF('Results and Rankings'!$A97="","",_xlfn.RANK.EQ('Results and Rankings'!$H97,'Results and Rankings'!$H$3:$H$202))</f>
        <v/>
      </c>
      <c r="J97" s="69" t="str">
        <f t="array" ref="J97">IF('Results and Rankings'!$A97="","",XLOOKUP('Results and Rankings'!$A97,'Core Values Input'!$A$2:$A$201,'Core Values Input'!$V$2:$V$201,NumberOfTeams+1,0,))</f>
        <v/>
      </c>
      <c r="K97" s="69" t="str">
        <f t="array" ref="K97">IF('Results and Rankings'!$A97="","",XLOOKUP('Results and Rankings'!$A97,'Innovation Project Input'!$A$2:$A$201,'Innovation Project Input'!$N$2:$N$201,NumberOfTeams+1,0,))</f>
        <v/>
      </c>
      <c r="L97" s="69" t="str">
        <f t="array" ref="L97">IF('Results and Rankings'!$A97="","",XLOOKUP('Results and Rankings'!$A97,'Robot Design Input'!$A$2:$A$201,'Robot Design Input'!$N$2:$N$201,NumberOfTeams+1,0,))</f>
        <v/>
      </c>
      <c r="M97" s="69" t="str">
        <f> IF('Results and Rankings'!$A97="","",IF('Results and Rankings'!$J97="",NumberOfTeams+1,'Results and Rankings'!$J97) + IF('Results and Rankings'!$K97="",NumberOfTeams+1,'Results and Rankings'!$K97) + IF('Results and Rankings'!$L97="",NumberOfTeams+1,'Results and Rankings'!$L97) + 'Results and Rankings'!$I97)</f>
        <v/>
      </c>
      <c r="N97" s="70" t="str">
        <f>IF('Results and Rankings'!$A97="","",IF(M97,RANK(M97,M$3:M$202,1)-COUNTIF(M$3:M$202,0),NumberOfTeams+1))</f>
        <v/>
      </c>
      <c r="O97" s="72" t="str">
        <f t="array" ref="O97">XLOOKUP('Results and Rankings'!$A97,'Core Values Input'!$A$2:$A$201,'Core Values Input'!$W$2:$W$201,0,0,)</f>
        <v>#VALUE!</v>
      </c>
      <c r="P97" s="72" t="str">
        <f t="array" ref="P97">XLOOKUP('Results and Rankings'!$A97,'Core Values Input'!$A$2:$A$201,'Core Values Input'!$X$2:$X$201,0,0,)</f>
        <v>#VALUE!</v>
      </c>
      <c r="Q97" s="72" t="str">
        <f t="array" ref="Q97">XLOOKUP('Results and Rankings'!$A97,'Core Values Input'!$A$2:$A$201,'Core Values Input'!$Y$2:$Y$201,0,0,)</f>
        <v>#VALUE!</v>
      </c>
      <c r="R97" s="38"/>
      <c r="S97" s="38"/>
      <c r="T97" s="72"/>
      <c r="U97" s="69" t="str">
        <f t="array" ref="U97">XLOOKUP('Results and Rankings'!$A97,'Core Values Input'!$A$2:$A$201,'Core Values Input'!$U$2:$U$201,0,0,)</f>
        <v>#VALUE!</v>
      </c>
      <c r="V97" s="69" t="str">
        <f t="array" ref="V97">XLOOKUP('Results and Rankings'!$A97,'Innovation Project Input'!$A$2:$A$201,'Innovation Project Input'!$M$2:$M$201,0,0,)</f>
        <v>#VALUE!</v>
      </c>
      <c r="W97" s="69" t="str">
        <f t="array" ref="W97">XLOOKUP('Results and Rankings'!$A97,'Robot Design Input'!$A$2:$A$201,'Robot Design Input'!$M$2:$M$201,0,0,)</f>
        <v>#VALUE!</v>
      </c>
      <c r="X97" s="73">
        <f>IF(ISERR(GEOMEAN('Results and Rankings'!$H97,'Results and Rankings'!$U97,'Results and Rankings'!$V97,'Results and Rankings'!$W97)),0,GEOMEAN('Results and Rankings'!$H97,'Results and Rankings'!$U97,'Results and Rankings'!$V97,'Results and Rankings'!$W97))</f>
        <v>0</v>
      </c>
      <c r="Y97" s="74">
        <f>IF(X97,_xlfn.RANK.EQ(X97,X$3:X$110,0),NumberOfTeams)</f>
        <v>0</v>
      </c>
      <c r="Z97" s="38"/>
    </row>
    <row r="98" ht="21.0" customHeight="1">
      <c r="A98" s="67" t="str">
        <f t="array" ref="A98">XLOOKUP(96,'Team and Program Information'!$B$3:$B$202,'Team and Program Information'!$C$3:$C$202,"ERROR",0)</f>
        <v/>
      </c>
      <c r="B98" s="68" t="str">
        <f t="array" ref="B98">XLOOKUP('Results and Rankings'!$A98,'Team and Program Information'!$C$3:$C$202,'Team and Program Information'!$D$3:$D$202,"",0,)</f>
        <v>#VALUE!</v>
      </c>
      <c r="C98" s="69" t="str">
        <f t="array" ref="C98">IF('Results and Rankings'!$A98="","",XLOOKUP('Results and Rankings'!$A98,'Robot Game Scores'!$B$2:$B$201,'Robot Game Scores'!$D$2:$D$201,0,0,))</f>
        <v/>
      </c>
      <c r="D98" s="69" t="str">
        <f t="array" ref="D98">IF('Results and Rankings'!$A98="","",XLOOKUP('Results and Rankings'!$A98,'Robot Game Scores'!$B$2:$B$201,'Robot Game Scores'!$E$2:$E$201,0,0,))</f>
        <v/>
      </c>
      <c r="E98" s="69" t="str">
        <f t="array" ref="E98">IF('Results and Rankings'!$A98="","",XLOOKUP('Results and Rankings'!$A98,'Robot Game Scores'!$B$2:$B$201,'Robot Game Scores'!$F$2:$F$201,0,0,))</f>
        <v/>
      </c>
      <c r="F98" s="69" t="str">
        <f t="array" ref="F98">IF('Results and Rankings'!$A98="","",XLOOKUP('Results and Rankings'!$A98,'Robot Game Scores'!$B$2:$B$201,'Robot Game Scores'!$G$2:$G$201,0,0,))</f>
        <v/>
      </c>
      <c r="G98" s="69" t="str">
        <f t="array" ref="G98">IF('Results and Rankings'!$A98="","",XLOOKUP('Results and Rankings'!$A98,'Robot Game Scores'!$B$2:$B$201,'Robot Game Scores'!$H$2:$H$201,0,0,))</f>
        <v/>
      </c>
      <c r="H98" s="69" t="str">
        <f>IF('Results and Rankings'!$A98="","",IF(ISNA(LARGE('Results and Rankings'!$C98:$G98,1)+0.0001*LARGE('Results and Rankings'!$C98:$G98,2)+0.0000001*LARGE('Results and Rankings'!$C98:$G98,3)+1E-11*LARGE('Results and Rankings'!$C98:$G98,4)+1E-14*LARGE('Results and Rankings'!$C98:$G98,5)),0,LARGE('Results and Rankings'!$C98:$G98,1)+0.0001*LARGE('Results and Rankings'!$C98:$G98,2)+0.0000001*LARGE('Results and Rankings'!$C98:$G98,3)+1E-11*LARGE('Results and Rankings'!$C98:$G98,4)+1E-14*LARGE('Results and Rankings'!$C98:$G98,5)))</f>
        <v/>
      </c>
      <c r="I98" s="69" t="str">
        <f>IF('Results and Rankings'!$A98="","",_xlfn.RANK.EQ('Results and Rankings'!$H98,'Results and Rankings'!$H$3:$H$202))</f>
        <v/>
      </c>
      <c r="J98" s="69" t="str">
        <f t="array" ref="J98">IF('Results and Rankings'!$A98="","",XLOOKUP('Results and Rankings'!$A98,'Core Values Input'!$A$2:$A$201,'Core Values Input'!$V$2:$V$201,NumberOfTeams+1,0,))</f>
        <v/>
      </c>
      <c r="K98" s="69" t="str">
        <f t="array" ref="K98">IF('Results and Rankings'!$A98="","",XLOOKUP('Results and Rankings'!$A98,'Innovation Project Input'!$A$2:$A$201,'Innovation Project Input'!$N$2:$N$201,NumberOfTeams+1,0,))</f>
        <v/>
      </c>
      <c r="L98" s="69" t="str">
        <f t="array" ref="L98">IF('Results and Rankings'!$A98="","",XLOOKUP('Results and Rankings'!$A98,'Robot Design Input'!$A$2:$A$201,'Robot Design Input'!$N$2:$N$201,NumberOfTeams+1,0,))</f>
        <v/>
      </c>
      <c r="M98" s="69" t="str">
        <f> IF('Results and Rankings'!$A98="","",IF('Results and Rankings'!$J98="",NumberOfTeams+1,'Results and Rankings'!$J98) + IF('Results and Rankings'!$K98="",NumberOfTeams+1,'Results and Rankings'!$K98) + IF('Results and Rankings'!$L98="",NumberOfTeams+1,'Results and Rankings'!$L98) + 'Results and Rankings'!$I98)</f>
        <v/>
      </c>
      <c r="N98" s="70" t="str">
        <f>IF('Results and Rankings'!$A98="","",IF(M98,RANK(M98,M$3:M$202,1)-COUNTIF(M$3:M$202,0),NumberOfTeams+1))</f>
        <v/>
      </c>
      <c r="O98" s="72" t="str">
        <f t="array" ref="O98">XLOOKUP('Results and Rankings'!$A98,'Core Values Input'!$A$2:$A$201,'Core Values Input'!$W$2:$W$201,0,0,)</f>
        <v>#VALUE!</v>
      </c>
      <c r="P98" s="72" t="str">
        <f t="array" ref="P98">XLOOKUP('Results and Rankings'!$A98,'Core Values Input'!$A$2:$A$201,'Core Values Input'!$X$2:$X$201,0,0,)</f>
        <v>#VALUE!</v>
      </c>
      <c r="Q98" s="72" t="str">
        <f t="array" ref="Q98">XLOOKUP('Results and Rankings'!$A98,'Core Values Input'!$A$2:$A$201,'Core Values Input'!$Y$2:$Y$201,0,0,)</f>
        <v>#VALUE!</v>
      </c>
      <c r="R98" s="38"/>
      <c r="S98" s="38"/>
      <c r="T98" s="72"/>
      <c r="U98" s="69" t="str">
        <f t="array" ref="U98">XLOOKUP('Results and Rankings'!$A98,'Core Values Input'!$A$2:$A$201,'Core Values Input'!$U$2:$U$201,0,0,)</f>
        <v>#VALUE!</v>
      </c>
      <c r="V98" s="69" t="str">
        <f t="array" ref="V98">XLOOKUP('Results and Rankings'!$A98,'Innovation Project Input'!$A$2:$A$201,'Innovation Project Input'!$M$2:$M$201,0,0,)</f>
        <v>#VALUE!</v>
      </c>
      <c r="W98" s="69" t="str">
        <f t="array" ref="W98">XLOOKUP('Results and Rankings'!$A98,'Robot Design Input'!$A$2:$A$201,'Robot Design Input'!$M$2:$M$201,0,0,)</f>
        <v>#VALUE!</v>
      </c>
      <c r="X98" s="73">
        <f>IF(ISERR(GEOMEAN('Results and Rankings'!$H98,'Results and Rankings'!$U98,'Results and Rankings'!$V98,'Results and Rankings'!$W98)),0,GEOMEAN('Results and Rankings'!$H98,'Results and Rankings'!$U98,'Results and Rankings'!$V98,'Results and Rankings'!$W98))</f>
        <v>0</v>
      </c>
      <c r="Y98" s="74">
        <f>IF(X98,_xlfn.RANK.EQ(X98,X$3:X$110,0),NumberOfTeams)</f>
        <v>0</v>
      </c>
      <c r="Z98" s="38"/>
    </row>
    <row r="99" ht="21.0" customHeight="1">
      <c r="A99" s="67" t="str">
        <f t="array" ref="A99">XLOOKUP(97,'Team and Program Information'!$B$3:$B$202,'Team and Program Information'!$C$3:$C$202,"ERROR",0)</f>
        <v/>
      </c>
      <c r="B99" s="68" t="str">
        <f t="array" ref="B99">XLOOKUP('Results and Rankings'!$A99,'Team and Program Information'!$C$3:$C$202,'Team and Program Information'!$D$3:$D$202,"",0,)</f>
        <v>#VALUE!</v>
      </c>
      <c r="C99" s="69" t="str">
        <f t="array" ref="C99">IF('Results and Rankings'!$A99="","",XLOOKUP('Results and Rankings'!$A99,'Robot Game Scores'!$B$2:$B$201,'Robot Game Scores'!$D$2:$D$201,0,0,))</f>
        <v/>
      </c>
      <c r="D99" s="69" t="str">
        <f t="array" ref="D99">IF('Results and Rankings'!$A99="","",XLOOKUP('Results and Rankings'!$A99,'Robot Game Scores'!$B$2:$B$201,'Robot Game Scores'!$E$2:$E$201,0,0,))</f>
        <v/>
      </c>
      <c r="E99" s="69" t="str">
        <f t="array" ref="E99">IF('Results and Rankings'!$A99="","",XLOOKUP('Results and Rankings'!$A99,'Robot Game Scores'!$B$2:$B$201,'Robot Game Scores'!$F$2:$F$201,0,0,))</f>
        <v/>
      </c>
      <c r="F99" s="69" t="str">
        <f t="array" ref="F99">IF('Results and Rankings'!$A99="","",XLOOKUP('Results and Rankings'!$A99,'Robot Game Scores'!$B$2:$B$201,'Robot Game Scores'!$G$2:$G$201,0,0,))</f>
        <v/>
      </c>
      <c r="G99" s="69" t="str">
        <f t="array" ref="G99">IF('Results and Rankings'!$A99="","",XLOOKUP('Results and Rankings'!$A99,'Robot Game Scores'!$B$2:$B$201,'Robot Game Scores'!$H$2:$H$201,0,0,))</f>
        <v/>
      </c>
      <c r="H99" s="69" t="str">
        <f>IF('Results and Rankings'!$A99="","",IF(ISNA(LARGE('Results and Rankings'!$C99:$G99,1)+0.0001*LARGE('Results and Rankings'!$C99:$G99,2)+0.0000001*LARGE('Results and Rankings'!$C99:$G99,3)+1E-11*LARGE('Results and Rankings'!$C99:$G99,4)+1E-14*LARGE('Results and Rankings'!$C99:$G99,5)),0,LARGE('Results and Rankings'!$C99:$G99,1)+0.0001*LARGE('Results and Rankings'!$C99:$G99,2)+0.0000001*LARGE('Results and Rankings'!$C99:$G99,3)+1E-11*LARGE('Results and Rankings'!$C99:$G99,4)+1E-14*LARGE('Results and Rankings'!$C99:$G99,5)))</f>
        <v/>
      </c>
      <c r="I99" s="69" t="str">
        <f>IF('Results and Rankings'!$A99="","",_xlfn.RANK.EQ('Results and Rankings'!$H99,'Results and Rankings'!$H$3:$H$202))</f>
        <v/>
      </c>
      <c r="J99" s="69" t="str">
        <f t="array" ref="J99">IF('Results and Rankings'!$A99="","",XLOOKUP('Results and Rankings'!$A99,'Core Values Input'!$A$2:$A$201,'Core Values Input'!$V$2:$V$201,NumberOfTeams+1,0,))</f>
        <v/>
      </c>
      <c r="K99" s="69" t="str">
        <f t="array" ref="K99">IF('Results and Rankings'!$A99="","",XLOOKUP('Results and Rankings'!$A99,'Innovation Project Input'!$A$2:$A$201,'Innovation Project Input'!$N$2:$N$201,NumberOfTeams+1,0,))</f>
        <v/>
      </c>
      <c r="L99" s="69" t="str">
        <f t="array" ref="L99">IF('Results and Rankings'!$A99="","",XLOOKUP('Results and Rankings'!$A99,'Robot Design Input'!$A$2:$A$201,'Robot Design Input'!$N$2:$N$201,NumberOfTeams+1,0,))</f>
        <v/>
      </c>
      <c r="M99" s="69" t="str">
        <f> IF('Results and Rankings'!$A99="","",IF('Results and Rankings'!$J99="",NumberOfTeams+1,'Results and Rankings'!$J99) + IF('Results and Rankings'!$K99="",NumberOfTeams+1,'Results and Rankings'!$K99) + IF('Results and Rankings'!$L99="",NumberOfTeams+1,'Results and Rankings'!$L99) + 'Results and Rankings'!$I99)</f>
        <v/>
      </c>
      <c r="N99" s="70" t="str">
        <f>IF('Results and Rankings'!$A99="","",IF(M99,RANK(M99,M$3:M$202,1)-COUNTIF(M$3:M$202,0),NumberOfTeams+1))</f>
        <v/>
      </c>
      <c r="O99" s="72" t="str">
        <f t="array" ref="O99">XLOOKUP('Results and Rankings'!$A99,'Core Values Input'!$A$2:$A$201,'Core Values Input'!$W$2:$W$201,0,0,)</f>
        <v>#VALUE!</v>
      </c>
      <c r="P99" s="72" t="str">
        <f t="array" ref="P99">XLOOKUP('Results and Rankings'!$A99,'Core Values Input'!$A$2:$A$201,'Core Values Input'!$X$2:$X$201,0,0,)</f>
        <v>#VALUE!</v>
      </c>
      <c r="Q99" s="72" t="str">
        <f t="array" ref="Q99">XLOOKUP('Results and Rankings'!$A99,'Core Values Input'!$A$2:$A$201,'Core Values Input'!$Y$2:$Y$201,0,0,)</f>
        <v>#VALUE!</v>
      </c>
      <c r="R99" s="38"/>
      <c r="S99" s="38"/>
      <c r="T99" s="72"/>
      <c r="U99" s="69" t="str">
        <f t="array" ref="U99">XLOOKUP('Results and Rankings'!$A99,'Core Values Input'!$A$2:$A$201,'Core Values Input'!$U$2:$U$201,0,0,)</f>
        <v>#VALUE!</v>
      </c>
      <c r="V99" s="69" t="str">
        <f t="array" ref="V99">XLOOKUP('Results and Rankings'!$A99,'Innovation Project Input'!$A$2:$A$201,'Innovation Project Input'!$M$2:$M$201,0,0,)</f>
        <v>#VALUE!</v>
      </c>
      <c r="W99" s="69" t="str">
        <f t="array" ref="W99">XLOOKUP('Results and Rankings'!$A99,'Robot Design Input'!$A$2:$A$201,'Robot Design Input'!$M$2:$M$201,0,0,)</f>
        <v>#VALUE!</v>
      </c>
      <c r="X99" s="73">
        <f>IF(ISERR(GEOMEAN('Results and Rankings'!$H99,'Results and Rankings'!$U99,'Results and Rankings'!$V99,'Results and Rankings'!$W99)),0,GEOMEAN('Results and Rankings'!$H99,'Results and Rankings'!$U99,'Results and Rankings'!$V99,'Results and Rankings'!$W99))</f>
        <v>0</v>
      </c>
      <c r="Y99" s="74">
        <f>IF(X99,_xlfn.RANK.EQ(X99,X$3:X$110,0),NumberOfTeams)</f>
        <v>0</v>
      </c>
      <c r="Z99" s="38"/>
    </row>
    <row r="100" ht="21.0" customHeight="1">
      <c r="A100" s="67" t="str">
        <f t="array" ref="A100">XLOOKUP(98,'Team and Program Information'!$B$3:$B$202,'Team and Program Information'!$C$3:$C$202,"ERROR",0)</f>
        <v/>
      </c>
      <c r="B100" s="68" t="str">
        <f t="array" ref="B100">XLOOKUP('Results and Rankings'!$A100,'Team and Program Information'!$C$3:$C$202,'Team and Program Information'!$D$3:$D$202,"",0,)</f>
        <v>#VALUE!</v>
      </c>
      <c r="C100" s="69" t="str">
        <f t="array" ref="C100">IF('Results and Rankings'!$A100="","",XLOOKUP('Results and Rankings'!$A100,'Robot Game Scores'!$B$2:$B$201,'Robot Game Scores'!$D$2:$D$201,0,0,))</f>
        <v/>
      </c>
      <c r="D100" s="69" t="str">
        <f t="array" ref="D100">IF('Results and Rankings'!$A100="","",XLOOKUP('Results and Rankings'!$A100,'Robot Game Scores'!$B$2:$B$201,'Robot Game Scores'!$E$2:$E$201,0,0,))</f>
        <v/>
      </c>
      <c r="E100" s="69" t="str">
        <f t="array" ref="E100">IF('Results and Rankings'!$A100="","",XLOOKUP('Results and Rankings'!$A100,'Robot Game Scores'!$B$2:$B$201,'Robot Game Scores'!$F$2:$F$201,0,0,))</f>
        <v/>
      </c>
      <c r="F100" s="69" t="str">
        <f t="array" ref="F100">IF('Results and Rankings'!$A100="","",XLOOKUP('Results and Rankings'!$A100,'Robot Game Scores'!$B$2:$B$201,'Robot Game Scores'!$G$2:$G$201,0,0,))</f>
        <v/>
      </c>
      <c r="G100" s="69" t="str">
        <f t="array" ref="G100">IF('Results and Rankings'!$A100="","",XLOOKUP('Results and Rankings'!$A100,'Robot Game Scores'!$B$2:$B$201,'Robot Game Scores'!$H$2:$H$201,0,0,))</f>
        <v/>
      </c>
      <c r="H100" s="69" t="str">
        <f>IF('Results and Rankings'!$A100="","",IF(ISNA(LARGE('Results and Rankings'!$C100:$G100,1)+0.0001*LARGE('Results and Rankings'!$C100:$G100,2)+0.0000001*LARGE('Results and Rankings'!$C100:$G100,3)+1E-11*LARGE('Results and Rankings'!$C100:$G100,4)+1E-14*LARGE('Results and Rankings'!$C100:$G100,5)),0,LARGE('Results and Rankings'!$C100:$G100,1)+0.0001*LARGE('Results and Rankings'!$C100:$G100,2)+0.0000001*LARGE('Results and Rankings'!$C100:$G100,3)+1E-11*LARGE('Results and Rankings'!$C100:$G100,4)+1E-14*LARGE('Results and Rankings'!$C100:$G100,5)))</f>
        <v/>
      </c>
      <c r="I100" s="69" t="str">
        <f>IF('Results and Rankings'!$A100="","",_xlfn.RANK.EQ('Results and Rankings'!$H100,'Results and Rankings'!$H$3:$H$202))</f>
        <v/>
      </c>
      <c r="J100" s="69" t="str">
        <f t="array" ref="J100">IF('Results and Rankings'!$A100="","",XLOOKUP('Results and Rankings'!$A100,'Core Values Input'!$A$2:$A$201,'Core Values Input'!$V$2:$V$201,NumberOfTeams+1,0,))</f>
        <v/>
      </c>
      <c r="K100" s="69" t="str">
        <f t="array" ref="K100">IF('Results and Rankings'!$A100="","",XLOOKUP('Results and Rankings'!$A100,'Innovation Project Input'!$A$2:$A$201,'Innovation Project Input'!$N$2:$N$201,NumberOfTeams+1,0,))</f>
        <v/>
      </c>
      <c r="L100" s="69" t="str">
        <f t="array" ref="L100">IF('Results and Rankings'!$A100="","",XLOOKUP('Results and Rankings'!$A100,'Robot Design Input'!$A$2:$A$201,'Robot Design Input'!$N$2:$N$201,NumberOfTeams+1,0,))</f>
        <v/>
      </c>
      <c r="M100" s="69" t="str">
        <f> IF('Results and Rankings'!$A100="","",IF('Results and Rankings'!$J100="",NumberOfTeams+1,'Results and Rankings'!$J100) + IF('Results and Rankings'!$K100="",NumberOfTeams+1,'Results and Rankings'!$K100) + IF('Results and Rankings'!$L100="",NumberOfTeams+1,'Results and Rankings'!$L100) + 'Results and Rankings'!$I100)</f>
        <v/>
      </c>
      <c r="N100" s="70" t="str">
        <f>IF('Results and Rankings'!$A100="","",IF(M100,RANK(M100,M$3:M$202,1)-COUNTIF(M$3:M$202,0),NumberOfTeams+1))</f>
        <v/>
      </c>
      <c r="O100" s="72" t="str">
        <f t="array" ref="O100">XLOOKUP('Results and Rankings'!$A100,'Core Values Input'!$A$2:$A$201,'Core Values Input'!$W$2:$W$201,0,0,)</f>
        <v>#VALUE!</v>
      </c>
      <c r="P100" s="72" t="str">
        <f t="array" ref="P100">XLOOKUP('Results and Rankings'!$A100,'Core Values Input'!$A$2:$A$201,'Core Values Input'!$X$2:$X$201,0,0,)</f>
        <v>#VALUE!</v>
      </c>
      <c r="Q100" s="72" t="str">
        <f t="array" ref="Q100">XLOOKUP('Results and Rankings'!$A100,'Core Values Input'!$A$2:$A$201,'Core Values Input'!$Y$2:$Y$201,0,0,)</f>
        <v>#VALUE!</v>
      </c>
      <c r="R100" s="38"/>
      <c r="S100" s="38"/>
      <c r="T100" s="72"/>
      <c r="U100" s="69" t="str">
        <f t="array" ref="U100">XLOOKUP('Results and Rankings'!$A100,'Core Values Input'!$A$2:$A$201,'Core Values Input'!$U$2:$U$201,0,0,)</f>
        <v>#VALUE!</v>
      </c>
      <c r="V100" s="69" t="str">
        <f t="array" ref="V100">XLOOKUP('Results and Rankings'!$A100,'Innovation Project Input'!$A$2:$A$201,'Innovation Project Input'!$M$2:$M$201,0,0,)</f>
        <v>#VALUE!</v>
      </c>
      <c r="W100" s="69" t="str">
        <f t="array" ref="W100">XLOOKUP('Results and Rankings'!$A100,'Robot Design Input'!$A$2:$A$201,'Robot Design Input'!$M$2:$M$201,0,0,)</f>
        <v>#VALUE!</v>
      </c>
      <c r="X100" s="73">
        <f>IF(ISERR(GEOMEAN('Results and Rankings'!$H100,'Results and Rankings'!$U100,'Results and Rankings'!$V100,'Results and Rankings'!$W100)),0,GEOMEAN('Results and Rankings'!$H100,'Results and Rankings'!$U100,'Results and Rankings'!$V100,'Results and Rankings'!$W100))</f>
        <v>0</v>
      </c>
      <c r="Y100" s="74">
        <f>IF(X100,_xlfn.RANK.EQ(X100,X$3:X$110,0),NumberOfTeams)</f>
        <v>0</v>
      </c>
      <c r="Z100" s="38"/>
    </row>
    <row r="101" ht="21.0" customHeight="1">
      <c r="A101" s="67" t="str">
        <f t="array" ref="A101">XLOOKUP(99,'Team and Program Information'!$B$3:$B$202,'Team and Program Information'!$C$3:$C$202,"ERROR",0)</f>
        <v/>
      </c>
      <c r="B101" s="68" t="str">
        <f t="array" ref="B101">XLOOKUP('Results and Rankings'!$A101,'Team and Program Information'!$C$3:$C$202,'Team and Program Information'!$D$3:$D$202,"",0,)</f>
        <v>#VALUE!</v>
      </c>
      <c r="C101" s="69" t="str">
        <f t="array" ref="C101">IF('Results and Rankings'!$A101="","",XLOOKUP('Results and Rankings'!$A101,'Robot Game Scores'!$B$2:$B$201,'Robot Game Scores'!$D$2:$D$201,0,0,))</f>
        <v/>
      </c>
      <c r="D101" s="69" t="str">
        <f t="array" ref="D101">IF('Results and Rankings'!$A101="","",XLOOKUP('Results and Rankings'!$A101,'Robot Game Scores'!$B$2:$B$201,'Robot Game Scores'!$E$2:$E$201,0,0,))</f>
        <v/>
      </c>
      <c r="E101" s="69" t="str">
        <f t="array" ref="E101">IF('Results and Rankings'!$A101="","",XLOOKUP('Results and Rankings'!$A101,'Robot Game Scores'!$B$2:$B$201,'Robot Game Scores'!$F$2:$F$201,0,0,))</f>
        <v/>
      </c>
      <c r="F101" s="69" t="str">
        <f t="array" ref="F101">IF('Results and Rankings'!$A101="","",XLOOKUP('Results and Rankings'!$A101,'Robot Game Scores'!$B$2:$B$201,'Robot Game Scores'!$G$2:$G$201,0,0,))</f>
        <v/>
      </c>
      <c r="G101" s="69" t="str">
        <f t="array" ref="G101">IF('Results and Rankings'!$A101="","",XLOOKUP('Results and Rankings'!$A101,'Robot Game Scores'!$B$2:$B$201,'Robot Game Scores'!$H$2:$H$201,0,0,))</f>
        <v/>
      </c>
      <c r="H101" s="69" t="str">
        <f>IF('Results and Rankings'!$A101="","",IF(ISNA(LARGE('Results and Rankings'!$C101:$G101,1)+0.0001*LARGE('Results and Rankings'!$C101:$G101,2)+0.0000001*LARGE('Results and Rankings'!$C101:$G101,3)+1E-11*LARGE('Results and Rankings'!$C101:$G101,4)+1E-14*LARGE('Results and Rankings'!$C101:$G101,5)),0,LARGE('Results and Rankings'!$C101:$G101,1)+0.0001*LARGE('Results and Rankings'!$C101:$G101,2)+0.0000001*LARGE('Results and Rankings'!$C101:$G101,3)+1E-11*LARGE('Results and Rankings'!$C101:$G101,4)+1E-14*LARGE('Results and Rankings'!$C101:$G101,5)))</f>
        <v/>
      </c>
      <c r="I101" s="69" t="str">
        <f>IF('Results and Rankings'!$A101="","",_xlfn.RANK.EQ('Results and Rankings'!$H101,'Results and Rankings'!$H$3:$H$202))</f>
        <v/>
      </c>
      <c r="J101" s="69" t="str">
        <f t="array" ref="J101">IF('Results and Rankings'!$A101="","",XLOOKUP('Results and Rankings'!$A101,'Core Values Input'!$A$2:$A$201,'Core Values Input'!$V$2:$V$201,NumberOfTeams+1,0,))</f>
        <v/>
      </c>
      <c r="K101" s="69" t="str">
        <f t="array" ref="K101">IF('Results and Rankings'!$A101="","",XLOOKUP('Results and Rankings'!$A101,'Innovation Project Input'!$A$2:$A$201,'Innovation Project Input'!$N$2:$N$201,NumberOfTeams+1,0,))</f>
        <v/>
      </c>
      <c r="L101" s="69" t="str">
        <f t="array" ref="L101">IF('Results and Rankings'!$A101="","",XLOOKUP('Results and Rankings'!$A101,'Robot Design Input'!$A$2:$A$201,'Robot Design Input'!$N$2:$N$201,NumberOfTeams+1,0,))</f>
        <v/>
      </c>
      <c r="M101" s="69" t="str">
        <f> IF('Results and Rankings'!$A101="","",IF('Results and Rankings'!$J101="",NumberOfTeams+1,'Results and Rankings'!$J101) + IF('Results and Rankings'!$K101="",NumberOfTeams+1,'Results and Rankings'!$K101) + IF('Results and Rankings'!$L101="",NumberOfTeams+1,'Results and Rankings'!$L101) + 'Results and Rankings'!$I101)</f>
        <v/>
      </c>
      <c r="N101" s="70" t="str">
        <f>IF('Results and Rankings'!$A101="","",IF(M101,RANK(M101,M$3:M$202,1)-COUNTIF(M$3:M$202,0),NumberOfTeams+1))</f>
        <v/>
      </c>
      <c r="O101" s="72" t="str">
        <f t="array" ref="O101">XLOOKUP('Results and Rankings'!$A101,'Core Values Input'!$A$2:$A$201,'Core Values Input'!$W$2:$W$201,0,0,)</f>
        <v>#VALUE!</v>
      </c>
      <c r="P101" s="72" t="str">
        <f t="array" ref="P101">XLOOKUP('Results and Rankings'!$A101,'Core Values Input'!$A$2:$A$201,'Core Values Input'!$X$2:$X$201,0,0,)</f>
        <v>#VALUE!</v>
      </c>
      <c r="Q101" s="72" t="str">
        <f t="array" ref="Q101">XLOOKUP('Results and Rankings'!$A101,'Core Values Input'!$A$2:$A$201,'Core Values Input'!$Y$2:$Y$201,0,0,)</f>
        <v>#VALUE!</v>
      </c>
      <c r="R101" s="38"/>
      <c r="S101" s="38"/>
      <c r="T101" s="72"/>
      <c r="U101" s="69" t="str">
        <f t="array" ref="U101">XLOOKUP('Results and Rankings'!$A101,'Core Values Input'!$A$2:$A$201,'Core Values Input'!$U$2:$U$201,0,0,)</f>
        <v>#VALUE!</v>
      </c>
      <c r="V101" s="69" t="str">
        <f t="array" ref="V101">XLOOKUP('Results and Rankings'!$A101,'Innovation Project Input'!$A$2:$A$201,'Innovation Project Input'!$M$2:$M$201,0,0,)</f>
        <v>#VALUE!</v>
      </c>
      <c r="W101" s="69" t="str">
        <f t="array" ref="W101">XLOOKUP('Results and Rankings'!$A101,'Robot Design Input'!$A$2:$A$201,'Robot Design Input'!$M$2:$M$201,0,0,)</f>
        <v>#VALUE!</v>
      </c>
      <c r="X101" s="73">
        <f>IF(ISERR(GEOMEAN('Results and Rankings'!$H101,'Results and Rankings'!$U101,'Results and Rankings'!$V101,'Results and Rankings'!$W101)),0,GEOMEAN('Results and Rankings'!$H101,'Results and Rankings'!$U101,'Results and Rankings'!$V101,'Results and Rankings'!$W101))</f>
        <v>0</v>
      </c>
      <c r="Y101" s="74">
        <f>IF(X101,_xlfn.RANK.EQ(X101,X$3:X$110,0),NumberOfTeams)</f>
        <v>0</v>
      </c>
      <c r="Z101" s="38"/>
    </row>
    <row r="102" ht="21.0" customHeight="1">
      <c r="A102" s="67" t="str">
        <f t="array" ref="A102">XLOOKUP(100,'Team and Program Information'!$B$3:$B$202,'Team and Program Information'!$C$3:$C$202,"ERROR",0)</f>
        <v/>
      </c>
      <c r="B102" s="68" t="str">
        <f t="array" ref="B102">XLOOKUP('Results and Rankings'!$A102,'Team and Program Information'!$C$3:$C$202,'Team and Program Information'!$D$3:$D$202,"",0,)</f>
        <v>#VALUE!</v>
      </c>
      <c r="C102" s="69" t="str">
        <f t="array" ref="C102">IF('Results and Rankings'!$A102="","",XLOOKUP('Results and Rankings'!$A102,'Robot Game Scores'!$B$2:$B$201,'Robot Game Scores'!$D$2:$D$201,0,0,))</f>
        <v/>
      </c>
      <c r="D102" s="69" t="str">
        <f t="array" ref="D102">IF('Results and Rankings'!$A102="","",XLOOKUP('Results and Rankings'!$A102,'Robot Game Scores'!$B$2:$B$201,'Robot Game Scores'!$E$2:$E$201,0,0,))</f>
        <v/>
      </c>
      <c r="E102" s="69" t="str">
        <f t="array" ref="E102">IF('Results and Rankings'!$A102="","",XLOOKUP('Results and Rankings'!$A102,'Robot Game Scores'!$B$2:$B$201,'Robot Game Scores'!$F$2:$F$201,0,0,))</f>
        <v/>
      </c>
      <c r="F102" s="69" t="str">
        <f t="array" ref="F102">IF('Results and Rankings'!$A102="","",XLOOKUP('Results and Rankings'!$A102,'Robot Game Scores'!$B$2:$B$201,'Robot Game Scores'!$G$2:$G$201,0,0,))</f>
        <v/>
      </c>
      <c r="G102" s="69" t="str">
        <f t="array" ref="G102">IF('Results and Rankings'!$A102="","",XLOOKUP('Results and Rankings'!$A102,'Robot Game Scores'!$B$2:$B$201,'Robot Game Scores'!$H$2:$H$201,0,0,))</f>
        <v/>
      </c>
      <c r="H102" s="69" t="str">
        <f>IF('Results and Rankings'!$A102="","",IF(ISNA(LARGE('Results and Rankings'!$C102:$G102,1)+0.0001*LARGE('Results and Rankings'!$C102:$G102,2)+0.0000001*LARGE('Results and Rankings'!$C102:$G102,3)+1E-11*LARGE('Results and Rankings'!$C102:$G102,4)+1E-14*LARGE('Results and Rankings'!$C102:$G102,5)),0,LARGE('Results and Rankings'!$C102:$G102,1)+0.0001*LARGE('Results and Rankings'!$C102:$G102,2)+0.0000001*LARGE('Results and Rankings'!$C102:$G102,3)+1E-11*LARGE('Results and Rankings'!$C102:$G102,4)+1E-14*LARGE('Results and Rankings'!$C102:$G102,5)))</f>
        <v/>
      </c>
      <c r="I102" s="69" t="str">
        <f>IF('Results and Rankings'!$A102="","",_xlfn.RANK.EQ('Results and Rankings'!$H102,'Results and Rankings'!$H$3:$H$202))</f>
        <v/>
      </c>
      <c r="J102" s="69" t="str">
        <f t="array" ref="J102">IF('Results and Rankings'!$A102="","",XLOOKUP('Results and Rankings'!$A102,'Core Values Input'!$A$2:$A$201,'Core Values Input'!$V$2:$V$201,NumberOfTeams+1,0,))</f>
        <v/>
      </c>
      <c r="K102" s="69" t="str">
        <f t="array" ref="K102">IF('Results and Rankings'!$A102="","",XLOOKUP('Results and Rankings'!$A102,'Innovation Project Input'!$A$2:$A$201,'Innovation Project Input'!$N$2:$N$201,NumberOfTeams+1,0,))</f>
        <v/>
      </c>
      <c r="L102" s="69" t="str">
        <f t="array" ref="L102">IF('Results and Rankings'!$A102="","",XLOOKUP('Results and Rankings'!$A102,'Robot Design Input'!$A$2:$A$201,'Robot Design Input'!$N$2:$N$201,NumberOfTeams+1,0,))</f>
        <v/>
      </c>
      <c r="M102" s="69" t="str">
        <f> IF('Results and Rankings'!$A102="","",IF('Results and Rankings'!$J102="",NumberOfTeams+1,'Results and Rankings'!$J102) + IF('Results and Rankings'!$K102="",NumberOfTeams+1,'Results and Rankings'!$K102) + IF('Results and Rankings'!$L102="",NumberOfTeams+1,'Results and Rankings'!$L102) + 'Results and Rankings'!$I102)</f>
        <v/>
      </c>
      <c r="N102" s="70" t="str">
        <f>IF('Results and Rankings'!$A102="","",IF(M102,RANK(M102,M$3:M$202,1)-COUNTIF(M$3:M$202,0),NumberOfTeams+1))</f>
        <v/>
      </c>
      <c r="O102" s="72" t="str">
        <f t="array" ref="O102">XLOOKUP('Results and Rankings'!$A102,'Core Values Input'!$A$2:$A$201,'Core Values Input'!$W$2:$W$201,0,0,)</f>
        <v>#VALUE!</v>
      </c>
      <c r="P102" s="72" t="str">
        <f t="array" ref="P102">XLOOKUP('Results and Rankings'!$A102,'Core Values Input'!$A$2:$A$201,'Core Values Input'!$X$2:$X$201,0,0,)</f>
        <v>#VALUE!</v>
      </c>
      <c r="Q102" s="72" t="str">
        <f t="array" ref="Q102">XLOOKUP('Results and Rankings'!$A102,'Core Values Input'!$A$2:$A$201,'Core Values Input'!$Y$2:$Y$201,0,0,)</f>
        <v>#VALUE!</v>
      </c>
      <c r="R102" s="38"/>
      <c r="S102" s="38"/>
      <c r="T102" s="72"/>
      <c r="U102" s="69" t="str">
        <f t="array" ref="U102">XLOOKUP('Results and Rankings'!$A102,'Core Values Input'!$A$2:$A$201,'Core Values Input'!$U$2:$U$201,0,0,)</f>
        <v>#VALUE!</v>
      </c>
      <c r="V102" s="69" t="str">
        <f t="array" ref="V102">XLOOKUP('Results and Rankings'!$A102,'Innovation Project Input'!$A$2:$A$201,'Innovation Project Input'!$M$2:$M$201,0,0,)</f>
        <v>#VALUE!</v>
      </c>
      <c r="W102" s="69" t="str">
        <f t="array" ref="W102">XLOOKUP('Results and Rankings'!$A102,'Robot Design Input'!$A$2:$A$201,'Robot Design Input'!$M$2:$M$201,0,0,)</f>
        <v>#VALUE!</v>
      </c>
      <c r="X102" s="73">
        <f>IF(ISERR(GEOMEAN('Results and Rankings'!$H102,'Results and Rankings'!$U102,'Results and Rankings'!$V102,'Results and Rankings'!$W102)),0,GEOMEAN('Results and Rankings'!$H102,'Results and Rankings'!$U102,'Results and Rankings'!$V102,'Results and Rankings'!$W102))</f>
        <v>0</v>
      </c>
      <c r="Y102" s="74">
        <f>IF(X102,_xlfn.RANK.EQ(X102,X$3:X$110,0),NumberOfTeams)</f>
        <v>0</v>
      </c>
      <c r="Z102" s="38"/>
    </row>
    <row r="103" ht="21.0" customHeight="1">
      <c r="A103" s="67" t="str">
        <f t="array" ref="A103">XLOOKUP(101,'Team and Program Information'!$B$3:$B$202,'Team and Program Information'!$C$3:$C$202,"ERROR",0)</f>
        <v/>
      </c>
      <c r="B103" s="68" t="str">
        <f t="array" ref="B103">XLOOKUP('Results and Rankings'!$A103,'Team and Program Information'!$C$3:$C$202,'Team and Program Information'!$D$3:$D$202,"",0,)</f>
        <v>#VALUE!</v>
      </c>
      <c r="C103" s="69" t="str">
        <f t="array" ref="C103">IF('Results and Rankings'!$A103="","",XLOOKUP('Results and Rankings'!$A103,'Robot Game Scores'!$B$2:$B$201,'Robot Game Scores'!$D$2:$D$201,0,0,))</f>
        <v/>
      </c>
      <c r="D103" s="69" t="str">
        <f t="array" ref="D103">IF('Results and Rankings'!$A103="","",XLOOKUP('Results and Rankings'!$A103,'Robot Game Scores'!$B$2:$B$201,'Robot Game Scores'!$E$2:$E$201,0,0,))</f>
        <v/>
      </c>
      <c r="E103" s="69" t="str">
        <f t="array" ref="E103">IF('Results and Rankings'!$A103="","",XLOOKUP('Results and Rankings'!$A103,'Robot Game Scores'!$B$2:$B$201,'Robot Game Scores'!$F$2:$F$201,0,0,))</f>
        <v/>
      </c>
      <c r="F103" s="69" t="str">
        <f t="array" ref="F103">IF('Results and Rankings'!$A103="","",XLOOKUP('Results and Rankings'!$A103,'Robot Game Scores'!$B$2:$B$201,'Robot Game Scores'!$G$2:$G$201,0,0,))</f>
        <v/>
      </c>
      <c r="G103" s="69" t="str">
        <f t="array" ref="G103">IF('Results and Rankings'!$A103="","",XLOOKUP('Results and Rankings'!$A103,'Robot Game Scores'!$B$2:$B$201,'Robot Game Scores'!$H$2:$H$201,0,0,))</f>
        <v/>
      </c>
      <c r="H103" s="69" t="str">
        <f>IF('Results and Rankings'!$A103="","",IF(ISNA(LARGE('Results and Rankings'!$C103:$G103,1)+0.0001*LARGE('Results and Rankings'!$C103:$G103,2)+0.0000001*LARGE('Results and Rankings'!$C103:$G103,3)+1E-11*LARGE('Results and Rankings'!$C103:$G103,4)+1E-14*LARGE('Results and Rankings'!$C103:$G103,5)),0,LARGE('Results and Rankings'!$C103:$G103,1)+0.0001*LARGE('Results and Rankings'!$C103:$G103,2)+0.0000001*LARGE('Results and Rankings'!$C103:$G103,3)+1E-11*LARGE('Results and Rankings'!$C103:$G103,4)+1E-14*LARGE('Results and Rankings'!$C103:$G103,5)))</f>
        <v/>
      </c>
      <c r="I103" s="69" t="str">
        <f>IF('Results and Rankings'!$A103="","",_xlfn.RANK.EQ('Results and Rankings'!$H103,'Results and Rankings'!$H$3:$H$202))</f>
        <v/>
      </c>
      <c r="J103" s="69" t="str">
        <f t="array" ref="J103">IF('Results and Rankings'!$A103="","",XLOOKUP('Results and Rankings'!$A103,'Core Values Input'!$A$2:$A$201,'Core Values Input'!$V$2:$V$201,NumberOfTeams+1,0,))</f>
        <v/>
      </c>
      <c r="K103" s="69" t="str">
        <f t="array" ref="K103">IF('Results and Rankings'!$A103="","",XLOOKUP('Results and Rankings'!$A103,'Innovation Project Input'!$A$2:$A$201,'Innovation Project Input'!$N$2:$N$201,NumberOfTeams+1,0,))</f>
        <v/>
      </c>
      <c r="L103" s="69" t="str">
        <f t="array" ref="L103">IF('Results and Rankings'!$A103="","",XLOOKUP('Results and Rankings'!$A103,'Robot Design Input'!$A$2:$A$201,'Robot Design Input'!$N$2:$N$201,NumberOfTeams+1,0,))</f>
        <v/>
      </c>
      <c r="M103" s="69" t="str">
        <f> IF('Results and Rankings'!$A103="","",IF('Results and Rankings'!$J103="",NumberOfTeams+1,'Results and Rankings'!$J103) + IF('Results and Rankings'!$K103="",NumberOfTeams+1,'Results and Rankings'!$K103) + IF('Results and Rankings'!$L103="",NumberOfTeams+1,'Results and Rankings'!$L103) + 'Results and Rankings'!$I103)</f>
        <v/>
      </c>
      <c r="N103" s="70" t="str">
        <f>IF('Results and Rankings'!$A103="","",IF(M103,RANK(M103,M$3:M$202,1)-COUNTIF(M$3:M$202,0),NumberOfTeams+1))</f>
        <v/>
      </c>
      <c r="O103" s="72" t="str">
        <f t="array" ref="O103">XLOOKUP('Results and Rankings'!$A103,'Core Values Input'!$A$2:$A$201,'Core Values Input'!$W$2:$W$201,0,0,)</f>
        <v>#VALUE!</v>
      </c>
      <c r="P103" s="72" t="str">
        <f t="array" ref="P103">XLOOKUP('Results and Rankings'!$A103,'Core Values Input'!$A$2:$A$201,'Core Values Input'!$X$2:$X$201,0,0,)</f>
        <v>#VALUE!</v>
      </c>
      <c r="Q103" s="72" t="str">
        <f t="array" ref="Q103">XLOOKUP('Results and Rankings'!$A103,'Core Values Input'!$A$2:$A$201,'Core Values Input'!$Y$2:$Y$201,0,0,)</f>
        <v>#VALUE!</v>
      </c>
      <c r="R103" s="38"/>
      <c r="S103" s="38"/>
      <c r="T103" s="72"/>
      <c r="U103" s="69" t="str">
        <f t="array" ref="U103">XLOOKUP('Results and Rankings'!$A103,'Core Values Input'!$A$2:$A$201,'Core Values Input'!$U$2:$U$201,0,0,)</f>
        <v>#VALUE!</v>
      </c>
      <c r="V103" s="69" t="str">
        <f t="array" ref="V103">XLOOKUP('Results and Rankings'!$A103,'Innovation Project Input'!$A$2:$A$201,'Innovation Project Input'!$M$2:$M$201,0,0,)</f>
        <v>#VALUE!</v>
      </c>
      <c r="W103" s="69" t="str">
        <f t="array" ref="W103">XLOOKUP('Results and Rankings'!$A103,'Robot Design Input'!$A$2:$A$201,'Robot Design Input'!$M$2:$M$201,0,0,)</f>
        <v>#VALUE!</v>
      </c>
      <c r="X103" s="73">
        <f>IF(ISERR(GEOMEAN('Results and Rankings'!$H103,'Results and Rankings'!$U103,'Results and Rankings'!$V103,'Results and Rankings'!$W103)),0,GEOMEAN('Results and Rankings'!$H103,'Results and Rankings'!$U103,'Results and Rankings'!$V103,'Results and Rankings'!$W103))</f>
        <v>0</v>
      </c>
      <c r="Y103" s="74">
        <f>IF(X103,_xlfn.RANK.EQ(X103,X$3:X$110,0),NumberOfTeams)</f>
        <v>0</v>
      </c>
      <c r="Z103" s="38"/>
    </row>
    <row r="104" ht="21.0" customHeight="1">
      <c r="A104" s="67" t="str">
        <f t="array" ref="A104">XLOOKUP(102,'Team and Program Information'!$B$3:$B$202,'Team and Program Information'!$C$3:$C$202,"ERROR",0)</f>
        <v/>
      </c>
      <c r="B104" s="68" t="str">
        <f t="array" ref="B104">XLOOKUP('Results and Rankings'!$A104,'Team and Program Information'!$C$3:$C$202,'Team and Program Information'!$D$3:$D$202,"",0,)</f>
        <v>#VALUE!</v>
      </c>
      <c r="C104" s="69" t="str">
        <f t="array" ref="C104">IF('Results and Rankings'!$A104="","",XLOOKUP('Results and Rankings'!$A104,'Robot Game Scores'!$B$2:$B$201,'Robot Game Scores'!$D$2:$D$201,0,0,))</f>
        <v/>
      </c>
      <c r="D104" s="69" t="str">
        <f t="array" ref="D104">IF('Results and Rankings'!$A104="","",XLOOKUP('Results and Rankings'!$A104,'Robot Game Scores'!$B$2:$B$201,'Robot Game Scores'!$E$2:$E$201,0,0,))</f>
        <v/>
      </c>
      <c r="E104" s="69" t="str">
        <f t="array" ref="E104">IF('Results and Rankings'!$A104="","",XLOOKUP('Results and Rankings'!$A104,'Robot Game Scores'!$B$2:$B$201,'Robot Game Scores'!$F$2:$F$201,0,0,))</f>
        <v/>
      </c>
      <c r="F104" s="69" t="str">
        <f t="array" ref="F104">IF('Results and Rankings'!$A104="","",XLOOKUP('Results and Rankings'!$A104,'Robot Game Scores'!$B$2:$B$201,'Robot Game Scores'!$G$2:$G$201,0,0,))</f>
        <v/>
      </c>
      <c r="G104" s="69" t="str">
        <f t="array" ref="G104">IF('Results and Rankings'!$A104="","",XLOOKUP('Results and Rankings'!$A104,'Robot Game Scores'!$B$2:$B$201,'Robot Game Scores'!$H$2:$H$201,0,0,))</f>
        <v/>
      </c>
      <c r="H104" s="69" t="str">
        <f>IF('Results and Rankings'!$A104="","",IF(ISNA(LARGE('Results and Rankings'!$C104:$G104,1)+0.0001*LARGE('Results and Rankings'!$C104:$G104,2)+0.0000001*LARGE('Results and Rankings'!$C104:$G104,3)+1E-11*LARGE('Results and Rankings'!$C104:$G104,4)+1E-14*LARGE('Results and Rankings'!$C104:$G104,5)),0,LARGE('Results and Rankings'!$C104:$G104,1)+0.0001*LARGE('Results and Rankings'!$C104:$G104,2)+0.0000001*LARGE('Results and Rankings'!$C104:$G104,3)+1E-11*LARGE('Results and Rankings'!$C104:$G104,4)+1E-14*LARGE('Results and Rankings'!$C104:$G104,5)))</f>
        <v/>
      </c>
      <c r="I104" s="69" t="str">
        <f>IF('Results and Rankings'!$A104="","",_xlfn.RANK.EQ('Results and Rankings'!$H104,'Results and Rankings'!$H$3:$H$202))</f>
        <v/>
      </c>
      <c r="J104" s="69" t="str">
        <f t="array" ref="J104">IF('Results and Rankings'!$A104="","",XLOOKUP('Results and Rankings'!$A104,'Core Values Input'!$A$2:$A$201,'Core Values Input'!$V$2:$V$201,NumberOfTeams+1,0,))</f>
        <v/>
      </c>
      <c r="K104" s="69" t="str">
        <f t="array" ref="K104">IF('Results and Rankings'!$A104="","",XLOOKUP('Results and Rankings'!$A104,'Innovation Project Input'!$A$2:$A$201,'Innovation Project Input'!$N$2:$N$201,NumberOfTeams+1,0,))</f>
        <v/>
      </c>
      <c r="L104" s="69" t="str">
        <f t="array" ref="L104">IF('Results and Rankings'!$A104="","",XLOOKUP('Results and Rankings'!$A104,'Robot Design Input'!$A$2:$A$201,'Robot Design Input'!$N$2:$N$201,NumberOfTeams+1,0,))</f>
        <v/>
      </c>
      <c r="M104" s="69" t="str">
        <f> IF('Results and Rankings'!$A104="","",IF('Results and Rankings'!$J104="",NumberOfTeams+1,'Results and Rankings'!$J104) + IF('Results and Rankings'!$K104="",NumberOfTeams+1,'Results and Rankings'!$K104) + IF('Results and Rankings'!$L104="",NumberOfTeams+1,'Results and Rankings'!$L104) + 'Results and Rankings'!$I104)</f>
        <v/>
      </c>
      <c r="N104" s="70" t="str">
        <f>IF('Results and Rankings'!$A104="","",IF(M104,RANK(M104,M$3:M$202,1)-COUNTIF(M$3:M$202,0),NumberOfTeams+1))</f>
        <v/>
      </c>
      <c r="O104" s="72" t="str">
        <f t="array" ref="O104">XLOOKUP('Results and Rankings'!$A104,'Core Values Input'!$A$2:$A$201,'Core Values Input'!$W$2:$W$201,0,0,)</f>
        <v>#VALUE!</v>
      </c>
      <c r="P104" s="72" t="str">
        <f t="array" ref="P104">XLOOKUP('Results and Rankings'!$A104,'Core Values Input'!$A$2:$A$201,'Core Values Input'!$X$2:$X$201,0,0,)</f>
        <v>#VALUE!</v>
      </c>
      <c r="Q104" s="72" t="str">
        <f t="array" ref="Q104">XLOOKUP('Results and Rankings'!$A104,'Core Values Input'!$A$2:$A$201,'Core Values Input'!$Y$2:$Y$201,0,0,)</f>
        <v>#VALUE!</v>
      </c>
      <c r="R104" s="38"/>
      <c r="S104" s="38"/>
      <c r="T104" s="72"/>
      <c r="U104" s="69" t="str">
        <f t="array" ref="U104">XLOOKUP('Results and Rankings'!$A104,'Core Values Input'!$A$2:$A$201,'Core Values Input'!$U$2:$U$201,0,0,)</f>
        <v>#VALUE!</v>
      </c>
      <c r="V104" s="69" t="str">
        <f t="array" ref="V104">XLOOKUP('Results and Rankings'!$A104,'Innovation Project Input'!$A$2:$A$201,'Innovation Project Input'!$M$2:$M$201,0,0,)</f>
        <v>#VALUE!</v>
      </c>
      <c r="W104" s="69" t="str">
        <f t="array" ref="W104">XLOOKUP('Results and Rankings'!$A104,'Robot Design Input'!$A$2:$A$201,'Robot Design Input'!$M$2:$M$201,0,0,)</f>
        <v>#VALUE!</v>
      </c>
      <c r="X104" s="73">
        <f>IF(ISERR(GEOMEAN('Results and Rankings'!$H104,'Results and Rankings'!$U104,'Results and Rankings'!$V104,'Results and Rankings'!$W104)),0,GEOMEAN('Results and Rankings'!$H104,'Results and Rankings'!$U104,'Results and Rankings'!$V104,'Results and Rankings'!$W104))</f>
        <v>0</v>
      </c>
      <c r="Y104" s="74">
        <f>IF(X104,_xlfn.RANK.EQ(X104,X$3:X$110,0),NumberOfTeams)</f>
        <v>0</v>
      </c>
      <c r="Z104" s="38"/>
    </row>
    <row r="105" ht="21.0" customHeight="1">
      <c r="A105" s="67" t="str">
        <f t="array" ref="A105">XLOOKUP(103,'Team and Program Information'!$B$3:$B$202,'Team and Program Information'!$C$3:$C$202,"ERROR",0)</f>
        <v/>
      </c>
      <c r="B105" s="68" t="str">
        <f t="array" ref="B105">XLOOKUP('Results and Rankings'!$A105,'Team and Program Information'!$C$3:$C$202,'Team and Program Information'!$D$3:$D$202,"",0,)</f>
        <v>#VALUE!</v>
      </c>
      <c r="C105" s="69" t="str">
        <f t="array" ref="C105">IF('Results and Rankings'!$A105="","",XLOOKUP('Results and Rankings'!$A105,'Robot Game Scores'!$B$2:$B$201,'Robot Game Scores'!$D$2:$D$201,0,0,))</f>
        <v/>
      </c>
      <c r="D105" s="69" t="str">
        <f t="array" ref="D105">IF('Results and Rankings'!$A105="","",XLOOKUP('Results and Rankings'!$A105,'Robot Game Scores'!$B$2:$B$201,'Robot Game Scores'!$E$2:$E$201,0,0,))</f>
        <v/>
      </c>
      <c r="E105" s="69" t="str">
        <f t="array" ref="E105">IF('Results and Rankings'!$A105="","",XLOOKUP('Results and Rankings'!$A105,'Robot Game Scores'!$B$2:$B$201,'Robot Game Scores'!$F$2:$F$201,0,0,))</f>
        <v/>
      </c>
      <c r="F105" s="69" t="str">
        <f t="array" ref="F105">IF('Results and Rankings'!$A105="","",XLOOKUP('Results and Rankings'!$A105,'Robot Game Scores'!$B$2:$B$201,'Robot Game Scores'!$G$2:$G$201,0,0,))</f>
        <v/>
      </c>
      <c r="G105" s="69" t="str">
        <f t="array" ref="G105">IF('Results and Rankings'!$A105="","",XLOOKUP('Results and Rankings'!$A105,'Robot Game Scores'!$B$2:$B$201,'Robot Game Scores'!$H$2:$H$201,0,0,))</f>
        <v/>
      </c>
      <c r="H105" s="69" t="str">
        <f>IF('Results and Rankings'!$A105="","",IF(ISNA(LARGE('Results and Rankings'!$C105:$G105,1)+0.0001*LARGE('Results and Rankings'!$C105:$G105,2)+0.0000001*LARGE('Results and Rankings'!$C105:$G105,3)+1E-11*LARGE('Results and Rankings'!$C105:$G105,4)+1E-14*LARGE('Results and Rankings'!$C105:$G105,5)),0,LARGE('Results and Rankings'!$C105:$G105,1)+0.0001*LARGE('Results and Rankings'!$C105:$G105,2)+0.0000001*LARGE('Results and Rankings'!$C105:$G105,3)+1E-11*LARGE('Results and Rankings'!$C105:$G105,4)+1E-14*LARGE('Results and Rankings'!$C105:$G105,5)))</f>
        <v/>
      </c>
      <c r="I105" s="69" t="str">
        <f>IF('Results and Rankings'!$A105="","",_xlfn.RANK.EQ('Results and Rankings'!$H105,'Results and Rankings'!$H$3:$H$202))</f>
        <v/>
      </c>
      <c r="J105" s="69" t="str">
        <f t="array" ref="J105">IF('Results and Rankings'!$A105="","",XLOOKUP('Results and Rankings'!$A105,'Core Values Input'!$A$2:$A$201,'Core Values Input'!$V$2:$V$201,NumberOfTeams+1,0,))</f>
        <v/>
      </c>
      <c r="K105" s="69" t="str">
        <f t="array" ref="K105">IF('Results and Rankings'!$A105="","",XLOOKUP('Results and Rankings'!$A105,'Innovation Project Input'!$A$2:$A$201,'Innovation Project Input'!$N$2:$N$201,NumberOfTeams+1,0,))</f>
        <v/>
      </c>
      <c r="L105" s="69" t="str">
        <f t="array" ref="L105">IF('Results and Rankings'!$A105="","",XLOOKUP('Results and Rankings'!$A105,'Robot Design Input'!$A$2:$A$201,'Robot Design Input'!$N$2:$N$201,NumberOfTeams+1,0,))</f>
        <v/>
      </c>
      <c r="M105" s="69" t="str">
        <f> IF('Results and Rankings'!$A105="","",IF('Results and Rankings'!$J105="",NumberOfTeams+1,'Results and Rankings'!$J105) + IF('Results and Rankings'!$K105="",NumberOfTeams+1,'Results and Rankings'!$K105) + IF('Results and Rankings'!$L105="",NumberOfTeams+1,'Results and Rankings'!$L105) + 'Results and Rankings'!$I105)</f>
        <v/>
      </c>
      <c r="N105" s="70" t="str">
        <f>IF('Results and Rankings'!$A105="","",IF(M105,RANK(M105,M$3:M$202,1)-COUNTIF(M$3:M$202,0),NumberOfTeams+1))</f>
        <v/>
      </c>
      <c r="O105" s="72" t="str">
        <f t="array" ref="O105">XLOOKUP('Results and Rankings'!$A105,'Core Values Input'!$A$2:$A$201,'Core Values Input'!$W$2:$W$201,0,0,)</f>
        <v>#VALUE!</v>
      </c>
      <c r="P105" s="72" t="str">
        <f t="array" ref="P105">XLOOKUP('Results and Rankings'!$A105,'Core Values Input'!$A$2:$A$201,'Core Values Input'!$X$2:$X$201,0,0,)</f>
        <v>#VALUE!</v>
      </c>
      <c r="Q105" s="72" t="str">
        <f t="array" ref="Q105">XLOOKUP('Results and Rankings'!$A105,'Core Values Input'!$A$2:$A$201,'Core Values Input'!$Y$2:$Y$201,0,0,)</f>
        <v>#VALUE!</v>
      </c>
      <c r="R105" s="38"/>
      <c r="S105" s="38"/>
      <c r="T105" s="72"/>
      <c r="U105" s="69" t="str">
        <f t="array" ref="U105">XLOOKUP('Results and Rankings'!$A105,'Core Values Input'!$A$2:$A$201,'Core Values Input'!$U$2:$U$201,0,0,)</f>
        <v>#VALUE!</v>
      </c>
      <c r="V105" s="69" t="str">
        <f t="array" ref="V105">XLOOKUP('Results and Rankings'!$A105,'Innovation Project Input'!$A$2:$A$201,'Innovation Project Input'!$M$2:$M$201,0,0,)</f>
        <v>#VALUE!</v>
      </c>
      <c r="W105" s="69" t="str">
        <f t="array" ref="W105">XLOOKUP('Results and Rankings'!$A105,'Robot Design Input'!$A$2:$A$201,'Robot Design Input'!$M$2:$M$201,0,0,)</f>
        <v>#VALUE!</v>
      </c>
      <c r="X105" s="73">
        <f>IF(ISERR(GEOMEAN('Results and Rankings'!$H105,'Results and Rankings'!$U105,'Results and Rankings'!$V105,'Results and Rankings'!$W105)),0,GEOMEAN('Results and Rankings'!$H105,'Results and Rankings'!$U105,'Results and Rankings'!$V105,'Results and Rankings'!$W105))</f>
        <v>0</v>
      </c>
      <c r="Y105" s="74">
        <f>IF(X105,_xlfn.RANK.EQ(X105,X$3:X$110,0),NumberOfTeams)</f>
        <v>0</v>
      </c>
      <c r="Z105" s="38"/>
    </row>
    <row r="106" ht="21.0" customHeight="1">
      <c r="A106" s="67" t="str">
        <f t="array" ref="A106">XLOOKUP(104,'Team and Program Information'!$B$3:$B$202,'Team and Program Information'!$C$3:$C$202,"ERROR",0)</f>
        <v/>
      </c>
      <c r="B106" s="68" t="str">
        <f t="array" ref="B106">XLOOKUP('Results and Rankings'!$A106,'Team and Program Information'!$C$3:$C$202,'Team and Program Information'!$D$3:$D$202,"",0,)</f>
        <v>#VALUE!</v>
      </c>
      <c r="C106" s="69" t="str">
        <f t="array" ref="C106">IF('Results and Rankings'!$A106="","",XLOOKUP('Results and Rankings'!$A106,'Robot Game Scores'!$B$2:$B$201,'Robot Game Scores'!$D$2:$D$201,0,0,))</f>
        <v/>
      </c>
      <c r="D106" s="69" t="str">
        <f t="array" ref="D106">IF('Results and Rankings'!$A106="","",XLOOKUP('Results and Rankings'!$A106,'Robot Game Scores'!$B$2:$B$201,'Robot Game Scores'!$E$2:$E$201,0,0,))</f>
        <v/>
      </c>
      <c r="E106" s="69" t="str">
        <f t="array" ref="E106">IF('Results and Rankings'!$A106="","",XLOOKUP('Results and Rankings'!$A106,'Robot Game Scores'!$B$2:$B$201,'Robot Game Scores'!$F$2:$F$201,0,0,))</f>
        <v/>
      </c>
      <c r="F106" s="69" t="str">
        <f t="array" ref="F106">IF('Results and Rankings'!$A106="","",XLOOKUP('Results and Rankings'!$A106,'Robot Game Scores'!$B$2:$B$201,'Robot Game Scores'!$G$2:$G$201,0,0,))</f>
        <v/>
      </c>
      <c r="G106" s="69" t="str">
        <f t="array" ref="G106">IF('Results and Rankings'!$A106="","",XLOOKUP('Results and Rankings'!$A106,'Robot Game Scores'!$B$2:$B$201,'Robot Game Scores'!$H$2:$H$201,0,0,))</f>
        <v/>
      </c>
      <c r="H106" s="69" t="str">
        <f>IF('Results and Rankings'!$A106="","",IF(ISNA(LARGE('Results and Rankings'!$C106:$G106,1)+0.0001*LARGE('Results and Rankings'!$C106:$G106,2)+0.0000001*LARGE('Results and Rankings'!$C106:$G106,3)+1E-11*LARGE('Results and Rankings'!$C106:$G106,4)+1E-14*LARGE('Results and Rankings'!$C106:$G106,5)),0,LARGE('Results and Rankings'!$C106:$G106,1)+0.0001*LARGE('Results and Rankings'!$C106:$G106,2)+0.0000001*LARGE('Results and Rankings'!$C106:$G106,3)+1E-11*LARGE('Results and Rankings'!$C106:$G106,4)+1E-14*LARGE('Results and Rankings'!$C106:$G106,5)))</f>
        <v/>
      </c>
      <c r="I106" s="69" t="str">
        <f>IF('Results and Rankings'!$A106="","",_xlfn.RANK.EQ('Results and Rankings'!$H106,'Results and Rankings'!$H$3:$H$202))</f>
        <v/>
      </c>
      <c r="J106" s="69" t="str">
        <f t="array" ref="J106">IF('Results and Rankings'!$A106="","",XLOOKUP('Results and Rankings'!$A106,'Core Values Input'!$A$2:$A$201,'Core Values Input'!$V$2:$V$201,NumberOfTeams+1,0,))</f>
        <v/>
      </c>
      <c r="K106" s="69" t="str">
        <f t="array" ref="K106">IF('Results and Rankings'!$A106="","",XLOOKUP('Results and Rankings'!$A106,'Innovation Project Input'!$A$2:$A$201,'Innovation Project Input'!$N$2:$N$201,NumberOfTeams+1,0,))</f>
        <v/>
      </c>
      <c r="L106" s="69" t="str">
        <f t="array" ref="L106">IF('Results and Rankings'!$A106="","",XLOOKUP('Results and Rankings'!$A106,'Robot Design Input'!$A$2:$A$201,'Robot Design Input'!$N$2:$N$201,NumberOfTeams+1,0,))</f>
        <v/>
      </c>
      <c r="M106" s="69" t="str">
        <f> IF('Results and Rankings'!$A106="","",IF('Results and Rankings'!$J106="",NumberOfTeams+1,'Results and Rankings'!$J106) + IF('Results and Rankings'!$K106="",NumberOfTeams+1,'Results and Rankings'!$K106) + IF('Results and Rankings'!$L106="",NumberOfTeams+1,'Results and Rankings'!$L106) + 'Results and Rankings'!$I106)</f>
        <v/>
      </c>
      <c r="N106" s="70" t="str">
        <f>IF('Results and Rankings'!$A106="","",IF(M106,RANK(M106,M$3:M$202,1)-COUNTIF(M$3:M$202,0),NumberOfTeams+1))</f>
        <v/>
      </c>
      <c r="O106" s="72" t="str">
        <f t="array" ref="O106">XLOOKUP('Results and Rankings'!$A106,'Core Values Input'!$A$2:$A$201,'Core Values Input'!$W$2:$W$201,0,0,)</f>
        <v>#VALUE!</v>
      </c>
      <c r="P106" s="72" t="str">
        <f t="array" ref="P106">XLOOKUP('Results and Rankings'!$A106,'Core Values Input'!$A$2:$A$201,'Core Values Input'!$X$2:$X$201,0,0,)</f>
        <v>#VALUE!</v>
      </c>
      <c r="Q106" s="72" t="str">
        <f t="array" ref="Q106">XLOOKUP('Results and Rankings'!$A106,'Core Values Input'!$A$2:$A$201,'Core Values Input'!$Y$2:$Y$201,0,0,)</f>
        <v>#VALUE!</v>
      </c>
      <c r="R106" s="38"/>
      <c r="S106" s="38"/>
      <c r="T106" s="72"/>
      <c r="U106" s="69" t="str">
        <f t="array" ref="U106">XLOOKUP('Results and Rankings'!$A106,'Core Values Input'!$A$2:$A$201,'Core Values Input'!$U$2:$U$201,0,0,)</f>
        <v>#VALUE!</v>
      </c>
      <c r="V106" s="69" t="str">
        <f t="array" ref="V106">XLOOKUP('Results and Rankings'!$A106,'Innovation Project Input'!$A$2:$A$201,'Innovation Project Input'!$M$2:$M$201,0,0,)</f>
        <v>#VALUE!</v>
      </c>
      <c r="W106" s="69" t="str">
        <f t="array" ref="W106">XLOOKUP('Results and Rankings'!$A106,'Robot Design Input'!$A$2:$A$201,'Robot Design Input'!$M$2:$M$201,0,0,)</f>
        <v>#VALUE!</v>
      </c>
      <c r="X106" s="73">
        <f>IF(ISERR(GEOMEAN('Results and Rankings'!$H106,'Results and Rankings'!$U106,'Results and Rankings'!$V106,'Results and Rankings'!$W106)),0,GEOMEAN('Results and Rankings'!$H106,'Results and Rankings'!$U106,'Results and Rankings'!$V106,'Results and Rankings'!$W106))</f>
        <v>0</v>
      </c>
      <c r="Y106" s="74">
        <f>IF(X106,_xlfn.RANK.EQ(X106,X$3:X$110,0),NumberOfTeams)</f>
        <v>0</v>
      </c>
      <c r="Z106" s="38"/>
    </row>
    <row r="107" ht="21.0" customHeight="1">
      <c r="A107" s="67" t="str">
        <f t="array" ref="A107">XLOOKUP(105,'Team and Program Information'!$B$3:$B$202,'Team and Program Information'!$C$3:$C$202,"ERROR",0)</f>
        <v/>
      </c>
      <c r="B107" s="68" t="str">
        <f t="array" ref="B107">XLOOKUP('Results and Rankings'!$A107,'Team and Program Information'!$C$3:$C$202,'Team and Program Information'!$D$3:$D$202,"",0,)</f>
        <v>#VALUE!</v>
      </c>
      <c r="C107" s="69" t="str">
        <f t="array" ref="C107">IF('Results and Rankings'!$A107="","",XLOOKUP('Results and Rankings'!$A107,'Robot Game Scores'!$B$2:$B$201,'Robot Game Scores'!$D$2:$D$201,0,0,))</f>
        <v/>
      </c>
      <c r="D107" s="69" t="str">
        <f t="array" ref="D107">IF('Results and Rankings'!$A107="","",XLOOKUP('Results and Rankings'!$A107,'Robot Game Scores'!$B$2:$B$201,'Robot Game Scores'!$E$2:$E$201,0,0,))</f>
        <v/>
      </c>
      <c r="E107" s="69" t="str">
        <f t="array" ref="E107">IF('Results and Rankings'!$A107="","",XLOOKUP('Results and Rankings'!$A107,'Robot Game Scores'!$B$2:$B$201,'Robot Game Scores'!$F$2:$F$201,0,0,))</f>
        <v/>
      </c>
      <c r="F107" s="69" t="str">
        <f t="array" ref="F107">IF('Results and Rankings'!$A107="","",XLOOKUP('Results and Rankings'!$A107,'Robot Game Scores'!$B$2:$B$201,'Robot Game Scores'!$G$2:$G$201,0,0,))</f>
        <v/>
      </c>
      <c r="G107" s="69" t="str">
        <f t="array" ref="G107">IF('Results and Rankings'!$A107="","",XLOOKUP('Results and Rankings'!$A107,'Robot Game Scores'!$B$2:$B$201,'Robot Game Scores'!$H$2:$H$201,0,0,))</f>
        <v/>
      </c>
      <c r="H107" s="69" t="str">
        <f>IF('Results and Rankings'!$A107="","",IF(ISNA(LARGE('Results and Rankings'!$C107:$G107,1)+0.0001*LARGE('Results and Rankings'!$C107:$G107,2)+0.0000001*LARGE('Results and Rankings'!$C107:$G107,3)+1E-11*LARGE('Results and Rankings'!$C107:$G107,4)+1E-14*LARGE('Results and Rankings'!$C107:$G107,5)),0,LARGE('Results and Rankings'!$C107:$G107,1)+0.0001*LARGE('Results and Rankings'!$C107:$G107,2)+0.0000001*LARGE('Results and Rankings'!$C107:$G107,3)+1E-11*LARGE('Results and Rankings'!$C107:$G107,4)+1E-14*LARGE('Results and Rankings'!$C107:$G107,5)))</f>
        <v/>
      </c>
      <c r="I107" s="69" t="str">
        <f>IF('Results and Rankings'!$A107="","",_xlfn.RANK.EQ('Results and Rankings'!$H107,'Results and Rankings'!$H$3:$H$202))</f>
        <v/>
      </c>
      <c r="J107" s="69" t="str">
        <f t="array" ref="J107">IF('Results and Rankings'!$A107="","",XLOOKUP('Results and Rankings'!$A107,'Core Values Input'!$A$2:$A$201,'Core Values Input'!$V$2:$V$201,NumberOfTeams+1,0,))</f>
        <v/>
      </c>
      <c r="K107" s="69" t="str">
        <f t="array" ref="K107">IF('Results and Rankings'!$A107="","",XLOOKUP('Results and Rankings'!$A107,'Innovation Project Input'!$A$2:$A$201,'Innovation Project Input'!$N$2:$N$201,NumberOfTeams+1,0,))</f>
        <v/>
      </c>
      <c r="L107" s="69" t="str">
        <f t="array" ref="L107">IF('Results and Rankings'!$A107="","",XLOOKUP('Results and Rankings'!$A107,'Robot Design Input'!$A$2:$A$201,'Robot Design Input'!$N$2:$N$201,NumberOfTeams+1,0,))</f>
        <v/>
      </c>
      <c r="M107" s="69" t="str">
        <f> IF('Results and Rankings'!$A107="","",IF('Results and Rankings'!$J107="",NumberOfTeams+1,'Results and Rankings'!$J107) + IF('Results and Rankings'!$K107="",NumberOfTeams+1,'Results and Rankings'!$K107) + IF('Results and Rankings'!$L107="",NumberOfTeams+1,'Results and Rankings'!$L107) + 'Results and Rankings'!$I107)</f>
        <v/>
      </c>
      <c r="N107" s="70" t="str">
        <f>IF('Results and Rankings'!$A107="","",IF(M107,RANK(M107,M$3:M$202,1)-COUNTIF(M$3:M$202,0),NumberOfTeams+1))</f>
        <v/>
      </c>
      <c r="O107" s="72" t="str">
        <f t="array" ref="O107">XLOOKUP('Results and Rankings'!$A107,'Core Values Input'!$A$2:$A$201,'Core Values Input'!$W$2:$W$201,0,0,)</f>
        <v>#VALUE!</v>
      </c>
      <c r="P107" s="72" t="str">
        <f t="array" ref="P107">XLOOKUP('Results and Rankings'!$A107,'Core Values Input'!$A$2:$A$201,'Core Values Input'!$X$2:$X$201,0,0,)</f>
        <v>#VALUE!</v>
      </c>
      <c r="Q107" s="72" t="str">
        <f t="array" ref="Q107">XLOOKUP('Results and Rankings'!$A107,'Core Values Input'!$A$2:$A$201,'Core Values Input'!$Y$2:$Y$201,0,0,)</f>
        <v>#VALUE!</v>
      </c>
      <c r="R107" s="38"/>
      <c r="S107" s="38"/>
      <c r="T107" s="72"/>
      <c r="U107" s="69" t="str">
        <f t="array" ref="U107">XLOOKUP('Results and Rankings'!$A107,'Core Values Input'!$A$2:$A$201,'Core Values Input'!$U$2:$U$201,0,0,)</f>
        <v>#VALUE!</v>
      </c>
      <c r="V107" s="69" t="str">
        <f t="array" ref="V107">XLOOKUP('Results and Rankings'!$A107,'Innovation Project Input'!$A$2:$A$201,'Innovation Project Input'!$M$2:$M$201,0,0,)</f>
        <v>#VALUE!</v>
      </c>
      <c r="W107" s="69" t="str">
        <f t="array" ref="W107">XLOOKUP('Results and Rankings'!$A107,'Robot Design Input'!$A$2:$A$201,'Robot Design Input'!$M$2:$M$201,0,0,)</f>
        <v>#VALUE!</v>
      </c>
      <c r="X107" s="73">
        <f>IF(ISERR(GEOMEAN('Results and Rankings'!$H107,'Results and Rankings'!$U107,'Results and Rankings'!$V107,'Results and Rankings'!$W107)),0,GEOMEAN('Results and Rankings'!$H107,'Results and Rankings'!$U107,'Results and Rankings'!$V107,'Results and Rankings'!$W107))</f>
        <v>0</v>
      </c>
      <c r="Y107" s="74">
        <f>IF(X107,_xlfn.RANK.EQ(X107,X$3:X$110,0),NumberOfTeams)</f>
        <v>0</v>
      </c>
      <c r="Z107" s="38"/>
    </row>
    <row r="108" ht="21.0" customHeight="1">
      <c r="A108" s="67" t="str">
        <f t="array" ref="A108">XLOOKUP(106,'Team and Program Information'!$B$3:$B$202,'Team and Program Information'!$C$3:$C$202,"ERROR",0)</f>
        <v/>
      </c>
      <c r="B108" s="68" t="str">
        <f t="array" ref="B108">XLOOKUP('Results and Rankings'!$A108,'Team and Program Information'!$C$3:$C$202,'Team and Program Information'!$D$3:$D$202,"",0,)</f>
        <v>#VALUE!</v>
      </c>
      <c r="C108" s="69" t="str">
        <f t="array" ref="C108">IF('Results and Rankings'!$A108="","",XLOOKUP('Results and Rankings'!$A108,'Robot Game Scores'!$B$2:$B$201,'Robot Game Scores'!$D$2:$D$201,0,0,))</f>
        <v/>
      </c>
      <c r="D108" s="69" t="str">
        <f t="array" ref="D108">IF('Results and Rankings'!$A108="","",XLOOKUP('Results and Rankings'!$A108,'Robot Game Scores'!$B$2:$B$201,'Robot Game Scores'!$E$2:$E$201,0,0,))</f>
        <v/>
      </c>
      <c r="E108" s="69" t="str">
        <f t="array" ref="E108">IF('Results and Rankings'!$A108="","",XLOOKUP('Results and Rankings'!$A108,'Robot Game Scores'!$B$2:$B$201,'Robot Game Scores'!$F$2:$F$201,0,0,))</f>
        <v/>
      </c>
      <c r="F108" s="69" t="str">
        <f t="array" ref="F108">IF('Results and Rankings'!$A108="","",XLOOKUP('Results and Rankings'!$A108,'Robot Game Scores'!$B$2:$B$201,'Robot Game Scores'!$G$2:$G$201,0,0,))</f>
        <v/>
      </c>
      <c r="G108" s="69" t="str">
        <f t="array" ref="G108">IF('Results and Rankings'!$A108="","",XLOOKUP('Results and Rankings'!$A108,'Robot Game Scores'!$B$2:$B$201,'Robot Game Scores'!$H$2:$H$201,0,0,))</f>
        <v/>
      </c>
      <c r="H108" s="69" t="str">
        <f>IF('Results and Rankings'!$A108="","",IF(ISNA(LARGE('Results and Rankings'!$C108:$G108,1)+0.0001*LARGE('Results and Rankings'!$C108:$G108,2)+0.0000001*LARGE('Results and Rankings'!$C108:$G108,3)+1E-11*LARGE('Results and Rankings'!$C108:$G108,4)+1E-14*LARGE('Results and Rankings'!$C108:$G108,5)),0,LARGE('Results and Rankings'!$C108:$G108,1)+0.0001*LARGE('Results and Rankings'!$C108:$G108,2)+0.0000001*LARGE('Results and Rankings'!$C108:$G108,3)+1E-11*LARGE('Results and Rankings'!$C108:$G108,4)+1E-14*LARGE('Results and Rankings'!$C108:$G108,5)))</f>
        <v/>
      </c>
      <c r="I108" s="69" t="str">
        <f>IF('Results and Rankings'!$A108="","",_xlfn.RANK.EQ('Results and Rankings'!$H108,'Results and Rankings'!$H$3:$H$202))</f>
        <v/>
      </c>
      <c r="J108" s="69" t="str">
        <f t="array" ref="J108">IF('Results and Rankings'!$A108="","",XLOOKUP('Results and Rankings'!$A108,'Core Values Input'!$A$2:$A$201,'Core Values Input'!$V$2:$V$201,NumberOfTeams+1,0,))</f>
        <v/>
      </c>
      <c r="K108" s="69" t="str">
        <f t="array" ref="K108">IF('Results and Rankings'!$A108="","",XLOOKUP('Results and Rankings'!$A108,'Innovation Project Input'!$A$2:$A$201,'Innovation Project Input'!$N$2:$N$201,NumberOfTeams+1,0,))</f>
        <v/>
      </c>
      <c r="L108" s="69" t="str">
        <f t="array" ref="L108">IF('Results and Rankings'!$A108="","",XLOOKUP('Results and Rankings'!$A108,'Robot Design Input'!$A$2:$A$201,'Robot Design Input'!$N$2:$N$201,NumberOfTeams+1,0,))</f>
        <v/>
      </c>
      <c r="M108" s="69" t="str">
        <f> IF('Results and Rankings'!$A108="","",IF('Results and Rankings'!$J108="",NumberOfTeams+1,'Results and Rankings'!$J108) + IF('Results and Rankings'!$K108="",NumberOfTeams+1,'Results and Rankings'!$K108) + IF('Results and Rankings'!$L108="",NumberOfTeams+1,'Results and Rankings'!$L108) + 'Results and Rankings'!$I108)</f>
        <v/>
      </c>
      <c r="N108" s="70" t="str">
        <f>IF('Results and Rankings'!$A108="","",IF(M108,RANK(M108,M$3:M$202,1)-COUNTIF(M$3:M$202,0),NumberOfTeams+1))</f>
        <v/>
      </c>
      <c r="O108" s="72" t="str">
        <f t="array" ref="O108">XLOOKUP('Results and Rankings'!$A108,'Core Values Input'!$A$2:$A$201,'Core Values Input'!$W$2:$W$201,0,0,)</f>
        <v>#VALUE!</v>
      </c>
      <c r="P108" s="72" t="str">
        <f t="array" ref="P108">XLOOKUP('Results and Rankings'!$A108,'Core Values Input'!$A$2:$A$201,'Core Values Input'!$X$2:$X$201,0,0,)</f>
        <v>#VALUE!</v>
      </c>
      <c r="Q108" s="72" t="str">
        <f t="array" ref="Q108">XLOOKUP('Results and Rankings'!$A108,'Core Values Input'!$A$2:$A$201,'Core Values Input'!$Y$2:$Y$201,0,0,)</f>
        <v>#VALUE!</v>
      </c>
      <c r="R108" s="38"/>
      <c r="S108" s="38"/>
      <c r="T108" s="72"/>
      <c r="U108" s="69" t="str">
        <f t="array" ref="U108">XLOOKUP('Results and Rankings'!$A108,'Core Values Input'!$A$2:$A$201,'Core Values Input'!$U$2:$U$201,0,0,)</f>
        <v>#VALUE!</v>
      </c>
      <c r="V108" s="69" t="str">
        <f t="array" ref="V108">XLOOKUP('Results and Rankings'!$A108,'Innovation Project Input'!$A$2:$A$201,'Innovation Project Input'!$M$2:$M$201,0,0,)</f>
        <v>#VALUE!</v>
      </c>
      <c r="W108" s="69" t="str">
        <f t="array" ref="W108">XLOOKUP('Results and Rankings'!$A108,'Robot Design Input'!$A$2:$A$201,'Robot Design Input'!$M$2:$M$201,0,0,)</f>
        <v>#VALUE!</v>
      </c>
      <c r="X108" s="73">
        <f>IF(ISERR(GEOMEAN('Results and Rankings'!$H108,'Results and Rankings'!$U108,'Results and Rankings'!$V108,'Results and Rankings'!$W108)),0,GEOMEAN('Results and Rankings'!$H108,'Results and Rankings'!$U108,'Results and Rankings'!$V108,'Results and Rankings'!$W108))</f>
        <v>0</v>
      </c>
      <c r="Y108" s="74">
        <f>IF(X108,_xlfn.RANK.EQ(X108,X$3:X$110,0),NumberOfTeams)</f>
        <v>0</v>
      </c>
      <c r="Z108" s="38"/>
    </row>
    <row r="109" ht="21.0" customHeight="1">
      <c r="A109" s="67" t="str">
        <f t="array" ref="A109">XLOOKUP(107,'Team and Program Information'!$B$3:$B$202,'Team and Program Information'!$C$3:$C$202,"ERROR",0)</f>
        <v/>
      </c>
      <c r="B109" s="68" t="str">
        <f t="array" ref="B109">XLOOKUP('Results and Rankings'!$A109,'Team and Program Information'!$C$3:$C$202,'Team and Program Information'!$D$3:$D$202,"",0,)</f>
        <v>#VALUE!</v>
      </c>
      <c r="C109" s="69" t="str">
        <f t="array" ref="C109">IF('Results and Rankings'!$A109="","",XLOOKUP('Results and Rankings'!$A109,'Robot Game Scores'!$B$2:$B$201,'Robot Game Scores'!$D$2:$D$201,0,0,))</f>
        <v/>
      </c>
      <c r="D109" s="69" t="str">
        <f t="array" ref="D109">IF('Results and Rankings'!$A109="","",XLOOKUP('Results and Rankings'!$A109,'Robot Game Scores'!$B$2:$B$201,'Robot Game Scores'!$E$2:$E$201,0,0,))</f>
        <v/>
      </c>
      <c r="E109" s="69" t="str">
        <f t="array" ref="E109">IF('Results and Rankings'!$A109="","",XLOOKUP('Results and Rankings'!$A109,'Robot Game Scores'!$B$2:$B$201,'Robot Game Scores'!$F$2:$F$201,0,0,))</f>
        <v/>
      </c>
      <c r="F109" s="69" t="str">
        <f t="array" ref="F109">IF('Results and Rankings'!$A109="","",XLOOKUP('Results and Rankings'!$A109,'Robot Game Scores'!$B$2:$B$201,'Robot Game Scores'!$G$2:$G$201,0,0,))</f>
        <v/>
      </c>
      <c r="G109" s="69" t="str">
        <f t="array" ref="G109">IF('Results and Rankings'!$A109="","",XLOOKUP('Results and Rankings'!$A109,'Robot Game Scores'!$B$2:$B$201,'Robot Game Scores'!$H$2:$H$201,0,0,))</f>
        <v/>
      </c>
      <c r="H109" s="69" t="str">
        <f>IF('Results and Rankings'!$A109="","",IF(ISNA(LARGE('Results and Rankings'!$C109:$G109,1)+0.0001*LARGE('Results and Rankings'!$C109:$G109,2)+0.0000001*LARGE('Results and Rankings'!$C109:$G109,3)+1E-11*LARGE('Results and Rankings'!$C109:$G109,4)+1E-14*LARGE('Results and Rankings'!$C109:$G109,5)),0,LARGE('Results and Rankings'!$C109:$G109,1)+0.0001*LARGE('Results and Rankings'!$C109:$G109,2)+0.0000001*LARGE('Results and Rankings'!$C109:$G109,3)+1E-11*LARGE('Results and Rankings'!$C109:$G109,4)+1E-14*LARGE('Results and Rankings'!$C109:$G109,5)))</f>
        <v/>
      </c>
      <c r="I109" s="69" t="str">
        <f>IF('Results and Rankings'!$A109="","",_xlfn.RANK.EQ('Results and Rankings'!$H109,'Results and Rankings'!$H$3:$H$202))</f>
        <v/>
      </c>
      <c r="J109" s="69" t="str">
        <f t="array" ref="J109">IF('Results and Rankings'!$A109="","",XLOOKUP('Results and Rankings'!$A109,'Core Values Input'!$A$2:$A$201,'Core Values Input'!$V$2:$V$201,NumberOfTeams+1,0,))</f>
        <v/>
      </c>
      <c r="K109" s="69" t="str">
        <f t="array" ref="K109">IF('Results and Rankings'!$A109="","",XLOOKUP('Results and Rankings'!$A109,'Innovation Project Input'!$A$2:$A$201,'Innovation Project Input'!$N$2:$N$201,NumberOfTeams+1,0,))</f>
        <v/>
      </c>
      <c r="L109" s="69" t="str">
        <f t="array" ref="L109">IF('Results and Rankings'!$A109="","",XLOOKUP('Results and Rankings'!$A109,'Robot Design Input'!$A$2:$A$201,'Robot Design Input'!$N$2:$N$201,NumberOfTeams+1,0,))</f>
        <v/>
      </c>
      <c r="M109" s="69" t="str">
        <f> IF('Results and Rankings'!$A109="","",IF('Results and Rankings'!$J109="",NumberOfTeams+1,'Results and Rankings'!$J109) + IF('Results and Rankings'!$K109="",NumberOfTeams+1,'Results and Rankings'!$K109) + IF('Results and Rankings'!$L109="",NumberOfTeams+1,'Results and Rankings'!$L109) + 'Results and Rankings'!$I109)</f>
        <v/>
      </c>
      <c r="N109" s="70" t="str">
        <f>IF('Results and Rankings'!$A109="","",IF(M109,RANK(M109,M$3:M$202,1)-COUNTIF(M$3:M$202,0),NumberOfTeams+1))</f>
        <v/>
      </c>
      <c r="O109" s="72" t="str">
        <f t="array" ref="O109">XLOOKUP('Results and Rankings'!$A109,'Core Values Input'!$A$2:$A$201,'Core Values Input'!$W$2:$W$201,0,0,)</f>
        <v>#VALUE!</v>
      </c>
      <c r="P109" s="72" t="str">
        <f t="array" ref="P109">XLOOKUP('Results and Rankings'!$A109,'Core Values Input'!$A$2:$A$201,'Core Values Input'!$X$2:$X$201,0,0,)</f>
        <v>#VALUE!</v>
      </c>
      <c r="Q109" s="72" t="str">
        <f t="array" ref="Q109">XLOOKUP('Results and Rankings'!$A109,'Core Values Input'!$A$2:$A$201,'Core Values Input'!$Y$2:$Y$201,0,0,)</f>
        <v>#VALUE!</v>
      </c>
      <c r="R109" s="38"/>
      <c r="S109" s="38"/>
      <c r="T109" s="72"/>
      <c r="U109" s="69" t="str">
        <f t="array" ref="U109">XLOOKUP('Results and Rankings'!$A109,'Core Values Input'!$A$2:$A$201,'Core Values Input'!$U$2:$U$201,0,0,)</f>
        <v>#VALUE!</v>
      </c>
      <c r="V109" s="69" t="str">
        <f t="array" ref="V109">XLOOKUP('Results and Rankings'!$A109,'Innovation Project Input'!$A$2:$A$201,'Innovation Project Input'!$M$2:$M$201,0,0,)</f>
        <v>#VALUE!</v>
      </c>
      <c r="W109" s="69" t="str">
        <f t="array" ref="W109">XLOOKUP('Results and Rankings'!$A109,'Robot Design Input'!$A$2:$A$201,'Robot Design Input'!$M$2:$M$201,0,0,)</f>
        <v>#VALUE!</v>
      </c>
      <c r="X109" s="73">
        <f>IF(ISERR(GEOMEAN('Results and Rankings'!$H109,'Results and Rankings'!$U109,'Results and Rankings'!$V109,'Results and Rankings'!$W109)),0,GEOMEAN('Results and Rankings'!$H109,'Results and Rankings'!$U109,'Results and Rankings'!$V109,'Results and Rankings'!$W109))</f>
        <v>0</v>
      </c>
      <c r="Y109" s="74">
        <f>IF(X109,_xlfn.RANK.EQ(X109,X$3:X$110,0),NumberOfTeams)</f>
        <v>0</v>
      </c>
      <c r="Z109" s="38"/>
    </row>
    <row r="110" ht="21.0" customHeight="1">
      <c r="A110" s="67" t="str">
        <f t="array" ref="A110">XLOOKUP(108,'Team and Program Information'!$B$3:$B$202,'Team and Program Information'!$C$3:$C$202,"ERROR",0)</f>
        <v/>
      </c>
      <c r="B110" s="68" t="str">
        <f t="array" ref="B110">XLOOKUP('Results and Rankings'!$A110,'Team and Program Information'!$C$3:$C$202,'Team and Program Information'!$D$3:$D$202,"",0,)</f>
        <v>#VALUE!</v>
      </c>
      <c r="C110" s="69" t="str">
        <f t="array" ref="C110">IF('Results and Rankings'!$A110="","",XLOOKUP('Results and Rankings'!$A110,'Robot Game Scores'!$B$2:$B$201,'Robot Game Scores'!$D$2:$D$201,0,0,))</f>
        <v/>
      </c>
      <c r="D110" s="69" t="str">
        <f t="array" ref="D110">IF('Results and Rankings'!$A110="","",XLOOKUP('Results and Rankings'!$A110,'Robot Game Scores'!$B$2:$B$201,'Robot Game Scores'!$E$2:$E$201,0,0,))</f>
        <v/>
      </c>
      <c r="E110" s="69" t="str">
        <f t="array" ref="E110">IF('Results and Rankings'!$A110="","",XLOOKUP('Results and Rankings'!$A110,'Robot Game Scores'!$B$2:$B$201,'Robot Game Scores'!$F$2:$F$201,0,0,))</f>
        <v/>
      </c>
      <c r="F110" s="69" t="str">
        <f t="array" ref="F110">IF('Results and Rankings'!$A110="","",XLOOKUP('Results and Rankings'!$A110,'Robot Game Scores'!$B$2:$B$201,'Robot Game Scores'!$G$2:$G$201,0,0,))</f>
        <v/>
      </c>
      <c r="G110" s="69" t="str">
        <f t="array" ref="G110">IF('Results and Rankings'!$A110="","",XLOOKUP('Results and Rankings'!$A110,'Robot Game Scores'!$B$2:$B$201,'Robot Game Scores'!$H$2:$H$201,0,0,))</f>
        <v/>
      </c>
      <c r="H110" s="69" t="str">
        <f>IF('Results and Rankings'!$A110="","",IF(ISNA(LARGE('Results and Rankings'!$C110:$G110,1)+0.0001*LARGE('Results and Rankings'!$C110:$G110,2)+0.0000001*LARGE('Results and Rankings'!$C110:$G110,3)+1E-11*LARGE('Results and Rankings'!$C110:$G110,4)+1E-14*LARGE('Results and Rankings'!$C110:$G110,5)),0,LARGE('Results and Rankings'!$C110:$G110,1)+0.0001*LARGE('Results and Rankings'!$C110:$G110,2)+0.0000001*LARGE('Results and Rankings'!$C110:$G110,3)+1E-11*LARGE('Results and Rankings'!$C110:$G110,4)+1E-14*LARGE('Results and Rankings'!$C110:$G110,5)))</f>
        <v/>
      </c>
      <c r="I110" s="69" t="str">
        <f>IF('Results and Rankings'!$A110="","",_xlfn.RANK.EQ('Results and Rankings'!$H110,'Results and Rankings'!$H$3:$H$202))</f>
        <v/>
      </c>
      <c r="J110" s="69" t="str">
        <f t="array" ref="J110">IF('Results and Rankings'!$A110="","",XLOOKUP('Results and Rankings'!$A110,'Core Values Input'!$A$2:$A$201,'Core Values Input'!$V$2:$V$201,NumberOfTeams+1,0,))</f>
        <v/>
      </c>
      <c r="K110" s="69" t="str">
        <f t="array" ref="K110">IF('Results and Rankings'!$A110="","",XLOOKUP('Results and Rankings'!$A110,'Innovation Project Input'!$A$2:$A$201,'Innovation Project Input'!$N$2:$N$201,NumberOfTeams+1,0,))</f>
        <v/>
      </c>
      <c r="L110" s="69" t="str">
        <f t="array" ref="L110">IF('Results and Rankings'!$A110="","",XLOOKUP('Results and Rankings'!$A110,'Robot Design Input'!$A$2:$A$201,'Robot Design Input'!$N$2:$N$201,NumberOfTeams+1,0,))</f>
        <v/>
      </c>
      <c r="M110" s="69" t="str">
        <f> IF('Results and Rankings'!$A110="","",IF('Results and Rankings'!$J110="",NumberOfTeams+1,'Results and Rankings'!$J110) + IF('Results and Rankings'!$K110="",NumberOfTeams+1,'Results and Rankings'!$K110) + IF('Results and Rankings'!$L110="",NumberOfTeams+1,'Results and Rankings'!$L110) + 'Results and Rankings'!$I110)</f>
        <v/>
      </c>
      <c r="N110" s="70" t="str">
        <f>IF('Results and Rankings'!$A110="","",IF(M110,RANK(M110,M$3:M$202,1)-COUNTIF(M$3:M$202,0),NumberOfTeams+1))</f>
        <v/>
      </c>
      <c r="O110" s="72" t="str">
        <f t="array" ref="O110">XLOOKUP('Results and Rankings'!$A110,'Core Values Input'!$A$2:$A$201,'Core Values Input'!$W$2:$W$201,0,0,)</f>
        <v>#VALUE!</v>
      </c>
      <c r="P110" s="72" t="str">
        <f t="array" ref="P110">XLOOKUP('Results and Rankings'!$A110,'Core Values Input'!$A$2:$A$201,'Core Values Input'!$X$2:$X$201,0,0,)</f>
        <v>#VALUE!</v>
      </c>
      <c r="Q110" s="72" t="str">
        <f t="array" ref="Q110">XLOOKUP('Results and Rankings'!$A110,'Core Values Input'!$A$2:$A$201,'Core Values Input'!$Y$2:$Y$201,0,0,)</f>
        <v>#VALUE!</v>
      </c>
      <c r="R110" s="38"/>
      <c r="S110" s="38"/>
      <c r="T110" s="72"/>
      <c r="U110" s="69" t="str">
        <f t="array" ref="U110">XLOOKUP('Results and Rankings'!$A110,'Core Values Input'!$A$2:$A$201,'Core Values Input'!$U$2:$U$201,0,0,)</f>
        <v>#VALUE!</v>
      </c>
      <c r="V110" s="69" t="str">
        <f t="array" ref="V110">XLOOKUP('Results and Rankings'!$A110,'Innovation Project Input'!$A$2:$A$201,'Innovation Project Input'!$M$2:$M$201,0,0,)</f>
        <v>#VALUE!</v>
      </c>
      <c r="W110" s="69" t="str">
        <f t="array" ref="W110">XLOOKUP('Results and Rankings'!$A110,'Robot Design Input'!$A$2:$A$201,'Robot Design Input'!$M$2:$M$201,0,0,)</f>
        <v>#VALUE!</v>
      </c>
      <c r="X110" s="73">
        <f>IF(ISERR(GEOMEAN('Results and Rankings'!$H110,'Results and Rankings'!$U110,'Results and Rankings'!$V110,'Results and Rankings'!$W110)),0,GEOMEAN('Results and Rankings'!$H110,'Results and Rankings'!$U110,'Results and Rankings'!$V110,'Results and Rankings'!$W110))</f>
        <v>0</v>
      </c>
      <c r="Y110" s="74">
        <f>IF(X110,_xlfn.RANK.EQ(X110,X$3:X$110,0),NumberOfTeams)</f>
        <v>0</v>
      </c>
      <c r="Z110" s="38"/>
    </row>
    <row r="111" ht="21.0" customHeight="1">
      <c r="A111" s="67" t="str">
        <f t="array" ref="A111">XLOOKUP(109,'Team and Program Information'!$B$3:$B$202,'Team and Program Information'!$C$3:$C$202,"ERROR",0)</f>
        <v/>
      </c>
      <c r="B111" s="68" t="str">
        <f t="array" ref="B111">XLOOKUP('Results and Rankings'!$A111,'Team and Program Information'!$C$3:$C$202,'Team and Program Information'!$D$3:$D$202,"",0,)</f>
        <v>#VALUE!</v>
      </c>
      <c r="C111" s="69" t="str">
        <f t="array" ref="C111">IF('Results and Rankings'!$A111="","",XLOOKUP('Results and Rankings'!$A111,'Robot Game Scores'!$B$2:$B$201,'Robot Game Scores'!$D$2:$D$201,0,0,))</f>
        <v/>
      </c>
      <c r="D111" s="69" t="str">
        <f t="array" ref="D111">IF('Results and Rankings'!$A111="","",XLOOKUP('Results and Rankings'!$A111,'Robot Game Scores'!$B$2:$B$201,'Robot Game Scores'!$E$2:$E$201,0,0,))</f>
        <v/>
      </c>
      <c r="E111" s="69" t="str">
        <f t="array" ref="E111">IF('Results and Rankings'!$A111="","",XLOOKUP('Results and Rankings'!$A111,'Robot Game Scores'!$B$2:$B$201,'Robot Game Scores'!$F$2:$F$201,0,0,))</f>
        <v/>
      </c>
      <c r="F111" s="69" t="str">
        <f t="array" ref="F111">IF('Results and Rankings'!$A111="","",XLOOKUP('Results and Rankings'!$A111,'Robot Game Scores'!$B$2:$B$201,'Robot Game Scores'!$G$2:$G$201,0,0,))</f>
        <v/>
      </c>
      <c r="G111" s="69" t="str">
        <f t="array" ref="G111">IF('Results and Rankings'!$A111="","",XLOOKUP('Results and Rankings'!$A111,'Robot Game Scores'!$B$2:$B$201,'Robot Game Scores'!$H$2:$H$201,0,0,))</f>
        <v/>
      </c>
      <c r="H111" s="69" t="str">
        <f>IF('Results and Rankings'!$A111="","",IF(ISNA(LARGE('Results and Rankings'!$C111:$G111,1)+0.0001*LARGE('Results and Rankings'!$C111:$G111,2)+0.0000001*LARGE('Results and Rankings'!$C111:$G111,3)+1E-11*LARGE('Results and Rankings'!$C111:$G111,4)+1E-14*LARGE('Results and Rankings'!$C111:$G111,5)),0,LARGE('Results and Rankings'!$C111:$G111,1)+0.0001*LARGE('Results and Rankings'!$C111:$G111,2)+0.0000001*LARGE('Results and Rankings'!$C111:$G111,3)+1E-11*LARGE('Results and Rankings'!$C111:$G111,4)+1E-14*LARGE('Results and Rankings'!$C111:$G111,5)))</f>
        <v/>
      </c>
      <c r="I111" s="69" t="str">
        <f>IF('Results and Rankings'!$A111="","",_xlfn.RANK.EQ('Results and Rankings'!$H111,'Results and Rankings'!$H$3:$H$202))</f>
        <v/>
      </c>
      <c r="J111" s="69" t="str">
        <f t="array" ref="J111">IF('Results and Rankings'!$A111="","",XLOOKUP('Results and Rankings'!$A111,'Core Values Input'!$A$2:$A$201,'Core Values Input'!$V$2:$V$201,NumberOfTeams+1,0,))</f>
        <v/>
      </c>
      <c r="K111" s="69" t="str">
        <f t="array" ref="K111">IF('Results and Rankings'!$A111="","",XLOOKUP('Results and Rankings'!$A111,'Innovation Project Input'!$A$2:$A$201,'Innovation Project Input'!$N$2:$N$201,NumberOfTeams+1,0,))</f>
        <v/>
      </c>
      <c r="L111" s="69" t="str">
        <f t="array" ref="L111">IF('Results and Rankings'!$A111="","",XLOOKUP('Results and Rankings'!$A111,'Robot Design Input'!$A$2:$A$201,'Robot Design Input'!$N$2:$N$201,NumberOfTeams+1,0,))</f>
        <v/>
      </c>
      <c r="M111" s="69" t="str">
        <f> IF('Results and Rankings'!$A111="","",IF('Results and Rankings'!$J111="",NumberOfTeams+1,'Results and Rankings'!$J111) + IF('Results and Rankings'!$K111="",NumberOfTeams+1,'Results and Rankings'!$K111) + IF('Results and Rankings'!$L111="",NumberOfTeams+1,'Results and Rankings'!$L111) + 'Results and Rankings'!$I111)</f>
        <v/>
      </c>
      <c r="N111" s="70" t="str">
        <f>IF('Results and Rankings'!$A111="","",IF(M111,RANK(M111,M$3:M$202,1)-COUNTIF(M$3:M$202,0),NumberOfTeams+1))</f>
        <v/>
      </c>
      <c r="O111" s="72" t="str">
        <f t="array" ref="O111">XLOOKUP('Results and Rankings'!$A111,'Core Values Input'!$A$2:$A$201,'Core Values Input'!$W$2:$W$201,0,0,)</f>
        <v>#VALUE!</v>
      </c>
      <c r="P111" s="72" t="str">
        <f t="array" ref="P111">XLOOKUP('Results and Rankings'!$A111,'Core Values Input'!$A$2:$A$201,'Core Values Input'!$X$2:$X$201,0,0,)</f>
        <v>#VALUE!</v>
      </c>
      <c r="Q111" s="72" t="str">
        <f t="array" ref="Q111">XLOOKUP('Results and Rankings'!$A111,'Core Values Input'!$A$2:$A$201,'Core Values Input'!$Y$2:$Y$201,0,0,)</f>
        <v>#VALUE!</v>
      </c>
      <c r="R111" s="38"/>
      <c r="S111" s="38"/>
      <c r="T111" s="72"/>
      <c r="U111" s="69" t="str">
        <f t="array" ref="U111">XLOOKUP('Results and Rankings'!$A111,'Core Values Input'!$A$2:$A$201,'Core Values Input'!$U$2:$U$201,0,0,)</f>
        <v>#VALUE!</v>
      </c>
      <c r="V111" s="69" t="str">
        <f t="array" ref="V111">XLOOKUP('Results and Rankings'!$A111,'Innovation Project Input'!$A$2:$A$201,'Innovation Project Input'!$M$2:$M$201,0,0,)</f>
        <v>#VALUE!</v>
      </c>
      <c r="W111" s="69" t="str">
        <f t="array" ref="W111">XLOOKUP('Results and Rankings'!$A111,'Robot Design Input'!$A$2:$A$201,'Robot Design Input'!$M$2:$M$201,0,0,)</f>
        <v>#VALUE!</v>
      </c>
      <c r="X111" s="73">
        <f>IF(ISERR(GEOMEAN('Results and Rankings'!$H111,'Results and Rankings'!$U111,'Results and Rankings'!$V111,'Results and Rankings'!$W111)),0,GEOMEAN('Results and Rankings'!$H111,'Results and Rankings'!$U111,'Results and Rankings'!$V111,'Results and Rankings'!$W111))</f>
        <v>0</v>
      </c>
      <c r="Y111" s="38">
        <f>IF(X111,_xlfn.RANK.EQ(X111,X$3:X$110,0),NumberOfTeams)</f>
        <v>0</v>
      </c>
      <c r="Z111" s="38"/>
    </row>
    <row r="112" ht="21.0" customHeight="1">
      <c r="A112" s="67" t="str">
        <f t="array" ref="A112">XLOOKUP(110,'Team and Program Information'!$B$3:$B$202,'Team and Program Information'!$C$3:$C$202,"ERROR",0)</f>
        <v/>
      </c>
      <c r="B112" s="68" t="str">
        <f t="array" ref="B112">XLOOKUP('Results and Rankings'!$A112,'Team and Program Information'!$C$3:$C$202,'Team and Program Information'!$D$3:$D$202,"",0,)</f>
        <v>#VALUE!</v>
      </c>
      <c r="C112" s="69" t="str">
        <f t="array" ref="C112">IF('Results and Rankings'!$A112="","",XLOOKUP('Results and Rankings'!$A112,'Robot Game Scores'!$B$2:$B$201,'Robot Game Scores'!$D$2:$D$201,0,0,))</f>
        <v/>
      </c>
      <c r="D112" s="69" t="str">
        <f t="array" ref="D112">IF('Results and Rankings'!$A112="","",XLOOKUP('Results and Rankings'!$A112,'Robot Game Scores'!$B$2:$B$201,'Robot Game Scores'!$E$2:$E$201,0,0,))</f>
        <v/>
      </c>
      <c r="E112" s="69" t="str">
        <f t="array" ref="E112">IF('Results and Rankings'!$A112="","",XLOOKUP('Results and Rankings'!$A112,'Robot Game Scores'!$B$2:$B$201,'Robot Game Scores'!$F$2:$F$201,0,0,))</f>
        <v/>
      </c>
      <c r="F112" s="69" t="str">
        <f t="array" ref="F112">IF('Results and Rankings'!$A112="","",XLOOKUP('Results and Rankings'!$A112,'Robot Game Scores'!$B$2:$B$201,'Robot Game Scores'!$G$2:$G$201,0,0,))</f>
        <v/>
      </c>
      <c r="G112" s="69" t="str">
        <f t="array" ref="G112">IF('Results and Rankings'!$A112="","",XLOOKUP('Results and Rankings'!$A112,'Robot Game Scores'!$B$2:$B$201,'Robot Game Scores'!$H$2:$H$201,0,0,))</f>
        <v/>
      </c>
      <c r="H112" s="69" t="str">
        <f>IF('Results and Rankings'!$A112="","",IF(ISNA(LARGE('Results and Rankings'!$C112:$G112,1)+0.0001*LARGE('Results and Rankings'!$C112:$G112,2)+0.0000001*LARGE('Results and Rankings'!$C112:$G112,3)+1E-11*LARGE('Results and Rankings'!$C112:$G112,4)+1E-14*LARGE('Results and Rankings'!$C112:$G112,5)),0,LARGE('Results and Rankings'!$C112:$G112,1)+0.0001*LARGE('Results and Rankings'!$C112:$G112,2)+0.0000001*LARGE('Results and Rankings'!$C112:$G112,3)+1E-11*LARGE('Results and Rankings'!$C112:$G112,4)+1E-14*LARGE('Results and Rankings'!$C112:$G112,5)))</f>
        <v/>
      </c>
      <c r="I112" s="69" t="str">
        <f>IF('Results and Rankings'!$A112="","",_xlfn.RANK.EQ('Results and Rankings'!$H112,'Results and Rankings'!$H$3:$H$202))</f>
        <v/>
      </c>
      <c r="J112" s="69" t="str">
        <f t="array" ref="J112">IF('Results and Rankings'!$A112="","",XLOOKUP('Results and Rankings'!$A112,'Core Values Input'!$A$2:$A$201,'Core Values Input'!$V$2:$V$201,NumberOfTeams+1,0,))</f>
        <v/>
      </c>
      <c r="K112" s="69" t="str">
        <f t="array" ref="K112">IF('Results and Rankings'!$A112="","",XLOOKUP('Results and Rankings'!$A112,'Innovation Project Input'!$A$2:$A$201,'Innovation Project Input'!$N$2:$N$201,NumberOfTeams+1,0,))</f>
        <v/>
      </c>
      <c r="L112" s="69" t="str">
        <f t="array" ref="L112">IF('Results and Rankings'!$A112="","",XLOOKUP('Results and Rankings'!$A112,'Robot Design Input'!$A$2:$A$201,'Robot Design Input'!$N$2:$N$201,NumberOfTeams+1,0,))</f>
        <v/>
      </c>
      <c r="M112" s="69" t="str">
        <f> IF('Results and Rankings'!$A112="","",IF('Results and Rankings'!$J112="",NumberOfTeams+1,'Results and Rankings'!$J112) + IF('Results and Rankings'!$K112="",NumberOfTeams+1,'Results and Rankings'!$K112) + IF('Results and Rankings'!$L112="",NumberOfTeams+1,'Results and Rankings'!$L112) + 'Results and Rankings'!$I112)</f>
        <v/>
      </c>
      <c r="N112" s="70" t="str">
        <f>IF('Results and Rankings'!$A112="","",IF(M112,RANK(M112,M$3:M$202,1)-COUNTIF(M$3:M$202,0),NumberOfTeams+1))</f>
        <v/>
      </c>
      <c r="O112" s="72" t="str">
        <f t="array" ref="O112">XLOOKUP('Results and Rankings'!$A112,'Core Values Input'!$A$2:$A$201,'Core Values Input'!$W$2:$W$201,0,0,)</f>
        <v>#VALUE!</v>
      </c>
      <c r="P112" s="72" t="str">
        <f t="array" ref="P112">XLOOKUP('Results and Rankings'!$A112,'Core Values Input'!$A$2:$A$201,'Core Values Input'!$X$2:$X$201,0,0,)</f>
        <v>#VALUE!</v>
      </c>
      <c r="Q112" s="72" t="str">
        <f t="array" ref="Q112">XLOOKUP('Results and Rankings'!$A112,'Core Values Input'!$A$2:$A$201,'Core Values Input'!$Y$2:$Y$201,0,0,)</f>
        <v>#VALUE!</v>
      </c>
      <c r="R112" s="38"/>
      <c r="S112" s="38"/>
      <c r="T112" s="72"/>
      <c r="U112" s="69" t="str">
        <f t="array" ref="U112">XLOOKUP('Results and Rankings'!$A112,'Core Values Input'!$A$2:$A$201,'Core Values Input'!$U$2:$U$201,0,0,)</f>
        <v>#VALUE!</v>
      </c>
      <c r="V112" s="69" t="str">
        <f t="array" ref="V112">XLOOKUP('Results and Rankings'!$A112,'Innovation Project Input'!$A$2:$A$201,'Innovation Project Input'!$M$2:$M$201,0,0,)</f>
        <v>#VALUE!</v>
      </c>
      <c r="W112" s="69" t="str">
        <f t="array" ref="W112">XLOOKUP('Results and Rankings'!$A112,'Robot Design Input'!$A$2:$A$201,'Robot Design Input'!$M$2:$M$201,0,0,)</f>
        <v>#VALUE!</v>
      </c>
      <c r="X112" s="73">
        <f>IF(ISERR(GEOMEAN('Results and Rankings'!$H112,'Results and Rankings'!$U112,'Results and Rankings'!$V112,'Results and Rankings'!$W112)),0,GEOMEAN('Results and Rankings'!$H112,'Results and Rankings'!$U112,'Results and Rankings'!$V112,'Results and Rankings'!$W112))</f>
        <v>0</v>
      </c>
      <c r="Y112" s="38">
        <f>IF(X112,_xlfn.RANK.EQ(X112,X$3:X$110,0),NumberOfTeams)</f>
        <v>0</v>
      </c>
      <c r="Z112" s="38"/>
    </row>
    <row r="113" ht="21.0" customHeight="1">
      <c r="A113" s="67" t="str">
        <f t="array" ref="A113">XLOOKUP(111,'Team and Program Information'!$B$3:$B$202,'Team and Program Information'!$C$3:$C$202,"ERROR",0)</f>
        <v/>
      </c>
      <c r="B113" s="68" t="str">
        <f t="array" ref="B113">XLOOKUP('Results and Rankings'!$A113,'Team and Program Information'!$C$3:$C$202,'Team and Program Information'!$D$3:$D$202,"",0,)</f>
        <v>#VALUE!</v>
      </c>
      <c r="C113" s="69" t="str">
        <f t="array" ref="C113">IF('Results and Rankings'!$A113="","",XLOOKUP('Results and Rankings'!$A113,'Robot Game Scores'!$B$2:$B$201,'Robot Game Scores'!$D$2:$D$201,0,0,))</f>
        <v/>
      </c>
      <c r="D113" s="69" t="str">
        <f t="array" ref="D113">IF('Results and Rankings'!$A113="","",XLOOKUP('Results and Rankings'!$A113,'Robot Game Scores'!$B$2:$B$201,'Robot Game Scores'!$E$2:$E$201,0,0,))</f>
        <v/>
      </c>
      <c r="E113" s="69" t="str">
        <f t="array" ref="E113">IF('Results and Rankings'!$A113="","",XLOOKUP('Results and Rankings'!$A113,'Robot Game Scores'!$B$2:$B$201,'Robot Game Scores'!$F$2:$F$201,0,0,))</f>
        <v/>
      </c>
      <c r="F113" s="69" t="str">
        <f t="array" ref="F113">IF('Results and Rankings'!$A113="","",XLOOKUP('Results and Rankings'!$A113,'Robot Game Scores'!$B$2:$B$201,'Robot Game Scores'!$G$2:$G$201,0,0,))</f>
        <v/>
      </c>
      <c r="G113" s="69" t="str">
        <f t="array" ref="G113">IF('Results and Rankings'!$A113="","",XLOOKUP('Results and Rankings'!$A113,'Robot Game Scores'!$B$2:$B$201,'Robot Game Scores'!$H$2:$H$201,0,0,))</f>
        <v/>
      </c>
      <c r="H113" s="69" t="str">
        <f>IF('Results and Rankings'!$A113="","",IF(ISNA(LARGE('Results and Rankings'!$C113:$G113,1)+0.0001*LARGE('Results and Rankings'!$C113:$G113,2)+0.0000001*LARGE('Results and Rankings'!$C113:$G113,3)+1E-11*LARGE('Results and Rankings'!$C113:$G113,4)+1E-14*LARGE('Results and Rankings'!$C113:$G113,5)),0,LARGE('Results and Rankings'!$C113:$G113,1)+0.0001*LARGE('Results and Rankings'!$C113:$G113,2)+0.0000001*LARGE('Results and Rankings'!$C113:$G113,3)+1E-11*LARGE('Results and Rankings'!$C113:$G113,4)+1E-14*LARGE('Results and Rankings'!$C113:$G113,5)))</f>
        <v/>
      </c>
      <c r="I113" s="69" t="str">
        <f>IF('Results and Rankings'!$A113="","",_xlfn.RANK.EQ('Results and Rankings'!$H113,'Results and Rankings'!$H$3:$H$202))</f>
        <v/>
      </c>
      <c r="J113" s="69" t="str">
        <f t="array" ref="J113">IF('Results and Rankings'!$A113="","",XLOOKUP('Results and Rankings'!$A113,'Core Values Input'!$A$2:$A$201,'Core Values Input'!$V$2:$V$201,NumberOfTeams+1,0,))</f>
        <v/>
      </c>
      <c r="K113" s="69" t="str">
        <f t="array" ref="K113">IF('Results and Rankings'!$A113="","",XLOOKUP('Results and Rankings'!$A113,'Innovation Project Input'!$A$2:$A$201,'Innovation Project Input'!$N$2:$N$201,NumberOfTeams+1,0,))</f>
        <v/>
      </c>
      <c r="L113" s="69" t="str">
        <f t="array" ref="L113">IF('Results and Rankings'!$A113="","",XLOOKUP('Results and Rankings'!$A113,'Robot Design Input'!$A$2:$A$201,'Robot Design Input'!$N$2:$N$201,NumberOfTeams+1,0,))</f>
        <v/>
      </c>
      <c r="M113" s="69" t="str">
        <f> IF('Results and Rankings'!$A113="","",IF('Results and Rankings'!$J113="",NumberOfTeams+1,'Results and Rankings'!$J113) + IF('Results and Rankings'!$K113="",NumberOfTeams+1,'Results and Rankings'!$K113) + IF('Results and Rankings'!$L113="",NumberOfTeams+1,'Results and Rankings'!$L113) + 'Results and Rankings'!$I113)</f>
        <v/>
      </c>
      <c r="N113" s="70" t="str">
        <f>IF('Results and Rankings'!$A113="","",IF(M113,RANK(M113,M$3:M$202,1)-COUNTIF(M$3:M$202,0),NumberOfTeams+1))</f>
        <v/>
      </c>
      <c r="O113" s="72" t="str">
        <f t="array" ref="O113">XLOOKUP('Results and Rankings'!$A113,'Core Values Input'!$A$2:$A$201,'Core Values Input'!$W$2:$W$201,0,0,)</f>
        <v>#VALUE!</v>
      </c>
      <c r="P113" s="72" t="str">
        <f t="array" ref="P113">XLOOKUP('Results and Rankings'!$A113,'Core Values Input'!$A$2:$A$201,'Core Values Input'!$X$2:$X$201,0,0,)</f>
        <v>#VALUE!</v>
      </c>
      <c r="Q113" s="72" t="str">
        <f t="array" ref="Q113">XLOOKUP('Results and Rankings'!$A113,'Core Values Input'!$A$2:$A$201,'Core Values Input'!$Y$2:$Y$201,0,0,)</f>
        <v>#VALUE!</v>
      </c>
      <c r="R113" s="38"/>
      <c r="S113" s="38"/>
      <c r="T113" s="72"/>
      <c r="U113" s="69" t="str">
        <f t="array" ref="U113">XLOOKUP('Results and Rankings'!$A113,'Core Values Input'!$A$2:$A$201,'Core Values Input'!$U$2:$U$201,0,0,)</f>
        <v>#VALUE!</v>
      </c>
      <c r="V113" s="69" t="str">
        <f t="array" ref="V113">XLOOKUP('Results and Rankings'!$A113,'Innovation Project Input'!$A$2:$A$201,'Innovation Project Input'!$M$2:$M$201,0,0,)</f>
        <v>#VALUE!</v>
      </c>
      <c r="W113" s="69" t="str">
        <f t="array" ref="W113">XLOOKUP('Results and Rankings'!$A113,'Robot Design Input'!$A$2:$A$201,'Robot Design Input'!$M$2:$M$201,0,0,)</f>
        <v>#VALUE!</v>
      </c>
      <c r="X113" s="73">
        <f>IF(ISERR(GEOMEAN('Results and Rankings'!$H113,'Results and Rankings'!$U113,'Results and Rankings'!$V113,'Results and Rankings'!$W113)),0,GEOMEAN('Results and Rankings'!$H113,'Results and Rankings'!$U113,'Results and Rankings'!$V113,'Results and Rankings'!$W113))</f>
        <v>0</v>
      </c>
      <c r="Y113" s="38">
        <f>IF(X113,_xlfn.RANK.EQ(X113,X$3:X$110,0),NumberOfTeams)</f>
        <v>0</v>
      </c>
      <c r="Z113" s="38"/>
    </row>
    <row r="114" ht="21.0" customHeight="1">
      <c r="A114" s="67" t="str">
        <f t="array" ref="A114">XLOOKUP(112,'Team and Program Information'!$B$3:$B$202,'Team and Program Information'!$C$3:$C$202,"ERROR",0)</f>
        <v/>
      </c>
      <c r="B114" s="68" t="str">
        <f t="array" ref="B114">XLOOKUP('Results and Rankings'!$A114,'Team and Program Information'!$C$3:$C$202,'Team and Program Information'!$D$3:$D$202,"",0,)</f>
        <v>#VALUE!</v>
      </c>
      <c r="C114" s="69" t="str">
        <f t="array" ref="C114">IF('Results and Rankings'!$A114="","",XLOOKUP('Results and Rankings'!$A114,'Robot Game Scores'!$B$2:$B$201,'Robot Game Scores'!$D$2:$D$201,0,0,))</f>
        <v/>
      </c>
      <c r="D114" s="69" t="str">
        <f t="array" ref="D114">IF('Results and Rankings'!$A114="","",XLOOKUP('Results and Rankings'!$A114,'Robot Game Scores'!$B$2:$B$201,'Robot Game Scores'!$E$2:$E$201,0,0,))</f>
        <v/>
      </c>
      <c r="E114" s="69" t="str">
        <f t="array" ref="E114">IF('Results and Rankings'!$A114="","",XLOOKUP('Results and Rankings'!$A114,'Robot Game Scores'!$B$2:$B$201,'Robot Game Scores'!$F$2:$F$201,0,0,))</f>
        <v/>
      </c>
      <c r="F114" s="69" t="str">
        <f t="array" ref="F114">IF('Results and Rankings'!$A114="","",XLOOKUP('Results and Rankings'!$A114,'Robot Game Scores'!$B$2:$B$201,'Robot Game Scores'!$G$2:$G$201,0,0,))</f>
        <v/>
      </c>
      <c r="G114" s="69" t="str">
        <f t="array" ref="G114">IF('Results and Rankings'!$A114="","",XLOOKUP('Results and Rankings'!$A114,'Robot Game Scores'!$B$2:$B$201,'Robot Game Scores'!$H$2:$H$201,0,0,))</f>
        <v/>
      </c>
      <c r="H114" s="69" t="str">
        <f>IF('Results and Rankings'!$A114="","",IF(ISNA(LARGE('Results and Rankings'!$C114:$G114,1)+0.0001*LARGE('Results and Rankings'!$C114:$G114,2)+0.0000001*LARGE('Results and Rankings'!$C114:$G114,3)+1E-11*LARGE('Results and Rankings'!$C114:$G114,4)+1E-14*LARGE('Results and Rankings'!$C114:$G114,5)),0,LARGE('Results and Rankings'!$C114:$G114,1)+0.0001*LARGE('Results and Rankings'!$C114:$G114,2)+0.0000001*LARGE('Results and Rankings'!$C114:$G114,3)+1E-11*LARGE('Results and Rankings'!$C114:$G114,4)+1E-14*LARGE('Results and Rankings'!$C114:$G114,5)))</f>
        <v/>
      </c>
      <c r="I114" s="69" t="str">
        <f>IF('Results and Rankings'!$A114="","",_xlfn.RANK.EQ('Results and Rankings'!$H114,'Results and Rankings'!$H$3:$H$202))</f>
        <v/>
      </c>
      <c r="J114" s="69" t="str">
        <f t="array" ref="J114">IF('Results and Rankings'!$A114="","",XLOOKUP('Results and Rankings'!$A114,'Core Values Input'!$A$2:$A$201,'Core Values Input'!$V$2:$V$201,NumberOfTeams+1,0,))</f>
        <v/>
      </c>
      <c r="K114" s="69" t="str">
        <f t="array" ref="K114">IF('Results and Rankings'!$A114="","",XLOOKUP('Results and Rankings'!$A114,'Innovation Project Input'!$A$2:$A$201,'Innovation Project Input'!$N$2:$N$201,NumberOfTeams+1,0,))</f>
        <v/>
      </c>
      <c r="L114" s="69" t="str">
        <f t="array" ref="L114">IF('Results and Rankings'!$A114="","",XLOOKUP('Results and Rankings'!$A114,'Robot Design Input'!$A$2:$A$201,'Robot Design Input'!$N$2:$N$201,NumberOfTeams+1,0,))</f>
        <v/>
      </c>
      <c r="M114" s="69" t="str">
        <f> IF('Results and Rankings'!$A114="","",IF('Results and Rankings'!$J114="",NumberOfTeams+1,'Results and Rankings'!$J114) + IF('Results and Rankings'!$K114="",NumberOfTeams+1,'Results and Rankings'!$K114) + IF('Results and Rankings'!$L114="",NumberOfTeams+1,'Results and Rankings'!$L114) + 'Results and Rankings'!$I114)</f>
        <v/>
      </c>
      <c r="N114" s="70" t="str">
        <f>IF('Results and Rankings'!$A114="","",IF(M114,RANK(M114,M$3:M$202,1)-COUNTIF(M$3:M$202,0),NumberOfTeams+1))</f>
        <v/>
      </c>
      <c r="O114" s="72" t="str">
        <f t="array" ref="O114">XLOOKUP('Results and Rankings'!$A114,'Core Values Input'!$A$2:$A$201,'Core Values Input'!$W$2:$W$201,0,0,)</f>
        <v>#VALUE!</v>
      </c>
      <c r="P114" s="72" t="str">
        <f t="array" ref="P114">XLOOKUP('Results and Rankings'!$A114,'Core Values Input'!$A$2:$A$201,'Core Values Input'!$X$2:$X$201,0,0,)</f>
        <v>#VALUE!</v>
      </c>
      <c r="Q114" s="72" t="str">
        <f t="array" ref="Q114">XLOOKUP('Results and Rankings'!$A114,'Core Values Input'!$A$2:$A$201,'Core Values Input'!$Y$2:$Y$201,0,0,)</f>
        <v>#VALUE!</v>
      </c>
      <c r="R114" s="38"/>
      <c r="S114" s="38"/>
      <c r="T114" s="72"/>
      <c r="U114" s="69" t="str">
        <f t="array" ref="U114">XLOOKUP('Results and Rankings'!$A114,'Core Values Input'!$A$2:$A$201,'Core Values Input'!$U$2:$U$201,0,0,)</f>
        <v>#VALUE!</v>
      </c>
      <c r="V114" s="69" t="str">
        <f t="array" ref="V114">XLOOKUP('Results and Rankings'!$A114,'Innovation Project Input'!$A$2:$A$201,'Innovation Project Input'!$M$2:$M$201,0,0,)</f>
        <v>#VALUE!</v>
      </c>
      <c r="W114" s="69" t="str">
        <f t="array" ref="W114">XLOOKUP('Results and Rankings'!$A114,'Robot Design Input'!$A$2:$A$201,'Robot Design Input'!$M$2:$M$201,0,0,)</f>
        <v>#VALUE!</v>
      </c>
      <c r="X114" s="73">
        <f>IF(ISERR(GEOMEAN('Results and Rankings'!$H114,'Results and Rankings'!$U114,'Results and Rankings'!$V114,'Results and Rankings'!$W114)),0,GEOMEAN('Results and Rankings'!$H114,'Results and Rankings'!$U114,'Results and Rankings'!$V114,'Results and Rankings'!$W114))</f>
        <v>0</v>
      </c>
      <c r="Y114" s="38">
        <f>IF(X114,_xlfn.RANK.EQ(X114,X$3:X$110,0),NumberOfTeams)</f>
        <v>0</v>
      </c>
      <c r="Z114" s="38"/>
    </row>
    <row r="115" ht="21.0" customHeight="1">
      <c r="A115" s="67" t="str">
        <f t="array" ref="A115">XLOOKUP(113,'Team and Program Information'!$B$3:$B$202,'Team and Program Information'!$C$3:$C$202,"ERROR",0)</f>
        <v/>
      </c>
      <c r="B115" s="68" t="str">
        <f t="array" ref="B115">XLOOKUP('Results and Rankings'!$A115,'Team and Program Information'!$C$3:$C$202,'Team and Program Information'!$D$3:$D$202,"",0,)</f>
        <v>#VALUE!</v>
      </c>
      <c r="C115" s="69" t="str">
        <f t="array" ref="C115">IF('Results and Rankings'!$A115="","",XLOOKUP('Results and Rankings'!$A115,'Robot Game Scores'!$B$2:$B$201,'Robot Game Scores'!$D$2:$D$201,0,0,))</f>
        <v/>
      </c>
      <c r="D115" s="69" t="str">
        <f t="array" ref="D115">IF('Results and Rankings'!$A115="","",XLOOKUP('Results and Rankings'!$A115,'Robot Game Scores'!$B$2:$B$201,'Robot Game Scores'!$E$2:$E$201,0,0,))</f>
        <v/>
      </c>
      <c r="E115" s="69" t="str">
        <f t="array" ref="E115">IF('Results and Rankings'!$A115="","",XLOOKUP('Results and Rankings'!$A115,'Robot Game Scores'!$B$2:$B$201,'Robot Game Scores'!$F$2:$F$201,0,0,))</f>
        <v/>
      </c>
      <c r="F115" s="69" t="str">
        <f t="array" ref="F115">IF('Results and Rankings'!$A115="","",XLOOKUP('Results and Rankings'!$A115,'Robot Game Scores'!$B$2:$B$201,'Robot Game Scores'!$G$2:$G$201,0,0,))</f>
        <v/>
      </c>
      <c r="G115" s="69" t="str">
        <f t="array" ref="G115">IF('Results and Rankings'!$A115="","",XLOOKUP('Results and Rankings'!$A115,'Robot Game Scores'!$B$2:$B$201,'Robot Game Scores'!$H$2:$H$201,0,0,))</f>
        <v/>
      </c>
      <c r="H115" s="69" t="str">
        <f>IF('Results and Rankings'!$A115="","",IF(ISNA(LARGE('Results and Rankings'!$C115:$G115,1)+0.0001*LARGE('Results and Rankings'!$C115:$G115,2)+0.0000001*LARGE('Results and Rankings'!$C115:$G115,3)+1E-11*LARGE('Results and Rankings'!$C115:$G115,4)+1E-14*LARGE('Results and Rankings'!$C115:$G115,5)),0,LARGE('Results and Rankings'!$C115:$G115,1)+0.0001*LARGE('Results and Rankings'!$C115:$G115,2)+0.0000001*LARGE('Results and Rankings'!$C115:$G115,3)+1E-11*LARGE('Results and Rankings'!$C115:$G115,4)+1E-14*LARGE('Results and Rankings'!$C115:$G115,5)))</f>
        <v/>
      </c>
      <c r="I115" s="69" t="str">
        <f>IF('Results and Rankings'!$A115="","",_xlfn.RANK.EQ('Results and Rankings'!$H115,'Results and Rankings'!$H$3:$H$202))</f>
        <v/>
      </c>
      <c r="J115" s="69" t="str">
        <f t="array" ref="J115">IF('Results and Rankings'!$A115="","",XLOOKUP('Results and Rankings'!$A115,'Core Values Input'!$A$2:$A$201,'Core Values Input'!$V$2:$V$201,NumberOfTeams+1,0,))</f>
        <v/>
      </c>
      <c r="K115" s="69" t="str">
        <f t="array" ref="K115">IF('Results and Rankings'!$A115="","",XLOOKUP('Results and Rankings'!$A115,'Innovation Project Input'!$A$2:$A$201,'Innovation Project Input'!$N$2:$N$201,NumberOfTeams+1,0,))</f>
        <v/>
      </c>
      <c r="L115" s="69" t="str">
        <f t="array" ref="L115">IF('Results and Rankings'!$A115="","",XLOOKUP('Results and Rankings'!$A115,'Robot Design Input'!$A$2:$A$201,'Robot Design Input'!$N$2:$N$201,NumberOfTeams+1,0,))</f>
        <v/>
      </c>
      <c r="M115" s="69" t="str">
        <f> IF('Results and Rankings'!$A115="","",IF('Results and Rankings'!$J115="",NumberOfTeams+1,'Results and Rankings'!$J115) + IF('Results and Rankings'!$K115="",NumberOfTeams+1,'Results and Rankings'!$K115) + IF('Results and Rankings'!$L115="",NumberOfTeams+1,'Results and Rankings'!$L115) + 'Results and Rankings'!$I115)</f>
        <v/>
      </c>
      <c r="N115" s="70" t="str">
        <f>IF('Results and Rankings'!$A115="","",IF(M115,RANK(M115,M$3:M$202,1)-COUNTIF(M$3:M$202,0),NumberOfTeams+1))</f>
        <v/>
      </c>
      <c r="O115" s="72" t="str">
        <f t="array" ref="O115">XLOOKUP('Results and Rankings'!$A115,'Core Values Input'!$A$2:$A$201,'Core Values Input'!$W$2:$W$201,0,0,)</f>
        <v>#VALUE!</v>
      </c>
      <c r="P115" s="72" t="str">
        <f t="array" ref="P115">XLOOKUP('Results and Rankings'!$A115,'Core Values Input'!$A$2:$A$201,'Core Values Input'!$X$2:$X$201,0,0,)</f>
        <v>#VALUE!</v>
      </c>
      <c r="Q115" s="72" t="str">
        <f t="array" ref="Q115">XLOOKUP('Results and Rankings'!$A115,'Core Values Input'!$A$2:$A$201,'Core Values Input'!$Y$2:$Y$201,0,0,)</f>
        <v>#VALUE!</v>
      </c>
      <c r="R115" s="38"/>
      <c r="S115" s="38"/>
      <c r="T115" s="72"/>
      <c r="U115" s="69" t="str">
        <f t="array" ref="U115">XLOOKUP('Results and Rankings'!$A115,'Core Values Input'!$A$2:$A$201,'Core Values Input'!$U$2:$U$201,0,0,)</f>
        <v>#VALUE!</v>
      </c>
      <c r="V115" s="69" t="str">
        <f t="array" ref="V115">XLOOKUP('Results and Rankings'!$A115,'Innovation Project Input'!$A$2:$A$201,'Innovation Project Input'!$M$2:$M$201,0,0,)</f>
        <v>#VALUE!</v>
      </c>
      <c r="W115" s="69" t="str">
        <f t="array" ref="W115">XLOOKUP('Results and Rankings'!$A115,'Robot Design Input'!$A$2:$A$201,'Robot Design Input'!$M$2:$M$201,0,0,)</f>
        <v>#VALUE!</v>
      </c>
      <c r="X115" s="73">
        <f>IF(ISERR(GEOMEAN('Results and Rankings'!$H115,'Results and Rankings'!$U115,'Results and Rankings'!$V115,'Results and Rankings'!$W115)),0,GEOMEAN('Results and Rankings'!$H115,'Results and Rankings'!$U115,'Results and Rankings'!$V115,'Results and Rankings'!$W115))</f>
        <v>0</v>
      </c>
      <c r="Y115" s="38">
        <f>IF(X115,_xlfn.RANK.EQ(X115,X$3:X$110,0),NumberOfTeams)</f>
        <v>0</v>
      </c>
      <c r="Z115" s="38"/>
    </row>
    <row r="116" ht="21.0" customHeight="1">
      <c r="A116" s="67" t="str">
        <f t="array" ref="A116">XLOOKUP(114,'Team and Program Information'!$B$3:$B$202,'Team and Program Information'!$C$3:$C$202,"ERROR",0)</f>
        <v/>
      </c>
      <c r="B116" s="68" t="str">
        <f t="array" ref="B116">XLOOKUP('Results and Rankings'!$A116,'Team and Program Information'!$C$3:$C$202,'Team and Program Information'!$D$3:$D$202,"",0,)</f>
        <v>#VALUE!</v>
      </c>
      <c r="C116" s="69" t="str">
        <f t="array" ref="C116">IF('Results and Rankings'!$A116="","",XLOOKUP('Results and Rankings'!$A116,'Robot Game Scores'!$B$2:$B$201,'Robot Game Scores'!$D$2:$D$201,0,0,))</f>
        <v/>
      </c>
      <c r="D116" s="69" t="str">
        <f t="array" ref="D116">IF('Results and Rankings'!$A116="","",XLOOKUP('Results and Rankings'!$A116,'Robot Game Scores'!$B$2:$B$201,'Robot Game Scores'!$E$2:$E$201,0,0,))</f>
        <v/>
      </c>
      <c r="E116" s="69" t="str">
        <f t="array" ref="E116">IF('Results and Rankings'!$A116="","",XLOOKUP('Results and Rankings'!$A116,'Robot Game Scores'!$B$2:$B$201,'Robot Game Scores'!$F$2:$F$201,0,0,))</f>
        <v/>
      </c>
      <c r="F116" s="69" t="str">
        <f t="array" ref="F116">IF('Results and Rankings'!$A116="","",XLOOKUP('Results and Rankings'!$A116,'Robot Game Scores'!$B$2:$B$201,'Robot Game Scores'!$G$2:$G$201,0,0,))</f>
        <v/>
      </c>
      <c r="G116" s="69" t="str">
        <f t="array" ref="G116">IF('Results and Rankings'!$A116="","",XLOOKUP('Results and Rankings'!$A116,'Robot Game Scores'!$B$2:$B$201,'Robot Game Scores'!$H$2:$H$201,0,0,))</f>
        <v/>
      </c>
      <c r="H116" s="69" t="str">
        <f>IF('Results and Rankings'!$A116="","",IF(ISNA(LARGE('Results and Rankings'!$C116:$G116,1)+0.0001*LARGE('Results and Rankings'!$C116:$G116,2)+0.0000001*LARGE('Results and Rankings'!$C116:$G116,3)+1E-11*LARGE('Results and Rankings'!$C116:$G116,4)+1E-14*LARGE('Results and Rankings'!$C116:$G116,5)),0,LARGE('Results and Rankings'!$C116:$G116,1)+0.0001*LARGE('Results and Rankings'!$C116:$G116,2)+0.0000001*LARGE('Results and Rankings'!$C116:$G116,3)+1E-11*LARGE('Results and Rankings'!$C116:$G116,4)+1E-14*LARGE('Results and Rankings'!$C116:$G116,5)))</f>
        <v/>
      </c>
      <c r="I116" s="69" t="str">
        <f>IF('Results and Rankings'!$A116="","",_xlfn.RANK.EQ('Results and Rankings'!$H116,'Results and Rankings'!$H$3:$H$202))</f>
        <v/>
      </c>
      <c r="J116" s="69" t="str">
        <f t="array" ref="J116">IF('Results and Rankings'!$A116="","",XLOOKUP('Results and Rankings'!$A116,'Core Values Input'!$A$2:$A$201,'Core Values Input'!$V$2:$V$201,NumberOfTeams+1,0,))</f>
        <v/>
      </c>
      <c r="K116" s="69" t="str">
        <f t="array" ref="K116">IF('Results and Rankings'!$A116="","",XLOOKUP('Results and Rankings'!$A116,'Innovation Project Input'!$A$2:$A$201,'Innovation Project Input'!$N$2:$N$201,NumberOfTeams+1,0,))</f>
        <v/>
      </c>
      <c r="L116" s="69" t="str">
        <f t="array" ref="L116">IF('Results and Rankings'!$A116="","",XLOOKUP('Results and Rankings'!$A116,'Robot Design Input'!$A$2:$A$201,'Robot Design Input'!$N$2:$N$201,NumberOfTeams+1,0,))</f>
        <v/>
      </c>
      <c r="M116" s="69" t="str">
        <f> IF('Results and Rankings'!$A116="","",IF('Results and Rankings'!$J116="",NumberOfTeams+1,'Results and Rankings'!$J116) + IF('Results and Rankings'!$K116="",NumberOfTeams+1,'Results and Rankings'!$K116) + IF('Results and Rankings'!$L116="",NumberOfTeams+1,'Results and Rankings'!$L116) + 'Results and Rankings'!$I116)</f>
        <v/>
      </c>
      <c r="N116" s="70" t="str">
        <f>IF('Results and Rankings'!$A116="","",IF(M116,RANK(M116,M$3:M$202,1)-COUNTIF(M$3:M$202,0),NumberOfTeams+1))</f>
        <v/>
      </c>
      <c r="O116" s="72" t="str">
        <f t="array" ref="O116">XLOOKUP('Results and Rankings'!$A116,'Core Values Input'!$A$2:$A$201,'Core Values Input'!$W$2:$W$201,0,0,)</f>
        <v>#VALUE!</v>
      </c>
      <c r="P116" s="72" t="str">
        <f t="array" ref="P116">XLOOKUP('Results and Rankings'!$A116,'Core Values Input'!$A$2:$A$201,'Core Values Input'!$X$2:$X$201,0,0,)</f>
        <v>#VALUE!</v>
      </c>
      <c r="Q116" s="72" t="str">
        <f t="array" ref="Q116">XLOOKUP('Results and Rankings'!$A116,'Core Values Input'!$A$2:$A$201,'Core Values Input'!$Y$2:$Y$201,0,0,)</f>
        <v>#VALUE!</v>
      </c>
      <c r="R116" s="38"/>
      <c r="S116" s="38"/>
      <c r="T116" s="72"/>
      <c r="U116" s="69" t="str">
        <f t="array" ref="U116">XLOOKUP('Results and Rankings'!$A116,'Core Values Input'!$A$2:$A$201,'Core Values Input'!$U$2:$U$201,0,0,)</f>
        <v>#VALUE!</v>
      </c>
      <c r="V116" s="69" t="str">
        <f t="array" ref="V116">XLOOKUP('Results and Rankings'!$A116,'Innovation Project Input'!$A$2:$A$201,'Innovation Project Input'!$M$2:$M$201,0,0,)</f>
        <v>#VALUE!</v>
      </c>
      <c r="W116" s="69" t="str">
        <f t="array" ref="W116">XLOOKUP('Results and Rankings'!$A116,'Robot Design Input'!$A$2:$A$201,'Robot Design Input'!$M$2:$M$201,0,0,)</f>
        <v>#VALUE!</v>
      </c>
      <c r="X116" s="73">
        <f>IF(ISERR(GEOMEAN('Results and Rankings'!$H116,'Results and Rankings'!$U116,'Results and Rankings'!$V116,'Results and Rankings'!$W116)),0,GEOMEAN('Results and Rankings'!$H116,'Results and Rankings'!$U116,'Results and Rankings'!$V116,'Results and Rankings'!$W116))</f>
        <v>0</v>
      </c>
      <c r="Y116" s="38">
        <f>IF(X116,_xlfn.RANK.EQ(X116,X$3:X$110,0),NumberOfTeams)</f>
        <v>0</v>
      </c>
      <c r="Z116" s="38"/>
    </row>
    <row r="117" ht="21.0" customHeight="1">
      <c r="A117" s="67" t="str">
        <f t="array" ref="A117">XLOOKUP(115,'Team and Program Information'!$B$3:$B$202,'Team and Program Information'!$C$3:$C$202,"ERROR",0)</f>
        <v/>
      </c>
      <c r="B117" s="68" t="str">
        <f t="array" ref="B117">XLOOKUP('Results and Rankings'!$A117,'Team and Program Information'!$C$3:$C$202,'Team and Program Information'!$D$3:$D$202,"",0,)</f>
        <v>#VALUE!</v>
      </c>
      <c r="C117" s="69" t="str">
        <f t="array" ref="C117">IF('Results and Rankings'!$A117="","",XLOOKUP('Results and Rankings'!$A117,'Robot Game Scores'!$B$2:$B$201,'Robot Game Scores'!$D$2:$D$201,0,0,))</f>
        <v/>
      </c>
      <c r="D117" s="69" t="str">
        <f t="array" ref="D117">IF('Results and Rankings'!$A117="","",XLOOKUP('Results and Rankings'!$A117,'Robot Game Scores'!$B$2:$B$201,'Robot Game Scores'!$E$2:$E$201,0,0,))</f>
        <v/>
      </c>
      <c r="E117" s="69" t="str">
        <f t="array" ref="E117">IF('Results and Rankings'!$A117="","",XLOOKUP('Results and Rankings'!$A117,'Robot Game Scores'!$B$2:$B$201,'Robot Game Scores'!$F$2:$F$201,0,0,))</f>
        <v/>
      </c>
      <c r="F117" s="69" t="str">
        <f t="array" ref="F117">IF('Results and Rankings'!$A117="","",XLOOKUP('Results and Rankings'!$A117,'Robot Game Scores'!$B$2:$B$201,'Robot Game Scores'!$G$2:$G$201,0,0,))</f>
        <v/>
      </c>
      <c r="G117" s="69" t="str">
        <f t="array" ref="G117">IF('Results and Rankings'!$A117="","",XLOOKUP('Results and Rankings'!$A117,'Robot Game Scores'!$B$2:$B$201,'Robot Game Scores'!$H$2:$H$201,0,0,))</f>
        <v/>
      </c>
      <c r="H117" s="69" t="str">
        <f>IF('Results and Rankings'!$A117="","",IF(ISNA(LARGE('Results and Rankings'!$C117:$G117,1)+0.0001*LARGE('Results and Rankings'!$C117:$G117,2)+0.0000001*LARGE('Results and Rankings'!$C117:$G117,3)+1E-11*LARGE('Results and Rankings'!$C117:$G117,4)+1E-14*LARGE('Results and Rankings'!$C117:$G117,5)),0,LARGE('Results and Rankings'!$C117:$G117,1)+0.0001*LARGE('Results and Rankings'!$C117:$G117,2)+0.0000001*LARGE('Results and Rankings'!$C117:$G117,3)+1E-11*LARGE('Results and Rankings'!$C117:$G117,4)+1E-14*LARGE('Results and Rankings'!$C117:$G117,5)))</f>
        <v/>
      </c>
      <c r="I117" s="69" t="str">
        <f>IF('Results and Rankings'!$A117="","",_xlfn.RANK.EQ('Results and Rankings'!$H117,'Results and Rankings'!$H$3:$H$202))</f>
        <v/>
      </c>
      <c r="J117" s="69" t="str">
        <f t="array" ref="J117">IF('Results and Rankings'!$A117="","",XLOOKUP('Results and Rankings'!$A117,'Core Values Input'!$A$2:$A$201,'Core Values Input'!$V$2:$V$201,NumberOfTeams+1,0,))</f>
        <v/>
      </c>
      <c r="K117" s="69" t="str">
        <f t="array" ref="K117">IF('Results and Rankings'!$A117="","",XLOOKUP('Results and Rankings'!$A117,'Innovation Project Input'!$A$2:$A$201,'Innovation Project Input'!$N$2:$N$201,NumberOfTeams+1,0,))</f>
        <v/>
      </c>
      <c r="L117" s="69" t="str">
        <f t="array" ref="L117">IF('Results and Rankings'!$A117="","",XLOOKUP('Results and Rankings'!$A117,'Robot Design Input'!$A$2:$A$201,'Robot Design Input'!$N$2:$N$201,NumberOfTeams+1,0,))</f>
        <v/>
      </c>
      <c r="M117" s="69" t="str">
        <f> IF('Results and Rankings'!$A117="","",IF('Results and Rankings'!$J117="",NumberOfTeams+1,'Results and Rankings'!$J117) + IF('Results and Rankings'!$K117="",NumberOfTeams+1,'Results and Rankings'!$K117) + IF('Results and Rankings'!$L117="",NumberOfTeams+1,'Results and Rankings'!$L117) + 'Results and Rankings'!$I117)</f>
        <v/>
      </c>
      <c r="N117" s="70" t="str">
        <f>IF('Results and Rankings'!$A117="","",IF(M117,RANK(M117,M$3:M$202,1)-COUNTIF(M$3:M$202,0),NumberOfTeams+1))</f>
        <v/>
      </c>
      <c r="O117" s="72" t="str">
        <f t="array" ref="O117">XLOOKUP('Results and Rankings'!$A117,'Core Values Input'!$A$2:$A$201,'Core Values Input'!$W$2:$W$201,0,0,)</f>
        <v>#VALUE!</v>
      </c>
      <c r="P117" s="72" t="str">
        <f t="array" ref="P117">XLOOKUP('Results and Rankings'!$A117,'Core Values Input'!$A$2:$A$201,'Core Values Input'!$X$2:$X$201,0,0,)</f>
        <v>#VALUE!</v>
      </c>
      <c r="Q117" s="72" t="str">
        <f t="array" ref="Q117">XLOOKUP('Results and Rankings'!$A117,'Core Values Input'!$A$2:$A$201,'Core Values Input'!$Y$2:$Y$201,0,0,)</f>
        <v>#VALUE!</v>
      </c>
      <c r="R117" s="38"/>
      <c r="S117" s="38"/>
      <c r="T117" s="72"/>
      <c r="U117" s="69" t="str">
        <f t="array" ref="U117">XLOOKUP('Results and Rankings'!$A117,'Core Values Input'!$A$2:$A$201,'Core Values Input'!$U$2:$U$201,0,0,)</f>
        <v>#VALUE!</v>
      </c>
      <c r="V117" s="69" t="str">
        <f t="array" ref="V117">XLOOKUP('Results and Rankings'!$A117,'Innovation Project Input'!$A$2:$A$201,'Innovation Project Input'!$M$2:$M$201,0,0,)</f>
        <v>#VALUE!</v>
      </c>
      <c r="W117" s="69" t="str">
        <f t="array" ref="W117">XLOOKUP('Results and Rankings'!$A117,'Robot Design Input'!$A$2:$A$201,'Robot Design Input'!$M$2:$M$201,0,0,)</f>
        <v>#VALUE!</v>
      </c>
      <c r="X117" s="73">
        <f>IF(ISERR(GEOMEAN('Results and Rankings'!$H117,'Results and Rankings'!$U117,'Results and Rankings'!$V117,'Results and Rankings'!$W117)),0,GEOMEAN('Results and Rankings'!$H117,'Results and Rankings'!$U117,'Results and Rankings'!$V117,'Results and Rankings'!$W117))</f>
        <v>0</v>
      </c>
      <c r="Y117" s="38">
        <f>IF(X117,_xlfn.RANK.EQ(X117,X$3:X$110,0),NumberOfTeams)</f>
        <v>0</v>
      </c>
      <c r="Z117" s="38"/>
    </row>
    <row r="118" ht="21.0" customHeight="1">
      <c r="A118" s="67" t="str">
        <f t="array" ref="A118">XLOOKUP(116,'Team and Program Information'!$B$3:$B$202,'Team and Program Information'!$C$3:$C$202,"ERROR",0)</f>
        <v/>
      </c>
      <c r="B118" s="68" t="str">
        <f t="array" ref="B118">XLOOKUP('Results and Rankings'!$A118,'Team and Program Information'!$C$3:$C$202,'Team and Program Information'!$D$3:$D$202,"",0,)</f>
        <v>#VALUE!</v>
      </c>
      <c r="C118" s="69" t="str">
        <f t="array" ref="C118">IF('Results and Rankings'!$A118="","",XLOOKUP('Results and Rankings'!$A118,'Robot Game Scores'!$B$2:$B$201,'Robot Game Scores'!$D$2:$D$201,0,0,))</f>
        <v/>
      </c>
      <c r="D118" s="69" t="str">
        <f t="array" ref="D118">IF('Results and Rankings'!$A118="","",XLOOKUP('Results and Rankings'!$A118,'Robot Game Scores'!$B$2:$B$201,'Robot Game Scores'!$E$2:$E$201,0,0,))</f>
        <v/>
      </c>
      <c r="E118" s="69" t="str">
        <f t="array" ref="E118">IF('Results and Rankings'!$A118="","",XLOOKUP('Results and Rankings'!$A118,'Robot Game Scores'!$B$2:$B$201,'Robot Game Scores'!$F$2:$F$201,0,0,))</f>
        <v/>
      </c>
      <c r="F118" s="69" t="str">
        <f t="array" ref="F118">IF('Results and Rankings'!$A118="","",XLOOKUP('Results and Rankings'!$A118,'Robot Game Scores'!$B$2:$B$201,'Robot Game Scores'!$G$2:$G$201,0,0,))</f>
        <v/>
      </c>
      <c r="G118" s="69" t="str">
        <f t="array" ref="G118">IF('Results and Rankings'!$A118="","",XLOOKUP('Results and Rankings'!$A118,'Robot Game Scores'!$B$2:$B$201,'Robot Game Scores'!$H$2:$H$201,0,0,))</f>
        <v/>
      </c>
      <c r="H118" s="69" t="str">
        <f>IF('Results and Rankings'!$A118="","",IF(ISNA(LARGE('Results and Rankings'!$C118:$G118,1)+0.0001*LARGE('Results and Rankings'!$C118:$G118,2)+0.0000001*LARGE('Results and Rankings'!$C118:$G118,3)+1E-11*LARGE('Results and Rankings'!$C118:$G118,4)+1E-14*LARGE('Results and Rankings'!$C118:$G118,5)),0,LARGE('Results and Rankings'!$C118:$G118,1)+0.0001*LARGE('Results and Rankings'!$C118:$G118,2)+0.0000001*LARGE('Results and Rankings'!$C118:$G118,3)+1E-11*LARGE('Results and Rankings'!$C118:$G118,4)+1E-14*LARGE('Results and Rankings'!$C118:$G118,5)))</f>
        <v/>
      </c>
      <c r="I118" s="69" t="str">
        <f>IF('Results and Rankings'!$A118="","",_xlfn.RANK.EQ('Results and Rankings'!$H118,'Results and Rankings'!$H$3:$H$202))</f>
        <v/>
      </c>
      <c r="J118" s="69" t="str">
        <f t="array" ref="J118">IF('Results and Rankings'!$A118="","",XLOOKUP('Results and Rankings'!$A118,'Core Values Input'!$A$2:$A$201,'Core Values Input'!$V$2:$V$201,NumberOfTeams+1,0,))</f>
        <v/>
      </c>
      <c r="K118" s="69" t="str">
        <f t="array" ref="K118">IF('Results and Rankings'!$A118="","",XLOOKUP('Results and Rankings'!$A118,'Innovation Project Input'!$A$2:$A$201,'Innovation Project Input'!$N$2:$N$201,NumberOfTeams+1,0,))</f>
        <v/>
      </c>
      <c r="L118" s="69" t="str">
        <f t="array" ref="L118">IF('Results and Rankings'!$A118="","",XLOOKUP('Results and Rankings'!$A118,'Robot Design Input'!$A$2:$A$201,'Robot Design Input'!$N$2:$N$201,NumberOfTeams+1,0,))</f>
        <v/>
      </c>
      <c r="M118" s="69" t="str">
        <f> IF('Results and Rankings'!$A118="","",IF('Results and Rankings'!$J118="",NumberOfTeams+1,'Results and Rankings'!$J118) + IF('Results and Rankings'!$K118="",NumberOfTeams+1,'Results and Rankings'!$K118) + IF('Results and Rankings'!$L118="",NumberOfTeams+1,'Results and Rankings'!$L118) + 'Results and Rankings'!$I118)</f>
        <v/>
      </c>
      <c r="N118" s="70" t="str">
        <f>IF('Results and Rankings'!$A118="","",IF(M118,RANK(M118,M$3:M$202,1)-COUNTIF(M$3:M$202,0),NumberOfTeams+1))</f>
        <v/>
      </c>
      <c r="O118" s="72" t="str">
        <f t="array" ref="O118">XLOOKUP('Results and Rankings'!$A118,'Core Values Input'!$A$2:$A$201,'Core Values Input'!$W$2:$W$201,0,0,)</f>
        <v>#VALUE!</v>
      </c>
      <c r="P118" s="72" t="str">
        <f t="array" ref="P118">XLOOKUP('Results and Rankings'!$A118,'Core Values Input'!$A$2:$A$201,'Core Values Input'!$X$2:$X$201,0,0,)</f>
        <v>#VALUE!</v>
      </c>
      <c r="Q118" s="72" t="str">
        <f t="array" ref="Q118">XLOOKUP('Results and Rankings'!$A118,'Core Values Input'!$A$2:$A$201,'Core Values Input'!$Y$2:$Y$201,0,0,)</f>
        <v>#VALUE!</v>
      </c>
      <c r="R118" s="38"/>
      <c r="S118" s="38"/>
      <c r="T118" s="72"/>
      <c r="U118" s="69" t="str">
        <f t="array" ref="U118">XLOOKUP('Results and Rankings'!$A118,'Core Values Input'!$A$2:$A$201,'Core Values Input'!$U$2:$U$201,0,0,)</f>
        <v>#VALUE!</v>
      </c>
      <c r="V118" s="69" t="str">
        <f t="array" ref="V118">XLOOKUP('Results and Rankings'!$A118,'Innovation Project Input'!$A$2:$A$201,'Innovation Project Input'!$M$2:$M$201,0,0,)</f>
        <v>#VALUE!</v>
      </c>
      <c r="W118" s="69" t="str">
        <f t="array" ref="W118">XLOOKUP('Results and Rankings'!$A118,'Robot Design Input'!$A$2:$A$201,'Robot Design Input'!$M$2:$M$201,0,0,)</f>
        <v>#VALUE!</v>
      </c>
      <c r="X118" s="73">
        <f>IF(ISERR(GEOMEAN('Results and Rankings'!$H118,'Results and Rankings'!$U118,'Results and Rankings'!$V118,'Results and Rankings'!$W118)),0,GEOMEAN('Results and Rankings'!$H118,'Results and Rankings'!$U118,'Results and Rankings'!$V118,'Results and Rankings'!$W118))</f>
        <v>0</v>
      </c>
      <c r="Y118" s="38">
        <f>IF(X118,_xlfn.RANK.EQ(X118,X$3:X$110,0),NumberOfTeams)</f>
        <v>0</v>
      </c>
      <c r="Z118" s="38"/>
    </row>
    <row r="119" ht="21.0" customHeight="1">
      <c r="A119" s="67" t="str">
        <f t="array" ref="A119">XLOOKUP(117,'Team and Program Information'!$B$3:$B$202,'Team and Program Information'!$C$3:$C$202,"ERROR",0)</f>
        <v/>
      </c>
      <c r="B119" s="68" t="str">
        <f t="array" ref="B119">XLOOKUP('Results and Rankings'!$A119,'Team and Program Information'!$C$3:$C$202,'Team and Program Information'!$D$3:$D$202,"",0,)</f>
        <v>#VALUE!</v>
      </c>
      <c r="C119" s="69" t="str">
        <f t="array" ref="C119">IF('Results and Rankings'!$A119="","",XLOOKUP('Results and Rankings'!$A119,'Robot Game Scores'!$B$2:$B$201,'Robot Game Scores'!$D$2:$D$201,0,0,))</f>
        <v/>
      </c>
      <c r="D119" s="69" t="str">
        <f t="array" ref="D119">IF('Results and Rankings'!$A119="","",XLOOKUP('Results and Rankings'!$A119,'Robot Game Scores'!$B$2:$B$201,'Robot Game Scores'!$E$2:$E$201,0,0,))</f>
        <v/>
      </c>
      <c r="E119" s="69" t="str">
        <f t="array" ref="E119">IF('Results and Rankings'!$A119="","",XLOOKUP('Results and Rankings'!$A119,'Robot Game Scores'!$B$2:$B$201,'Robot Game Scores'!$F$2:$F$201,0,0,))</f>
        <v/>
      </c>
      <c r="F119" s="69" t="str">
        <f t="array" ref="F119">IF('Results and Rankings'!$A119="","",XLOOKUP('Results and Rankings'!$A119,'Robot Game Scores'!$B$2:$B$201,'Robot Game Scores'!$G$2:$G$201,0,0,))</f>
        <v/>
      </c>
      <c r="G119" s="69" t="str">
        <f t="array" ref="G119">IF('Results and Rankings'!$A119="","",XLOOKUP('Results and Rankings'!$A119,'Robot Game Scores'!$B$2:$B$201,'Robot Game Scores'!$H$2:$H$201,0,0,))</f>
        <v/>
      </c>
      <c r="H119" s="69" t="str">
        <f>IF('Results and Rankings'!$A119="","",IF(ISNA(LARGE('Results and Rankings'!$C119:$G119,1)+0.0001*LARGE('Results and Rankings'!$C119:$G119,2)+0.0000001*LARGE('Results and Rankings'!$C119:$G119,3)+1E-11*LARGE('Results and Rankings'!$C119:$G119,4)+1E-14*LARGE('Results and Rankings'!$C119:$G119,5)),0,LARGE('Results and Rankings'!$C119:$G119,1)+0.0001*LARGE('Results and Rankings'!$C119:$G119,2)+0.0000001*LARGE('Results and Rankings'!$C119:$G119,3)+1E-11*LARGE('Results and Rankings'!$C119:$G119,4)+1E-14*LARGE('Results and Rankings'!$C119:$G119,5)))</f>
        <v/>
      </c>
      <c r="I119" s="69" t="str">
        <f>IF('Results and Rankings'!$A119="","",_xlfn.RANK.EQ('Results and Rankings'!$H119,'Results and Rankings'!$H$3:$H$202))</f>
        <v/>
      </c>
      <c r="J119" s="69" t="str">
        <f t="array" ref="J119">IF('Results and Rankings'!$A119="","",XLOOKUP('Results and Rankings'!$A119,'Core Values Input'!$A$2:$A$201,'Core Values Input'!$V$2:$V$201,NumberOfTeams+1,0,))</f>
        <v/>
      </c>
      <c r="K119" s="69" t="str">
        <f t="array" ref="K119">IF('Results and Rankings'!$A119="","",XLOOKUP('Results and Rankings'!$A119,'Innovation Project Input'!$A$2:$A$201,'Innovation Project Input'!$N$2:$N$201,NumberOfTeams+1,0,))</f>
        <v/>
      </c>
      <c r="L119" s="69" t="str">
        <f t="array" ref="L119">IF('Results and Rankings'!$A119="","",XLOOKUP('Results and Rankings'!$A119,'Robot Design Input'!$A$2:$A$201,'Robot Design Input'!$N$2:$N$201,NumberOfTeams+1,0,))</f>
        <v/>
      </c>
      <c r="M119" s="69" t="str">
        <f> IF('Results and Rankings'!$A119="","",IF('Results and Rankings'!$J119="",NumberOfTeams+1,'Results and Rankings'!$J119) + IF('Results and Rankings'!$K119="",NumberOfTeams+1,'Results and Rankings'!$K119) + IF('Results and Rankings'!$L119="",NumberOfTeams+1,'Results and Rankings'!$L119) + 'Results and Rankings'!$I119)</f>
        <v/>
      </c>
      <c r="N119" s="70" t="str">
        <f>IF('Results and Rankings'!$A119="","",IF(M119,RANK(M119,M$3:M$202,1)-COUNTIF(M$3:M$202,0),NumberOfTeams+1))</f>
        <v/>
      </c>
      <c r="O119" s="72" t="str">
        <f t="array" ref="O119">XLOOKUP('Results and Rankings'!$A119,'Core Values Input'!$A$2:$A$201,'Core Values Input'!$W$2:$W$201,0,0,)</f>
        <v>#VALUE!</v>
      </c>
      <c r="P119" s="72" t="str">
        <f t="array" ref="P119">XLOOKUP('Results and Rankings'!$A119,'Core Values Input'!$A$2:$A$201,'Core Values Input'!$X$2:$X$201,0,0,)</f>
        <v>#VALUE!</v>
      </c>
      <c r="Q119" s="72" t="str">
        <f t="array" ref="Q119">XLOOKUP('Results and Rankings'!$A119,'Core Values Input'!$A$2:$A$201,'Core Values Input'!$Y$2:$Y$201,0,0,)</f>
        <v>#VALUE!</v>
      </c>
      <c r="R119" s="38"/>
      <c r="S119" s="38"/>
      <c r="T119" s="72"/>
      <c r="U119" s="69" t="str">
        <f t="array" ref="U119">XLOOKUP('Results and Rankings'!$A119,'Core Values Input'!$A$2:$A$201,'Core Values Input'!$U$2:$U$201,0,0,)</f>
        <v>#VALUE!</v>
      </c>
      <c r="V119" s="69" t="str">
        <f t="array" ref="V119">XLOOKUP('Results and Rankings'!$A119,'Innovation Project Input'!$A$2:$A$201,'Innovation Project Input'!$M$2:$M$201,0,0,)</f>
        <v>#VALUE!</v>
      </c>
      <c r="W119" s="69" t="str">
        <f t="array" ref="W119">XLOOKUP('Results and Rankings'!$A119,'Robot Design Input'!$A$2:$A$201,'Robot Design Input'!$M$2:$M$201,0,0,)</f>
        <v>#VALUE!</v>
      </c>
      <c r="X119" s="73">
        <f>IF(ISERR(GEOMEAN('Results and Rankings'!$H119,'Results and Rankings'!$U119,'Results and Rankings'!$V119,'Results and Rankings'!$W119)),0,GEOMEAN('Results and Rankings'!$H119,'Results and Rankings'!$U119,'Results and Rankings'!$V119,'Results and Rankings'!$W119))</f>
        <v>0</v>
      </c>
      <c r="Y119" s="38">
        <f>IF(X119,_xlfn.RANK.EQ(X119,X$3:X$110,0),NumberOfTeams)</f>
        <v>0</v>
      </c>
      <c r="Z119" s="38"/>
    </row>
    <row r="120" ht="21.0" customHeight="1">
      <c r="A120" s="67" t="str">
        <f t="array" ref="A120">XLOOKUP(118,'Team and Program Information'!$B$3:$B$202,'Team and Program Information'!$C$3:$C$202,"ERROR",0)</f>
        <v/>
      </c>
      <c r="B120" s="68" t="str">
        <f t="array" ref="B120">XLOOKUP('Results and Rankings'!$A120,'Team and Program Information'!$C$3:$C$202,'Team and Program Information'!$D$3:$D$202,"",0,)</f>
        <v>#VALUE!</v>
      </c>
      <c r="C120" s="69" t="str">
        <f t="array" ref="C120">IF('Results and Rankings'!$A120="","",XLOOKUP('Results and Rankings'!$A120,'Robot Game Scores'!$B$2:$B$201,'Robot Game Scores'!$D$2:$D$201,0,0,))</f>
        <v/>
      </c>
      <c r="D120" s="69" t="str">
        <f t="array" ref="D120">IF('Results and Rankings'!$A120="","",XLOOKUP('Results and Rankings'!$A120,'Robot Game Scores'!$B$2:$B$201,'Robot Game Scores'!$E$2:$E$201,0,0,))</f>
        <v/>
      </c>
      <c r="E120" s="69" t="str">
        <f t="array" ref="E120">IF('Results and Rankings'!$A120="","",XLOOKUP('Results and Rankings'!$A120,'Robot Game Scores'!$B$2:$B$201,'Robot Game Scores'!$F$2:$F$201,0,0,))</f>
        <v/>
      </c>
      <c r="F120" s="69" t="str">
        <f t="array" ref="F120">IF('Results and Rankings'!$A120="","",XLOOKUP('Results and Rankings'!$A120,'Robot Game Scores'!$B$2:$B$201,'Robot Game Scores'!$G$2:$G$201,0,0,))</f>
        <v/>
      </c>
      <c r="G120" s="69" t="str">
        <f t="array" ref="G120">IF('Results and Rankings'!$A120="","",XLOOKUP('Results and Rankings'!$A120,'Robot Game Scores'!$B$2:$B$201,'Robot Game Scores'!$H$2:$H$201,0,0,))</f>
        <v/>
      </c>
      <c r="H120" s="69" t="str">
        <f>IF('Results and Rankings'!$A120="","",IF(ISNA(LARGE('Results and Rankings'!$C120:$G120,1)+0.0001*LARGE('Results and Rankings'!$C120:$G120,2)+0.0000001*LARGE('Results and Rankings'!$C120:$G120,3)+1E-11*LARGE('Results and Rankings'!$C120:$G120,4)+1E-14*LARGE('Results and Rankings'!$C120:$G120,5)),0,LARGE('Results and Rankings'!$C120:$G120,1)+0.0001*LARGE('Results and Rankings'!$C120:$G120,2)+0.0000001*LARGE('Results and Rankings'!$C120:$G120,3)+1E-11*LARGE('Results and Rankings'!$C120:$G120,4)+1E-14*LARGE('Results and Rankings'!$C120:$G120,5)))</f>
        <v/>
      </c>
      <c r="I120" s="69" t="str">
        <f>IF('Results and Rankings'!$A120="","",_xlfn.RANK.EQ('Results and Rankings'!$H120,'Results and Rankings'!$H$3:$H$202))</f>
        <v/>
      </c>
      <c r="J120" s="69" t="str">
        <f t="array" ref="J120">IF('Results and Rankings'!$A120="","",XLOOKUP('Results and Rankings'!$A120,'Core Values Input'!$A$2:$A$201,'Core Values Input'!$V$2:$V$201,NumberOfTeams+1,0,))</f>
        <v/>
      </c>
      <c r="K120" s="69" t="str">
        <f t="array" ref="K120">IF('Results and Rankings'!$A120="","",XLOOKUP('Results and Rankings'!$A120,'Innovation Project Input'!$A$2:$A$201,'Innovation Project Input'!$N$2:$N$201,NumberOfTeams+1,0,))</f>
        <v/>
      </c>
      <c r="L120" s="69" t="str">
        <f t="array" ref="L120">IF('Results and Rankings'!$A120="","",XLOOKUP('Results and Rankings'!$A120,'Robot Design Input'!$A$2:$A$201,'Robot Design Input'!$N$2:$N$201,NumberOfTeams+1,0,))</f>
        <v/>
      </c>
      <c r="M120" s="69" t="str">
        <f> IF('Results and Rankings'!$A120="","",IF('Results and Rankings'!$J120="",NumberOfTeams+1,'Results and Rankings'!$J120) + IF('Results and Rankings'!$K120="",NumberOfTeams+1,'Results and Rankings'!$K120) + IF('Results and Rankings'!$L120="",NumberOfTeams+1,'Results and Rankings'!$L120) + 'Results and Rankings'!$I120)</f>
        <v/>
      </c>
      <c r="N120" s="70" t="str">
        <f>IF('Results and Rankings'!$A120="","",IF(M120,RANK(M120,M$3:M$202,1)-COUNTIF(M$3:M$202,0),NumberOfTeams+1))</f>
        <v/>
      </c>
      <c r="O120" s="72" t="str">
        <f t="array" ref="O120">XLOOKUP('Results and Rankings'!$A120,'Core Values Input'!$A$2:$A$201,'Core Values Input'!$W$2:$W$201,0,0,)</f>
        <v>#VALUE!</v>
      </c>
      <c r="P120" s="72" t="str">
        <f t="array" ref="P120">XLOOKUP('Results and Rankings'!$A120,'Core Values Input'!$A$2:$A$201,'Core Values Input'!$X$2:$X$201,0,0,)</f>
        <v>#VALUE!</v>
      </c>
      <c r="Q120" s="72" t="str">
        <f t="array" ref="Q120">XLOOKUP('Results and Rankings'!$A120,'Core Values Input'!$A$2:$A$201,'Core Values Input'!$Y$2:$Y$201,0,0,)</f>
        <v>#VALUE!</v>
      </c>
      <c r="R120" s="38"/>
      <c r="S120" s="38"/>
      <c r="T120" s="72"/>
      <c r="U120" s="69" t="str">
        <f t="array" ref="U120">XLOOKUP('Results and Rankings'!$A120,'Core Values Input'!$A$2:$A$201,'Core Values Input'!$U$2:$U$201,0,0,)</f>
        <v>#VALUE!</v>
      </c>
      <c r="V120" s="69" t="str">
        <f t="array" ref="V120">XLOOKUP('Results and Rankings'!$A120,'Innovation Project Input'!$A$2:$A$201,'Innovation Project Input'!$M$2:$M$201,0,0,)</f>
        <v>#VALUE!</v>
      </c>
      <c r="W120" s="69" t="str">
        <f t="array" ref="W120">XLOOKUP('Results and Rankings'!$A120,'Robot Design Input'!$A$2:$A$201,'Robot Design Input'!$M$2:$M$201,0,0,)</f>
        <v>#VALUE!</v>
      </c>
      <c r="X120" s="73">
        <f>IF(ISERR(GEOMEAN('Results and Rankings'!$H120,'Results and Rankings'!$U120,'Results and Rankings'!$V120,'Results and Rankings'!$W120)),0,GEOMEAN('Results and Rankings'!$H120,'Results and Rankings'!$U120,'Results and Rankings'!$V120,'Results and Rankings'!$W120))</f>
        <v>0</v>
      </c>
      <c r="Y120" s="38">
        <f>IF(X120,_xlfn.RANK.EQ(X120,X$3:X$110,0),NumberOfTeams)</f>
        <v>0</v>
      </c>
      <c r="Z120" s="38"/>
    </row>
    <row r="121" ht="21.0" customHeight="1">
      <c r="A121" s="67" t="str">
        <f t="array" ref="A121">XLOOKUP(119,'Team and Program Information'!$B$3:$B$202,'Team and Program Information'!$C$3:$C$202,"ERROR",0)</f>
        <v/>
      </c>
      <c r="B121" s="68" t="str">
        <f t="array" ref="B121">XLOOKUP('Results and Rankings'!$A121,'Team and Program Information'!$C$3:$C$202,'Team and Program Information'!$D$3:$D$202,"",0,)</f>
        <v>#VALUE!</v>
      </c>
      <c r="C121" s="69" t="str">
        <f t="array" ref="C121">IF('Results and Rankings'!$A121="","",XLOOKUP('Results and Rankings'!$A121,'Robot Game Scores'!$B$2:$B$201,'Robot Game Scores'!$D$2:$D$201,0,0,))</f>
        <v/>
      </c>
      <c r="D121" s="69" t="str">
        <f t="array" ref="D121">IF('Results and Rankings'!$A121="","",XLOOKUP('Results and Rankings'!$A121,'Robot Game Scores'!$B$2:$B$201,'Robot Game Scores'!$E$2:$E$201,0,0,))</f>
        <v/>
      </c>
      <c r="E121" s="69" t="str">
        <f t="array" ref="E121">IF('Results and Rankings'!$A121="","",XLOOKUP('Results and Rankings'!$A121,'Robot Game Scores'!$B$2:$B$201,'Robot Game Scores'!$F$2:$F$201,0,0,))</f>
        <v/>
      </c>
      <c r="F121" s="69" t="str">
        <f t="array" ref="F121">IF('Results and Rankings'!$A121="","",XLOOKUP('Results and Rankings'!$A121,'Robot Game Scores'!$B$2:$B$201,'Robot Game Scores'!$G$2:$G$201,0,0,))</f>
        <v/>
      </c>
      <c r="G121" s="69" t="str">
        <f t="array" ref="G121">IF('Results and Rankings'!$A121="","",XLOOKUP('Results and Rankings'!$A121,'Robot Game Scores'!$B$2:$B$201,'Robot Game Scores'!$H$2:$H$201,0,0,))</f>
        <v/>
      </c>
      <c r="H121" s="69" t="str">
        <f>IF('Results and Rankings'!$A121="","",IF(ISNA(LARGE('Results and Rankings'!$C121:$G121,1)+0.0001*LARGE('Results and Rankings'!$C121:$G121,2)+0.0000001*LARGE('Results and Rankings'!$C121:$G121,3)+1E-11*LARGE('Results and Rankings'!$C121:$G121,4)+1E-14*LARGE('Results and Rankings'!$C121:$G121,5)),0,LARGE('Results and Rankings'!$C121:$G121,1)+0.0001*LARGE('Results and Rankings'!$C121:$G121,2)+0.0000001*LARGE('Results and Rankings'!$C121:$G121,3)+1E-11*LARGE('Results and Rankings'!$C121:$G121,4)+1E-14*LARGE('Results and Rankings'!$C121:$G121,5)))</f>
        <v/>
      </c>
      <c r="I121" s="69" t="str">
        <f>IF('Results and Rankings'!$A121="","",_xlfn.RANK.EQ('Results and Rankings'!$H121,'Results and Rankings'!$H$3:$H$202))</f>
        <v/>
      </c>
      <c r="J121" s="69" t="str">
        <f t="array" ref="J121">IF('Results and Rankings'!$A121="","",XLOOKUP('Results and Rankings'!$A121,'Core Values Input'!$A$2:$A$201,'Core Values Input'!$V$2:$V$201,NumberOfTeams+1,0,))</f>
        <v/>
      </c>
      <c r="K121" s="69" t="str">
        <f t="array" ref="K121">IF('Results and Rankings'!$A121="","",XLOOKUP('Results and Rankings'!$A121,'Innovation Project Input'!$A$2:$A$201,'Innovation Project Input'!$N$2:$N$201,NumberOfTeams+1,0,))</f>
        <v/>
      </c>
      <c r="L121" s="69" t="str">
        <f t="array" ref="L121">IF('Results and Rankings'!$A121="","",XLOOKUP('Results and Rankings'!$A121,'Robot Design Input'!$A$2:$A$201,'Robot Design Input'!$N$2:$N$201,NumberOfTeams+1,0,))</f>
        <v/>
      </c>
      <c r="M121" s="69" t="str">
        <f> IF('Results and Rankings'!$A121="","",IF('Results and Rankings'!$J121="",NumberOfTeams+1,'Results and Rankings'!$J121) + IF('Results and Rankings'!$K121="",NumberOfTeams+1,'Results and Rankings'!$K121) + IF('Results and Rankings'!$L121="",NumberOfTeams+1,'Results and Rankings'!$L121) + 'Results and Rankings'!$I121)</f>
        <v/>
      </c>
      <c r="N121" s="70" t="str">
        <f>IF('Results and Rankings'!$A121="","",IF(M121,RANK(M121,M$3:M$202,1)-COUNTIF(M$3:M$202,0),NumberOfTeams+1))</f>
        <v/>
      </c>
      <c r="O121" s="72" t="str">
        <f t="array" ref="O121">XLOOKUP('Results and Rankings'!$A121,'Core Values Input'!$A$2:$A$201,'Core Values Input'!$W$2:$W$201,0,0,)</f>
        <v>#VALUE!</v>
      </c>
      <c r="P121" s="72" t="str">
        <f t="array" ref="P121">XLOOKUP('Results and Rankings'!$A121,'Core Values Input'!$A$2:$A$201,'Core Values Input'!$X$2:$X$201,0,0,)</f>
        <v>#VALUE!</v>
      </c>
      <c r="Q121" s="72" t="str">
        <f t="array" ref="Q121">XLOOKUP('Results and Rankings'!$A121,'Core Values Input'!$A$2:$A$201,'Core Values Input'!$Y$2:$Y$201,0,0,)</f>
        <v>#VALUE!</v>
      </c>
      <c r="R121" s="38"/>
      <c r="S121" s="38"/>
      <c r="T121" s="72"/>
      <c r="U121" s="69" t="str">
        <f t="array" ref="U121">XLOOKUP('Results and Rankings'!$A121,'Core Values Input'!$A$2:$A$201,'Core Values Input'!$U$2:$U$201,0,0,)</f>
        <v>#VALUE!</v>
      </c>
      <c r="V121" s="69" t="str">
        <f t="array" ref="V121">XLOOKUP('Results and Rankings'!$A121,'Innovation Project Input'!$A$2:$A$201,'Innovation Project Input'!$M$2:$M$201,0,0,)</f>
        <v>#VALUE!</v>
      </c>
      <c r="W121" s="69" t="str">
        <f t="array" ref="W121">XLOOKUP('Results and Rankings'!$A121,'Robot Design Input'!$A$2:$A$201,'Robot Design Input'!$M$2:$M$201,0,0,)</f>
        <v>#VALUE!</v>
      </c>
      <c r="X121" s="73">
        <f>IF(ISERR(GEOMEAN('Results and Rankings'!$H121,'Results and Rankings'!$U121,'Results and Rankings'!$V121,'Results and Rankings'!$W121)),0,GEOMEAN('Results and Rankings'!$H121,'Results and Rankings'!$U121,'Results and Rankings'!$V121,'Results and Rankings'!$W121))</f>
        <v>0</v>
      </c>
      <c r="Y121" s="38">
        <f>IF(X121,_xlfn.RANK.EQ(X121,X$3:X$110,0),NumberOfTeams)</f>
        <v>0</v>
      </c>
      <c r="Z121" s="38"/>
    </row>
    <row r="122" ht="21.0" customHeight="1">
      <c r="A122" s="67" t="str">
        <f t="array" ref="A122">XLOOKUP(120,'Team and Program Information'!$B$3:$B$202,'Team and Program Information'!$C$3:$C$202,"ERROR",0)</f>
        <v/>
      </c>
      <c r="B122" s="68" t="str">
        <f t="array" ref="B122">XLOOKUP('Results and Rankings'!$A122,'Team and Program Information'!$C$3:$C$202,'Team and Program Information'!$D$3:$D$202,"",0,)</f>
        <v>#VALUE!</v>
      </c>
      <c r="C122" s="69" t="str">
        <f t="array" ref="C122">IF('Results and Rankings'!$A122="","",XLOOKUP('Results and Rankings'!$A122,'Robot Game Scores'!$B$2:$B$201,'Robot Game Scores'!$D$2:$D$201,0,0,))</f>
        <v/>
      </c>
      <c r="D122" s="69" t="str">
        <f t="array" ref="D122">IF('Results and Rankings'!$A122="","",XLOOKUP('Results and Rankings'!$A122,'Robot Game Scores'!$B$2:$B$201,'Robot Game Scores'!$E$2:$E$201,0,0,))</f>
        <v/>
      </c>
      <c r="E122" s="69" t="str">
        <f t="array" ref="E122">IF('Results and Rankings'!$A122="","",XLOOKUP('Results and Rankings'!$A122,'Robot Game Scores'!$B$2:$B$201,'Robot Game Scores'!$F$2:$F$201,0,0,))</f>
        <v/>
      </c>
      <c r="F122" s="69" t="str">
        <f t="array" ref="F122">IF('Results and Rankings'!$A122="","",XLOOKUP('Results and Rankings'!$A122,'Robot Game Scores'!$B$2:$B$201,'Robot Game Scores'!$G$2:$G$201,0,0,))</f>
        <v/>
      </c>
      <c r="G122" s="69" t="str">
        <f t="array" ref="G122">IF('Results and Rankings'!$A122="","",XLOOKUP('Results and Rankings'!$A122,'Robot Game Scores'!$B$2:$B$201,'Robot Game Scores'!$H$2:$H$201,0,0,))</f>
        <v/>
      </c>
      <c r="H122" s="69" t="str">
        <f>IF('Results and Rankings'!$A122="","",IF(ISNA(LARGE('Results and Rankings'!$C122:$G122,1)+0.0001*LARGE('Results and Rankings'!$C122:$G122,2)+0.0000001*LARGE('Results and Rankings'!$C122:$G122,3)+1E-11*LARGE('Results and Rankings'!$C122:$G122,4)+1E-14*LARGE('Results and Rankings'!$C122:$G122,5)),0,LARGE('Results and Rankings'!$C122:$G122,1)+0.0001*LARGE('Results and Rankings'!$C122:$G122,2)+0.0000001*LARGE('Results and Rankings'!$C122:$G122,3)+1E-11*LARGE('Results and Rankings'!$C122:$G122,4)+1E-14*LARGE('Results and Rankings'!$C122:$G122,5)))</f>
        <v/>
      </c>
      <c r="I122" s="69" t="str">
        <f>IF('Results and Rankings'!$A122="","",_xlfn.RANK.EQ('Results and Rankings'!$H122,'Results and Rankings'!$H$3:$H$202))</f>
        <v/>
      </c>
      <c r="J122" s="69" t="str">
        <f t="array" ref="J122">IF('Results and Rankings'!$A122="","",XLOOKUP('Results and Rankings'!$A122,'Core Values Input'!$A$2:$A$201,'Core Values Input'!$V$2:$V$201,NumberOfTeams+1,0,))</f>
        <v/>
      </c>
      <c r="K122" s="69" t="str">
        <f t="array" ref="K122">IF('Results and Rankings'!$A122="","",XLOOKUP('Results and Rankings'!$A122,'Innovation Project Input'!$A$2:$A$201,'Innovation Project Input'!$N$2:$N$201,NumberOfTeams+1,0,))</f>
        <v/>
      </c>
      <c r="L122" s="69" t="str">
        <f t="array" ref="L122">IF('Results and Rankings'!$A122="","",XLOOKUP('Results and Rankings'!$A122,'Robot Design Input'!$A$2:$A$201,'Robot Design Input'!$N$2:$N$201,NumberOfTeams+1,0,))</f>
        <v/>
      </c>
      <c r="M122" s="69" t="str">
        <f> IF('Results and Rankings'!$A122="","",IF('Results and Rankings'!$J122="",NumberOfTeams+1,'Results and Rankings'!$J122) + IF('Results and Rankings'!$K122="",NumberOfTeams+1,'Results and Rankings'!$K122) + IF('Results and Rankings'!$L122="",NumberOfTeams+1,'Results and Rankings'!$L122) + 'Results and Rankings'!$I122)</f>
        <v/>
      </c>
      <c r="N122" s="70" t="str">
        <f>IF('Results and Rankings'!$A122="","",IF(M122,RANK(M122,M$3:M$202,1)-COUNTIF(M$3:M$202,0),NumberOfTeams+1))</f>
        <v/>
      </c>
      <c r="O122" s="72" t="str">
        <f t="array" ref="O122">XLOOKUP('Results and Rankings'!$A122,'Core Values Input'!$A$2:$A$201,'Core Values Input'!$W$2:$W$201,0,0,)</f>
        <v>#VALUE!</v>
      </c>
      <c r="P122" s="72" t="str">
        <f t="array" ref="P122">XLOOKUP('Results and Rankings'!$A122,'Core Values Input'!$A$2:$A$201,'Core Values Input'!$X$2:$X$201,0,0,)</f>
        <v>#VALUE!</v>
      </c>
      <c r="Q122" s="72" t="str">
        <f t="array" ref="Q122">XLOOKUP('Results and Rankings'!$A122,'Core Values Input'!$A$2:$A$201,'Core Values Input'!$Y$2:$Y$201,0,0,)</f>
        <v>#VALUE!</v>
      </c>
      <c r="R122" s="38"/>
      <c r="S122" s="38"/>
      <c r="T122" s="72"/>
      <c r="U122" s="69" t="str">
        <f t="array" ref="U122">XLOOKUP('Results and Rankings'!$A122,'Core Values Input'!$A$2:$A$201,'Core Values Input'!$U$2:$U$201,0,0,)</f>
        <v>#VALUE!</v>
      </c>
      <c r="V122" s="69" t="str">
        <f t="array" ref="V122">XLOOKUP('Results and Rankings'!$A122,'Innovation Project Input'!$A$2:$A$201,'Innovation Project Input'!$M$2:$M$201,0,0,)</f>
        <v>#VALUE!</v>
      </c>
      <c r="W122" s="69" t="str">
        <f t="array" ref="W122">XLOOKUP('Results and Rankings'!$A122,'Robot Design Input'!$A$2:$A$201,'Robot Design Input'!$M$2:$M$201,0,0,)</f>
        <v>#VALUE!</v>
      </c>
      <c r="X122" s="73">
        <f>IF(ISERR(GEOMEAN('Results and Rankings'!$H122,'Results and Rankings'!$U122,'Results and Rankings'!$V122,'Results and Rankings'!$W122)),0,GEOMEAN('Results and Rankings'!$H122,'Results and Rankings'!$U122,'Results and Rankings'!$V122,'Results and Rankings'!$W122))</f>
        <v>0</v>
      </c>
      <c r="Y122" s="38">
        <f>IF(X122,_xlfn.RANK.EQ(X122,X$3:X$110,0),NumberOfTeams)</f>
        <v>0</v>
      </c>
      <c r="Z122" s="38"/>
    </row>
    <row r="123" ht="21.0" customHeight="1">
      <c r="A123" s="67" t="str">
        <f t="array" ref="A123">XLOOKUP(121,'Team and Program Information'!$B$3:$B$202,'Team and Program Information'!$C$3:$C$202,"ERROR",0)</f>
        <v/>
      </c>
      <c r="B123" s="68" t="str">
        <f t="array" ref="B123">XLOOKUP('Results and Rankings'!$A123,'Team and Program Information'!$C$3:$C$202,'Team and Program Information'!$D$3:$D$202,"",0,)</f>
        <v>#VALUE!</v>
      </c>
      <c r="C123" s="69" t="str">
        <f t="array" ref="C123">IF('Results and Rankings'!$A123="","",XLOOKUP('Results and Rankings'!$A123,'Robot Game Scores'!$B$2:$B$201,'Robot Game Scores'!$D$2:$D$201,0,0,))</f>
        <v/>
      </c>
      <c r="D123" s="69" t="str">
        <f t="array" ref="D123">IF('Results and Rankings'!$A123="","",XLOOKUP('Results and Rankings'!$A123,'Robot Game Scores'!$B$2:$B$201,'Robot Game Scores'!$E$2:$E$201,0,0,))</f>
        <v/>
      </c>
      <c r="E123" s="69" t="str">
        <f t="array" ref="E123">IF('Results and Rankings'!$A123="","",XLOOKUP('Results and Rankings'!$A123,'Robot Game Scores'!$B$2:$B$201,'Robot Game Scores'!$F$2:$F$201,0,0,))</f>
        <v/>
      </c>
      <c r="F123" s="69" t="str">
        <f t="array" ref="F123">IF('Results and Rankings'!$A123="","",XLOOKUP('Results and Rankings'!$A123,'Robot Game Scores'!$B$2:$B$201,'Robot Game Scores'!$G$2:$G$201,0,0,))</f>
        <v/>
      </c>
      <c r="G123" s="69" t="str">
        <f t="array" ref="G123">IF('Results and Rankings'!$A123="","",XLOOKUP('Results and Rankings'!$A123,'Robot Game Scores'!$B$2:$B$201,'Robot Game Scores'!$H$2:$H$201,0,0,))</f>
        <v/>
      </c>
      <c r="H123" s="69" t="str">
        <f>IF('Results and Rankings'!$A123="","",IF(ISNA(LARGE('Results and Rankings'!$C123:$G123,1)+0.0001*LARGE('Results and Rankings'!$C123:$G123,2)+0.0000001*LARGE('Results and Rankings'!$C123:$G123,3)+1E-11*LARGE('Results and Rankings'!$C123:$G123,4)+1E-14*LARGE('Results and Rankings'!$C123:$G123,5)),0,LARGE('Results and Rankings'!$C123:$G123,1)+0.0001*LARGE('Results and Rankings'!$C123:$G123,2)+0.0000001*LARGE('Results and Rankings'!$C123:$G123,3)+1E-11*LARGE('Results and Rankings'!$C123:$G123,4)+1E-14*LARGE('Results and Rankings'!$C123:$G123,5)))</f>
        <v/>
      </c>
      <c r="I123" s="69" t="str">
        <f>IF('Results and Rankings'!$A123="","",_xlfn.RANK.EQ('Results and Rankings'!$H123,'Results and Rankings'!$H$3:$H$202))</f>
        <v/>
      </c>
      <c r="J123" s="69" t="str">
        <f t="array" ref="J123">IF('Results and Rankings'!$A123="","",XLOOKUP('Results and Rankings'!$A123,'Core Values Input'!$A$2:$A$201,'Core Values Input'!$V$2:$V$201,NumberOfTeams+1,0,))</f>
        <v/>
      </c>
      <c r="K123" s="69" t="str">
        <f t="array" ref="K123">IF('Results and Rankings'!$A123="","",XLOOKUP('Results and Rankings'!$A123,'Innovation Project Input'!$A$2:$A$201,'Innovation Project Input'!$N$2:$N$201,NumberOfTeams+1,0,))</f>
        <v/>
      </c>
      <c r="L123" s="69" t="str">
        <f t="array" ref="L123">IF('Results and Rankings'!$A123="","",XLOOKUP('Results and Rankings'!$A123,'Robot Design Input'!$A$2:$A$201,'Robot Design Input'!$N$2:$N$201,NumberOfTeams+1,0,))</f>
        <v/>
      </c>
      <c r="M123" s="69" t="str">
        <f> IF('Results and Rankings'!$A123="","",IF('Results and Rankings'!$J123="",NumberOfTeams+1,'Results and Rankings'!$J123) + IF('Results and Rankings'!$K123="",NumberOfTeams+1,'Results and Rankings'!$K123) + IF('Results and Rankings'!$L123="",NumberOfTeams+1,'Results and Rankings'!$L123) + 'Results and Rankings'!$I123)</f>
        <v/>
      </c>
      <c r="N123" s="70" t="str">
        <f>IF('Results and Rankings'!$A123="","",IF(M123,RANK(M123,M$3:M$202,1)-COUNTIF(M$3:M$202,0),NumberOfTeams+1))</f>
        <v/>
      </c>
      <c r="O123" s="72" t="str">
        <f t="array" ref="O123">XLOOKUP('Results and Rankings'!$A123,'Core Values Input'!$A$2:$A$201,'Core Values Input'!$W$2:$W$201,0,0,)</f>
        <v>#VALUE!</v>
      </c>
      <c r="P123" s="72" t="str">
        <f t="array" ref="P123">XLOOKUP('Results and Rankings'!$A123,'Core Values Input'!$A$2:$A$201,'Core Values Input'!$X$2:$X$201,0,0,)</f>
        <v>#VALUE!</v>
      </c>
      <c r="Q123" s="72" t="str">
        <f t="array" ref="Q123">XLOOKUP('Results and Rankings'!$A123,'Core Values Input'!$A$2:$A$201,'Core Values Input'!$Y$2:$Y$201,0,0,)</f>
        <v>#VALUE!</v>
      </c>
      <c r="R123" s="38"/>
      <c r="S123" s="38"/>
      <c r="T123" s="72"/>
      <c r="U123" s="69" t="str">
        <f t="array" ref="U123">XLOOKUP('Results and Rankings'!$A123,'Core Values Input'!$A$2:$A$201,'Core Values Input'!$U$2:$U$201,0,0,)</f>
        <v>#VALUE!</v>
      </c>
      <c r="V123" s="69" t="str">
        <f t="array" ref="V123">XLOOKUP('Results and Rankings'!$A123,'Innovation Project Input'!$A$2:$A$201,'Innovation Project Input'!$M$2:$M$201,0,0,)</f>
        <v>#VALUE!</v>
      </c>
      <c r="W123" s="69" t="str">
        <f t="array" ref="W123">XLOOKUP('Results and Rankings'!$A123,'Robot Design Input'!$A$2:$A$201,'Robot Design Input'!$M$2:$M$201,0,0,)</f>
        <v>#VALUE!</v>
      </c>
      <c r="X123" s="73">
        <f>IF(ISERR(GEOMEAN('Results and Rankings'!$H123,'Results and Rankings'!$U123,'Results and Rankings'!$V123,'Results and Rankings'!$W123)),0,GEOMEAN('Results and Rankings'!$H123,'Results and Rankings'!$U123,'Results and Rankings'!$V123,'Results and Rankings'!$W123))</f>
        <v>0</v>
      </c>
      <c r="Y123" s="38">
        <f>IF(X123,_xlfn.RANK.EQ(X123,X$3:X$110,0),NumberOfTeams)</f>
        <v>0</v>
      </c>
      <c r="Z123" s="38"/>
    </row>
    <row r="124" ht="21.0" customHeight="1">
      <c r="A124" s="67" t="str">
        <f t="array" ref="A124">XLOOKUP(122,'Team and Program Information'!$B$3:$B$202,'Team and Program Information'!$C$3:$C$202,"ERROR",0)</f>
        <v/>
      </c>
      <c r="B124" s="68" t="str">
        <f t="array" ref="B124">XLOOKUP('Results and Rankings'!$A124,'Team and Program Information'!$C$3:$C$202,'Team and Program Information'!$D$3:$D$202,"",0,)</f>
        <v>#VALUE!</v>
      </c>
      <c r="C124" s="69" t="str">
        <f t="array" ref="C124">IF('Results and Rankings'!$A124="","",XLOOKUP('Results and Rankings'!$A124,'Robot Game Scores'!$B$2:$B$201,'Robot Game Scores'!$D$2:$D$201,0,0,))</f>
        <v/>
      </c>
      <c r="D124" s="69" t="str">
        <f t="array" ref="D124">IF('Results and Rankings'!$A124="","",XLOOKUP('Results and Rankings'!$A124,'Robot Game Scores'!$B$2:$B$201,'Robot Game Scores'!$E$2:$E$201,0,0,))</f>
        <v/>
      </c>
      <c r="E124" s="69" t="str">
        <f t="array" ref="E124">IF('Results and Rankings'!$A124="","",XLOOKUP('Results and Rankings'!$A124,'Robot Game Scores'!$B$2:$B$201,'Robot Game Scores'!$F$2:$F$201,0,0,))</f>
        <v/>
      </c>
      <c r="F124" s="69" t="str">
        <f t="array" ref="F124">IF('Results and Rankings'!$A124="","",XLOOKUP('Results and Rankings'!$A124,'Robot Game Scores'!$B$2:$B$201,'Robot Game Scores'!$G$2:$G$201,0,0,))</f>
        <v/>
      </c>
      <c r="G124" s="69" t="str">
        <f t="array" ref="G124">IF('Results and Rankings'!$A124="","",XLOOKUP('Results and Rankings'!$A124,'Robot Game Scores'!$B$2:$B$201,'Robot Game Scores'!$H$2:$H$201,0,0,))</f>
        <v/>
      </c>
      <c r="H124" s="69" t="str">
        <f>IF('Results and Rankings'!$A124="","",IF(ISNA(LARGE('Results and Rankings'!$C124:$G124,1)+0.0001*LARGE('Results and Rankings'!$C124:$G124,2)+0.0000001*LARGE('Results and Rankings'!$C124:$G124,3)+1E-11*LARGE('Results and Rankings'!$C124:$G124,4)+1E-14*LARGE('Results and Rankings'!$C124:$G124,5)),0,LARGE('Results and Rankings'!$C124:$G124,1)+0.0001*LARGE('Results and Rankings'!$C124:$G124,2)+0.0000001*LARGE('Results and Rankings'!$C124:$G124,3)+1E-11*LARGE('Results and Rankings'!$C124:$G124,4)+1E-14*LARGE('Results and Rankings'!$C124:$G124,5)))</f>
        <v/>
      </c>
      <c r="I124" s="69" t="str">
        <f>IF('Results and Rankings'!$A124="","",_xlfn.RANK.EQ('Results and Rankings'!$H124,'Results and Rankings'!$H$3:$H$202))</f>
        <v/>
      </c>
      <c r="J124" s="69" t="str">
        <f t="array" ref="J124">IF('Results and Rankings'!$A124="","",XLOOKUP('Results and Rankings'!$A124,'Core Values Input'!$A$2:$A$201,'Core Values Input'!$V$2:$V$201,NumberOfTeams+1,0,))</f>
        <v/>
      </c>
      <c r="K124" s="69" t="str">
        <f t="array" ref="K124">IF('Results and Rankings'!$A124="","",XLOOKUP('Results and Rankings'!$A124,'Innovation Project Input'!$A$2:$A$201,'Innovation Project Input'!$N$2:$N$201,NumberOfTeams+1,0,))</f>
        <v/>
      </c>
      <c r="L124" s="69" t="str">
        <f t="array" ref="L124">IF('Results and Rankings'!$A124="","",XLOOKUP('Results and Rankings'!$A124,'Robot Design Input'!$A$2:$A$201,'Robot Design Input'!$N$2:$N$201,NumberOfTeams+1,0,))</f>
        <v/>
      </c>
      <c r="M124" s="69" t="str">
        <f> IF('Results and Rankings'!$A124="","",IF('Results and Rankings'!$J124="",NumberOfTeams+1,'Results and Rankings'!$J124) + IF('Results and Rankings'!$K124="",NumberOfTeams+1,'Results and Rankings'!$K124) + IF('Results and Rankings'!$L124="",NumberOfTeams+1,'Results and Rankings'!$L124) + 'Results and Rankings'!$I124)</f>
        <v/>
      </c>
      <c r="N124" s="70" t="str">
        <f>IF('Results and Rankings'!$A124="","",IF(M124,RANK(M124,M$3:M$202,1)-COUNTIF(M$3:M$202,0),NumberOfTeams+1))</f>
        <v/>
      </c>
      <c r="O124" s="72" t="str">
        <f t="array" ref="O124">XLOOKUP('Results and Rankings'!$A124,'Core Values Input'!$A$2:$A$201,'Core Values Input'!$W$2:$W$201,0,0,)</f>
        <v>#VALUE!</v>
      </c>
      <c r="P124" s="72" t="str">
        <f t="array" ref="P124">XLOOKUP('Results and Rankings'!$A124,'Core Values Input'!$A$2:$A$201,'Core Values Input'!$X$2:$X$201,0,0,)</f>
        <v>#VALUE!</v>
      </c>
      <c r="Q124" s="72" t="str">
        <f t="array" ref="Q124">XLOOKUP('Results and Rankings'!$A124,'Core Values Input'!$A$2:$A$201,'Core Values Input'!$Y$2:$Y$201,0,0,)</f>
        <v>#VALUE!</v>
      </c>
      <c r="R124" s="38"/>
      <c r="S124" s="38"/>
      <c r="T124" s="72"/>
      <c r="U124" s="69" t="str">
        <f t="array" ref="U124">XLOOKUP('Results and Rankings'!$A124,'Core Values Input'!$A$2:$A$201,'Core Values Input'!$U$2:$U$201,0,0,)</f>
        <v>#VALUE!</v>
      </c>
      <c r="V124" s="69" t="str">
        <f t="array" ref="V124">XLOOKUP('Results and Rankings'!$A124,'Innovation Project Input'!$A$2:$A$201,'Innovation Project Input'!$M$2:$M$201,0,0,)</f>
        <v>#VALUE!</v>
      </c>
      <c r="W124" s="69" t="str">
        <f t="array" ref="W124">XLOOKUP('Results and Rankings'!$A124,'Robot Design Input'!$A$2:$A$201,'Robot Design Input'!$M$2:$M$201,0,0,)</f>
        <v>#VALUE!</v>
      </c>
      <c r="X124" s="73">
        <f>IF(ISERR(GEOMEAN('Results and Rankings'!$H124,'Results and Rankings'!$U124,'Results and Rankings'!$V124,'Results and Rankings'!$W124)),0,GEOMEAN('Results and Rankings'!$H124,'Results and Rankings'!$U124,'Results and Rankings'!$V124,'Results and Rankings'!$W124))</f>
        <v>0</v>
      </c>
      <c r="Y124" s="38">
        <f>IF(X124,_xlfn.RANK.EQ(X124,X$3:X$110,0),NumberOfTeams)</f>
        <v>0</v>
      </c>
      <c r="Z124" s="38"/>
    </row>
    <row r="125" ht="21.0" customHeight="1">
      <c r="A125" s="67" t="str">
        <f t="array" ref="A125">XLOOKUP(123,'Team and Program Information'!$B$3:$B$202,'Team and Program Information'!$C$3:$C$202,"ERROR",0)</f>
        <v/>
      </c>
      <c r="B125" s="68" t="str">
        <f t="array" ref="B125">XLOOKUP('Results and Rankings'!$A125,'Team and Program Information'!$C$3:$C$202,'Team and Program Information'!$D$3:$D$202,"",0,)</f>
        <v>#VALUE!</v>
      </c>
      <c r="C125" s="69" t="str">
        <f t="array" ref="C125">IF('Results and Rankings'!$A125="","",XLOOKUP('Results and Rankings'!$A125,'Robot Game Scores'!$B$2:$B$201,'Robot Game Scores'!$D$2:$D$201,0,0,))</f>
        <v/>
      </c>
      <c r="D125" s="69" t="str">
        <f t="array" ref="D125">IF('Results and Rankings'!$A125="","",XLOOKUP('Results and Rankings'!$A125,'Robot Game Scores'!$B$2:$B$201,'Robot Game Scores'!$E$2:$E$201,0,0,))</f>
        <v/>
      </c>
      <c r="E125" s="69" t="str">
        <f t="array" ref="E125">IF('Results and Rankings'!$A125="","",XLOOKUP('Results and Rankings'!$A125,'Robot Game Scores'!$B$2:$B$201,'Robot Game Scores'!$F$2:$F$201,0,0,))</f>
        <v/>
      </c>
      <c r="F125" s="69" t="str">
        <f t="array" ref="F125">IF('Results and Rankings'!$A125="","",XLOOKUP('Results and Rankings'!$A125,'Robot Game Scores'!$B$2:$B$201,'Robot Game Scores'!$G$2:$G$201,0,0,))</f>
        <v/>
      </c>
      <c r="G125" s="69" t="str">
        <f t="array" ref="G125">IF('Results and Rankings'!$A125="","",XLOOKUP('Results and Rankings'!$A125,'Robot Game Scores'!$B$2:$B$201,'Robot Game Scores'!$H$2:$H$201,0,0,))</f>
        <v/>
      </c>
      <c r="H125" s="69" t="str">
        <f>IF('Results and Rankings'!$A125="","",IF(ISNA(LARGE('Results and Rankings'!$C125:$G125,1)+0.0001*LARGE('Results and Rankings'!$C125:$G125,2)+0.0000001*LARGE('Results and Rankings'!$C125:$G125,3)+1E-11*LARGE('Results and Rankings'!$C125:$G125,4)+1E-14*LARGE('Results and Rankings'!$C125:$G125,5)),0,LARGE('Results and Rankings'!$C125:$G125,1)+0.0001*LARGE('Results and Rankings'!$C125:$G125,2)+0.0000001*LARGE('Results and Rankings'!$C125:$G125,3)+1E-11*LARGE('Results and Rankings'!$C125:$G125,4)+1E-14*LARGE('Results and Rankings'!$C125:$G125,5)))</f>
        <v/>
      </c>
      <c r="I125" s="69" t="str">
        <f>IF('Results and Rankings'!$A125="","",_xlfn.RANK.EQ('Results and Rankings'!$H125,'Results and Rankings'!$H$3:$H$202))</f>
        <v/>
      </c>
      <c r="J125" s="69" t="str">
        <f t="array" ref="J125">IF('Results and Rankings'!$A125="","",XLOOKUP('Results and Rankings'!$A125,'Core Values Input'!$A$2:$A$201,'Core Values Input'!$V$2:$V$201,NumberOfTeams+1,0,))</f>
        <v/>
      </c>
      <c r="K125" s="69" t="str">
        <f t="array" ref="K125">IF('Results and Rankings'!$A125="","",XLOOKUP('Results and Rankings'!$A125,'Innovation Project Input'!$A$2:$A$201,'Innovation Project Input'!$N$2:$N$201,NumberOfTeams+1,0,))</f>
        <v/>
      </c>
      <c r="L125" s="69" t="str">
        <f t="array" ref="L125">IF('Results and Rankings'!$A125="","",XLOOKUP('Results and Rankings'!$A125,'Robot Design Input'!$A$2:$A$201,'Robot Design Input'!$N$2:$N$201,NumberOfTeams+1,0,))</f>
        <v/>
      </c>
      <c r="M125" s="69" t="str">
        <f> IF('Results and Rankings'!$A125="","",IF('Results and Rankings'!$J125="",NumberOfTeams+1,'Results and Rankings'!$J125) + IF('Results and Rankings'!$K125="",NumberOfTeams+1,'Results and Rankings'!$K125) + IF('Results and Rankings'!$L125="",NumberOfTeams+1,'Results and Rankings'!$L125) + 'Results and Rankings'!$I125)</f>
        <v/>
      </c>
      <c r="N125" s="70" t="str">
        <f>IF('Results and Rankings'!$A125="","",IF(M125,RANK(M125,M$3:M$202,1)-COUNTIF(M$3:M$202,0),NumberOfTeams+1))</f>
        <v/>
      </c>
      <c r="O125" s="72" t="str">
        <f t="array" ref="O125">XLOOKUP('Results and Rankings'!$A125,'Core Values Input'!$A$2:$A$201,'Core Values Input'!$W$2:$W$201,0,0,)</f>
        <v>#VALUE!</v>
      </c>
      <c r="P125" s="72" t="str">
        <f t="array" ref="P125">XLOOKUP('Results and Rankings'!$A125,'Core Values Input'!$A$2:$A$201,'Core Values Input'!$X$2:$X$201,0,0,)</f>
        <v>#VALUE!</v>
      </c>
      <c r="Q125" s="72" t="str">
        <f t="array" ref="Q125">XLOOKUP('Results and Rankings'!$A125,'Core Values Input'!$A$2:$A$201,'Core Values Input'!$Y$2:$Y$201,0,0,)</f>
        <v>#VALUE!</v>
      </c>
      <c r="R125" s="38"/>
      <c r="S125" s="38"/>
      <c r="T125" s="72"/>
      <c r="U125" s="69" t="str">
        <f t="array" ref="U125">XLOOKUP('Results and Rankings'!$A125,'Core Values Input'!$A$2:$A$201,'Core Values Input'!$U$2:$U$201,0,0,)</f>
        <v>#VALUE!</v>
      </c>
      <c r="V125" s="69" t="str">
        <f t="array" ref="V125">XLOOKUP('Results and Rankings'!$A125,'Innovation Project Input'!$A$2:$A$201,'Innovation Project Input'!$M$2:$M$201,0,0,)</f>
        <v>#VALUE!</v>
      </c>
      <c r="W125" s="69" t="str">
        <f t="array" ref="W125">XLOOKUP('Results and Rankings'!$A125,'Robot Design Input'!$A$2:$A$201,'Robot Design Input'!$M$2:$M$201,0,0,)</f>
        <v>#VALUE!</v>
      </c>
      <c r="X125" s="73">
        <f>IF(ISERR(GEOMEAN('Results and Rankings'!$H125,'Results and Rankings'!$U125,'Results and Rankings'!$V125,'Results and Rankings'!$W125)),0,GEOMEAN('Results and Rankings'!$H125,'Results and Rankings'!$U125,'Results and Rankings'!$V125,'Results and Rankings'!$W125))</f>
        <v>0</v>
      </c>
      <c r="Y125" s="38">
        <f>IF(X125,_xlfn.RANK.EQ(X125,X$3:X$110,0),NumberOfTeams)</f>
        <v>0</v>
      </c>
      <c r="Z125" s="38"/>
    </row>
    <row r="126" ht="21.0" customHeight="1">
      <c r="A126" s="67" t="str">
        <f t="array" ref="A126">XLOOKUP(124,'Team and Program Information'!$B$3:$B$202,'Team and Program Information'!$C$3:$C$202,"ERROR",0)</f>
        <v/>
      </c>
      <c r="B126" s="68" t="str">
        <f t="array" ref="B126">XLOOKUP('Results and Rankings'!$A126,'Team and Program Information'!$C$3:$C$202,'Team and Program Information'!$D$3:$D$202,"",0,)</f>
        <v>#VALUE!</v>
      </c>
      <c r="C126" s="69" t="str">
        <f t="array" ref="C126">IF('Results and Rankings'!$A126="","",XLOOKUP('Results and Rankings'!$A126,'Robot Game Scores'!$B$2:$B$201,'Robot Game Scores'!$D$2:$D$201,0,0,))</f>
        <v/>
      </c>
      <c r="D126" s="69" t="str">
        <f t="array" ref="D126">IF('Results and Rankings'!$A126="","",XLOOKUP('Results and Rankings'!$A126,'Robot Game Scores'!$B$2:$B$201,'Robot Game Scores'!$E$2:$E$201,0,0,))</f>
        <v/>
      </c>
      <c r="E126" s="69" t="str">
        <f t="array" ref="E126">IF('Results and Rankings'!$A126="","",XLOOKUP('Results and Rankings'!$A126,'Robot Game Scores'!$B$2:$B$201,'Robot Game Scores'!$F$2:$F$201,0,0,))</f>
        <v/>
      </c>
      <c r="F126" s="69" t="str">
        <f t="array" ref="F126">IF('Results and Rankings'!$A126="","",XLOOKUP('Results and Rankings'!$A126,'Robot Game Scores'!$B$2:$B$201,'Robot Game Scores'!$G$2:$G$201,0,0,))</f>
        <v/>
      </c>
      <c r="G126" s="69" t="str">
        <f t="array" ref="G126">IF('Results and Rankings'!$A126="","",XLOOKUP('Results and Rankings'!$A126,'Robot Game Scores'!$B$2:$B$201,'Robot Game Scores'!$H$2:$H$201,0,0,))</f>
        <v/>
      </c>
      <c r="H126" s="69" t="str">
        <f>IF('Results and Rankings'!$A126="","",IF(ISNA(LARGE('Results and Rankings'!$C126:$G126,1)+0.0001*LARGE('Results and Rankings'!$C126:$G126,2)+0.0000001*LARGE('Results and Rankings'!$C126:$G126,3)+1E-11*LARGE('Results and Rankings'!$C126:$G126,4)+1E-14*LARGE('Results and Rankings'!$C126:$G126,5)),0,LARGE('Results and Rankings'!$C126:$G126,1)+0.0001*LARGE('Results and Rankings'!$C126:$G126,2)+0.0000001*LARGE('Results and Rankings'!$C126:$G126,3)+1E-11*LARGE('Results and Rankings'!$C126:$G126,4)+1E-14*LARGE('Results and Rankings'!$C126:$G126,5)))</f>
        <v/>
      </c>
      <c r="I126" s="69" t="str">
        <f>IF('Results and Rankings'!$A126="","",_xlfn.RANK.EQ('Results and Rankings'!$H126,'Results and Rankings'!$H$3:$H$202))</f>
        <v/>
      </c>
      <c r="J126" s="69" t="str">
        <f t="array" ref="J126">IF('Results and Rankings'!$A126="","",XLOOKUP('Results and Rankings'!$A126,'Core Values Input'!$A$2:$A$201,'Core Values Input'!$V$2:$V$201,NumberOfTeams+1,0,))</f>
        <v/>
      </c>
      <c r="K126" s="69" t="str">
        <f t="array" ref="K126">IF('Results and Rankings'!$A126="","",XLOOKUP('Results and Rankings'!$A126,'Innovation Project Input'!$A$2:$A$201,'Innovation Project Input'!$N$2:$N$201,NumberOfTeams+1,0,))</f>
        <v/>
      </c>
      <c r="L126" s="69" t="str">
        <f t="array" ref="L126">IF('Results and Rankings'!$A126="","",XLOOKUP('Results and Rankings'!$A126,'Robot Design Input'!$A$2:$A$201,'Robot Design Input'!$N$2:$N$201,NumberOfTeams+1,0,))</f>
        <v/>
      </c>
      <c r="M126" s="69" t="str">
        <f> IF('Results and Rankings'!$A126="","",IF('Results and Rankings'!$J126="",NumberOfTeams+1,'Results and Rankings'!$J126) + IF('Results and Rankings'!$K126="",NumberOfTeams+1,'Results and Rankings'!$K126) + IF('Results and Rankings'!$L126="",NumberOfTeams+1,'Results and Rankings'!$L126) + 'Results and Rankings'!$I126)</f>
        <v/>
      </c>
      <c r="N126" s="70" t="str">
        <f>IF('Results and Rankings'!$A126="","",IF(M126,RANK(M126,M$3:M$202,1)-COUNTIF(M$3:M$202,0),NumberOfTeams+1))</f>
        <v/>
      </c>
      <c r="O126" s="72" t="str">
        <f t="array" ref="O126">XLOOKUP('Results and Rankings'!$A126,'Core Values Input'!$A$2:$A$201,'Core Values Input'!$W$2:$W$201,0,0,)</f>
        <v>#VALUE!</v>
      </c>
      <c r="P126" s="72" t="str">
        <f t="array" ref="P126">XLOOKUP('Results and Rankings'!$A126,'Core Values Input'!$A$2:$A$201,'Core Values Input'!$X$2:$X$201,0,0,)</f>
        <v>#VALUE!</v>
      </c>
      <c r="Q126" s="72" t="str">
        <f t="array" ref="Q126">XLOOKUP('Results and Rankings'!$A126,'Core Values Input'!$A$2:$A$201,'Core Values Input'!$Y$2:$Y$201,0,0,)</f>
        <v>#VALUE!</v>
      </c>
      <c r="R126" s="38"/>
      <c r="S126" s="38"/>
      <c r="T126" s="72"/>
      <c r="U126" s="69" t="str">
        <f t="array" ref="U126">XLOOKUP('Results and Rankings'!$A126,'Core Values Input'!$A$2:$A$201,'Core Values Input'!$U$2:$U$201,0,0,)</f>
        <v>#VALUE!</v>
      </c>
      <c r="V126" s="69" t="str">
        <f t="array" ref="V126">XLOOKUP('Results and Rankings'!$A126,'Innovation Project Input'!$A$2:$A$201,'Innovation Project Input'!$M$2:$M$201,0,0,)</f>
        <v>#VALUE!</v>
      </c>
      <c r="W126" s="69" t="str">
        <f t="array" ref="W126">XLOOKUP('Results and Rankings'!$A126,'Robot Design Input'!$A$2:$A$201,'Robot Design Input'!$M$2:$M$201,0,0,)</f>
        <v>#VALUE!</v>
      </c>
      <c r="X126" s="73">
        <f>IF(ISERR(GEOMEAN('Results and Rankings'!$H126,'Results and Rankings'!$U126,'Results and Rankings'!$V126,'Results and Rankings'!$W126)),0,GEOMEAN('Results and Rankings'!$H126,'Results and Rankings'!$U126,'Results and Rankings'!$V126,'Results and Rankings'!$W126))</f>
        <v>0</v>
      </c>
      <c r="Y126" s="38">
        <f>IF(X126,_xlfn.RANK.EQ(X126,X$3:X$110,0),NumberOfTeams)</f>
        <v>0</v>
      </c>
      <c r="Z126" s="38"/>
    </row>
    <row r="127" ht="21.0" customHeight="1">
      <c r="A127" s="67" t="str">
        <f t="array" ref="A127">XLOOKUP(125,'Team and Program Information'!$B$3:$B$202,'Team and Program Information'!$C$3:$C$202,"ERROR",0)</f>
        <v/>
      </c>
      <c r="B127" s="68" t="str">
        <f t="array" ref="B127">XLOOKUP('Results and Rankings'!$A127,'Team and Program Information'!$C$3:$C$202,'Team and Program Information'!$D$3:$D$202,"",0,)</f>
        <v>#VALUE!</v>
      </c>
      <c r="C127" s="69" t="str">
        <f t="array" ref="C127">IF('Results and Rankings'!$A127="","",XLOOKUP('Results and Rankings'!$A127,'Robot Game Scores'!$B$2:$B$201,'Robot Game Scores'!$D$2:$D$201,0,0,))</f>
        <v/>
      </c>
      <c r="D127" s="69" t="str">
        <f t="array" ref="D127">IF('Results and Rankings'!$A127="","",XLOOKUP('Results and Rankings'!$A127,'Robot Game Scores'!$B$2:$B$201,'Robot Game Scores'!$E$2:$E$201,0,0,))</f>
        <v/>
      </c>
      <c r="E127" s="69" t="str">
        <f t="array" ref="E127">IF('Results and Rankings'!$A127="","",XLOOKUP('Results and Rankings'!$A127,'Robot Game Scores'!$B$2:$B$201,'Robot Game Scores'!$F$2:$F$201,0,0,))</f>
        <v/>
      </c>
      <c r="F127" s="69" t="str">
        <f t="array" ref="F127">IF('Results and Rankings'!$A127="","",XLOOKUP('Results and Rankings'!$A127,'Robot Game Scores'!$B$2:$B$201,'Robot Game Scores'!$G$2:$G$201,0,0,))</f>
        <v/>
      </c>
      <c r="G127" s="69" t="str">
        <f t="array" ref="G127">IF('Results and Rankings'!$A127="","",XLOOKUP('Results and Rankings'!$A127,'Robot Game Scores'!$B$2:$B$201,'Robot Game Scores'!$H$2:$H$201,0,0,))</f>
        <v/>
      </c>
      <c r="H127" s="69" t="str">
        <f>IF('Results and Rankings'!$A127="","",IF(ISNA(LARGE('Results and Rankings'!$C127:$G127,1)+0.0001*LARGE('Results and Rankings'!$C127:$G127,2)+0.0000001*LARGE('Results and Rankings'!$C127:$G127,3)+1E-11*LARGE('Results and Rankings'!$C127:$G127,4)+1E-14*LARGE('Results and Rankings'!$C127:$G127,5)),0,LARGE('Results and Rankings'!$C127:$G127,1)+0.0001*LARGE('Results and Rankings'!$C127:$G127,2)+0.0000001*LARGE('Results and Rankings'!$C127:$G127,3)+1E-11*LARGE('Results and Rankings'!$C127:$G127,4)+1E-14*LARGE('Results and Rankings'!$C127:$G127,5)))</f>
        <v/>
      </c>
      <c r="I127" s="69" t="str">
        <f>IF('Results and Rankings'!$A127="","",_xlfn.RANK.EQ('Results and Rankings'!$H127,'Results and Rankings'!$H$3:$H$202))</f>
        <v/>
      </c>
      <c r="J127" s="69" t="str">
        <f t="array" ref="J127">IF('Results and Rankings'!$A127="","",XLOOKUP('Results and Rankings'!$A127,'Core Values Input'!$A$2:$A$201,'Core Values Input'!$V$2:$V$201,NumberOfTeams+1,0,))</f>
        <v/>
      </c>
      <c r="K127" s="69" t="str">
        <f t="array" ref="K127">IF('Results and Rankings'!$A127="","",XLOOKUP('Results and Rankings'!$A127,'Innovation Project Input'!$A$2:$A$201,'Innovation Project Input'!$N$2:$N$201,NumberOfTeams+1,0,))</f>
        <v/>
      </c>
      <c r="L127" s="69" t="str">
        <f t="array" ref="L127">IF('Results and Rankings'!$A127="","",XLOOKUP('Results and Rankings'!$A127,'Robot Design Input'!$A$2:$A$201,'Robot Design Input'!$N$2:$N$201,NumberOfTeams+1,0,))</f>
        <v/>
      </c>
      <c r="M127" s="69" t="str">
        <f> IF('Results and Rankings'!$A127="","",IF('Results and Rankings'!$J127="",NumberOfTeams+1,'Results and Rankings'!$J127) + IF('Results and Rankings'!$K127="",NumberOfTeams+1,'Results and Rankings'!$K127) + IF('Results and Rankings'!$L127="",NumberOfTeams+1,'Results and Rankings'!$L127) + 'Results and Rankings'!$I127)</f>
        <v/>
      </c>
      <c r="N127" s="70" t="str">
        <f>IF('Results and Rankings'!$A127="","",IF(M127,RANK(M127,M$3:M$202,1)-COUNTIF(M$3:M$202,0),NumberOfTeams+1))</f>
        <v/>
      </c>
      <c r="O127" s="72" t="str">
        <f t="array" ref="O127">XLOOKUP('Results and Rankings'!$A127,'Core Values Input'!$A$2:$A$201,'Core Values Input'!$W$2:$W$201,0,0,)</f>
        <v>#VALUE!</v>
      </c>
      <c r="P127" s="72" t="str">
        <f t="array" ref="P127">XLOOKUP('Results and Rankings'!$A127,'Core Values Input'!$A$2:$A$201,'Core Values Input'!$X$2:$X$201,0,0,)</f>
        <v>#VALUE!</v>
      </c>
      <c r="Q127" s="72" t="str">
        <f t="array" ref="Q127">XLOOKUP('Results and Rankings'!$A127,'Core Values Input'!$A$2:$A$201,'Core Values Input'!$Y$2:$Y$201,0,0,)</f>
        <v>#VALUE!</v>
      </c>
      <c r="R127" s="38"/>
      <c r="S127" s="38"/>
      <c r="T127" s="72"/>
      <c r="U127" s="69" t="str">
        <f t="array" ref="U127">XLOOKUP('Results and Rankings'!$A127,'Core Values Input'!$A$2:$A$201,'Core Values Input'!$U$2:$U$201,0,0,)</f>
        <v>#VALUE!</v>
      </c>
      <c r="V127" s="69" t="str">
        <f t="array" ref="V127">XLOOKUP('Results and Rankings'!$A127,'Innovation Project Input'!$A$2:$A$201,'Innovation Project Input'!$M$2:$M$201,0,0,)</f>
        <v>#VALUE!</v>
      </c>
      <c r="W127" s="69" t="str">
        <f t="array" ref="W127">XLOOKUP('Results and Rankings'!$A127,'Robot Design Input'!$A$2:$A$201,'Robot Design Input'!$M$2:$M$201,0,0,)</f>
        <v>#VALUE!</v>
      </c>
      <c r="X127" s="73">
        <f>IF(ISERR(GEOMEAN('Results and Rankings'!$H127,'Results and Rankings'!$U127,'Results and Rankings'!$V127,'Results and Rankings'!$W127)),0,GEOMEAN('Results and Rankings'!$H127,'Results and Rankings'!$U127,'Results and Rankings'!$V127,'Results and Rankings'!$W127))</f>
        <v>0</v>
      </c>
      <c r="Y127" s="38">
        <f>IF(X127,_xlfn.RANK.EQ(X127,X$3:X$110,0),NumberOfTeams)</f>
        <v>0</v>
      </c>
      <c r="Z127" s="38"/>
    </row>
    <row r="128" ht="21.0" customHeight="1">
      <c r="A128" s="67" t="str">
        <f t="array" ref="A128">XLOOKUP(126,'Team and Program Information'!$B$3:$B$202,'Team and Program Information'!$C$3:$C$202,"ERROR",0)</f>
        <v/>
      </c>
      <c r="B128" s="68" t="str">
        <f t="array" ref="B128">XLOOKUP('Results and Rankings'!$A128,'Team and Program Information'!$C$3:$C$202,'Team and Program Information'!$D$3:$D$202,"",0,)</f>
        <v>#VALUE!</v>
      </c>
      <c r="C128" s="69" t="str">
        <f t="array" ref="C128">IF('Results and Rankings'!$A128="","",XLOOKUP('Results and Rankings'!$A128,'Robot Game Scores'!$B$2:$B$201,'Robot Game Scores'!$D$2:$D$201,0,0,))</f>
        <v/>
      </c>
      <c r="D128" s="69" t="str">
        <f t="array" ref="D128">IF('Results and Rankings'!$A128="","",XLOOKUP('Results and Rankings'!$A128,'Robot Game Scores'!$B$2:$B$201,'Robot Game Scores'!$E$2:$E$201,0,0,))</f>
        <v/>
      </c>
      <c r="E128" s="69" t="str">
        <f t="array" ref="E128">IF('Results and Rankings'!$A128="","",XLOOKUP('Results and Rankings'!$A128,'Robot Game Scores'!$B$2:$B$201,'Robot Game Scores'!$F$2:$F$201,0,0,))</f>
        <v/>
      </c>
      <c r="F128" s="69" t="str">
        <f t="array" ref="F128">IF('Results and Rankings'!$A128="","",XLOOKUP('Results and Rankings'!$A128,'Robot Game Scores'!$B$2:$B$201,'Robot Game Scores'!$G$2:$G$201,0,0,))</f>
        <v/>
      </c>
      <c r="G128" s="69" t="str">
        <f t="array" ref="G128">IF('Results and Rankings'!$A128="","",XLOOKUP('Results and Rankings'!$A128,'Robot Game Scores'!$B$2:$B$201,'Robot Game Scores'!$H$2:$H$201,0,0,))</f>
        <v/>
      </c>
      <c r="H128" s="69" t="str">
        <f>IF('Results and Rankings'!$A128="","",IF(ISNA(LARGE('Results and Rankings'!$C128:$G128,1)+0.0001*LARGE('Results and Rankings'!$C128:$G128,2)+0.0000001*LARGE('Results and Rankings'!$C128:$G128,3)+1E-11*LARGE('Results and Rankings'!$C128:$G128,4)+1E-14*LARGE('Results and Rankings'!$C128:$G128,5)),0,LARGE('Results and Rankings'!$C128:$G128,1)+0.0001*LARGE('Results and Rankings'!$C128:$G128,2)+0.0000001*LARGE('Results and Rankings'!$C128:$G128,3)+1E-11*LARGE('Results and Rankings'!$C128:$G128,4)+1E-14*LARGE('Results and Rankings'!$C128:$G128,5)))</f>
        <v/>
      </c>
      <c r="I128" s="69" t="str">
        <f>IF('Results and Rankings'!$A128="","",_xlfn.RANK.EQ('Results and Rankings'!$H128,'Results and Rankings'!$H$3:$H$202))</f>
        <v/>
      </c>
      <c r="J128" s="69" t="str">
        <f t="array" ref="J128">IF('Results and Rankings'!$A128="","",XLOOKUP('Results and Rankings'!$A128,'Core Values Input'!$A$2:$A$201,'Core Values Input'!$V$2:$V$201,NumberOfTeams+1,0,))</f>
        <v/>
      </c>
      <c r="K128" s="69" t="str">
        <f t="array" ref="K128">IF('Results and Rankings'!$A128="","",XLOOKUP('Results and Rankings'!$A128,'Innovation Project Input'!$A$2:$A$201,'Innovation Project Input'!$N$2:$N$201,NumberOfTeams+1,0,))</f>
        <v/>
      </c>
      <c r="L128" s="69" t="str">
        <f t="array" ref="L128">IF('Results and Rankings'!$A128="","",XLOOKUP('Results and Rankings'!$A128,'Robot Design Input'!$A$2:$A$201,'Robot Design Input'!$N$2:$N$201,NumberOfTeams+1,0,))</f>
        <v/>
      </c>
      <c r="M128" s="69" t="str">
        <f> IF('Results and Rankings'!$A128="","",IF('Results and Rankings'!$J128="",NumberOfTeams+1,'Results and Rankings'!$J128) + IF('Results and Rankings'!$K128="",NumberOfTeams+1,'Results and Rankings'!$K128) + IF('Results and Rankings'!$L128="",NumberOfTeams+1,'Results and Rankings'!$L128) + 'Results and Rankings'!$I128)</f>
        <v/>
      </c>
      <c r="N128" s="70" t="str">
        <f>IF('Results and Rankings'!$A128="","",IF(M128,RANK(M128,M$3:M$202,1)-COUNTIF(M$3:M$202,0),NumberOfTeams+1))</f>
        <v/>
      </c>
      <c r="O128" s="72" t="str">
        <f t="array" ref="O128">XLOOKUP('Results and Rankings'!$A128,'Core Values Input'!$A$2:$A$201,'Core Values Input'!$W$2:$W$201,0,0,)</f>
        <v>#VALUE!</v>
      </c>
      <c r="P128" s="72" t="str">
        <f t="array" ref="P128">XLOOKUP('Results and Rankings'!$A128,'Core Values Input'!$A$2:$A$201,'Core Values Input'!$X$2:$X$201,0,0,)</f>
        <v>#VALUE!</v>
      </c>
      <c r="Q128" s="72" t="str">
        <f t="array" ref="Q128">XLOOKUP('Results and Rankings'!$A128,'Core Values Input'!$A$2:$A$201,'Core Values Input'!$Y$2:$Y$201,0,0,)</f>
        <v>#VALUE!</v>
      </c>
      <c r="R128" s="38"/>
      <c r="S128" s="38"/>
      <c r="T128" s="72"/>
      <c r="U128" s="69" t="str">
        <f t="array" ref="U128">XLOOKUP('Results and Rankings'!$A128,'Core Values Input'!$A$2:$A$201,'Core Values Input'!$U$2:$U$201,0,0,)</f>
        <v>#VALUE!</v>
      </c>
      <c r="V128" s="69" t="str">
        <f t="array" ref="V128">XLOOKUP('Results and Rankings'!$A128,'Innovation Project Input'!$A$2:$A$201,'Innovation Project Input'!$M$2:$M$201,0,0,)</f>
        <v>#VALUE!</v>
      </c>
      <c r="W128" s="69" t="str">
        <f t="array" ref="W128">XLOOKUP('Results and Rankings'!$A128,'Robot Design Input'!$A$2:$A$201,'Robot Design Input'!$M$2:$M$201,0,0,)</f>
        <v>#VALUE!</v>
      </c>
      <c r="X128" s="73">
        <f>IF(ISERR(GEOMEAN('Results and Rankings'!$H128,'Results and Rankings'!$U128,'Results and Rankings'!$V128,'Results and Rankings'!$W128)),0,GEOMEAN('Results and Rankings'!$H128,'Results and Rankings'!$U128,'Results and Rankings'!$V128,'Results and Rankings'!$W128))</f>
        <v>0</v>
      </c>
      <c r="Y128" s="38">
        <f>IF(X128,_xlfn.RANK.EQ(X128,X$3:X$110,0),NumberOfTeams)</f>
        <v>0</v>
      </c>
      <c r="Z128" s="38"/>
    </row>
    <row r="129" ht="21.0" customHeight="1">
      <c r="A129" s="67" t="str">
        <f t="array" ref="A129">XLOOKUP(127,'Team and Program Information'!$B$3:$B$202,'Team and Program Information'!$C$3:$C$202,"ERROR",0)</f>
        <v/>
      </c>
      <c r="B129" s="68" t="str">
        <f t="array" ref="B129">XLOOKUP('Results and Rankings'!$A129,'Team and Program Information'!$C$3:$C$202,'Team and Program Information'!$D$3:$D$202,"",0,)</f>
        <v>#VALUE!</v>
      </c>
      <c r="C129" s="69" t="str">
        <f t="array" ref="C129">IF('Results and Rankings'!$A129="","",XLOOKUP('Results and Rankings'!$A129,'Robot Game Scores'!$B$2:$B$201,'Robot Game Scores'!$D$2:$D$201,0,0,))</f>
        <v/>
      </c>
      <c r="D129" s="69" t="str">
        <f t="array" ref="D129">IF('Results and Rankings'!$A129="","",XLOOKUP('Results and Rankings'!$A129,'Robot Game Scores'!$B$2:$B$201,'Robot Game Scores'!$E$2:$E$201,0,0,))</f>
        <v/>
      </c>
      <c r="E129" s="69" t="str">
        <f t="array" ref="E129">IF('Results and Rankings'!$A129="","",XLOOKUP('Results and Rankings'!$A129,'Robot Game Scores'!$B$2:$B$201,'Robot Game Scores'!$F$2:$F$201,0,0,))</f>
        <v/>
      </c>
      <c r="F129" s="69" t="str">
        <f t="array" ref="F129">IF('Results and Rankings'!$A129="","",XLOOKUP('Results and Rankings'!$A129,'Robot Game Scores'!$B$2:$B$201,'Robot Game Scores'!$G$2:$G$201,0,0,))</f>
        <v/>
      </c>
      <c r="G129" s="69" t="str">
        <f t="array" ref="G129">IF('Results and Rankings'!$A129="","",XLOOKUP('Results and Rankings'!$A129,'Robot Game Scores'!$B$2:$B$201,'Robot Game Scores'!$H$2:$H$201,0,0,))</f>
        <v/>
      </c>
      <c r="H129" s="69" t="str">
        <f>IF('Results and Rankings'!$A129="","",IF(ISNA(LARGE('Results and Rankings'!$C129:$G129,1)+0.0001*LARGE('Results and Rankings'!$C129:$G129,2)+0.0000001*LARGE('Results and Rankings'!$C129:$G129,3)+1E-11*LARGE('Results and Rankings'!$C129:$G129,4)+1E-14*LARGE('Results and Rankings'!$C129:$G129,5)),0,LARGE('Results and Rankings'!$C129:$G129,1)+0.0001*LARGE('Results and Rankings'!$C129:$G129,2)+0.0000001*LARGE('Results and Rankings'!$C129:$G129,3)+1E-11*LARGE('Results and Rankings'!$C129:$G129,4)+1E-14*LARGE('Results and Rankings'!$C129:$G129,5)))</f>
        <v/>
      </c>
      <c r="I129" s="69" t="str">
        <f>IF('Results and Rankings'!$A129="","",_xlfn.RANK.EQ('Results and Rankings'!$H129,'Results and Rankings'!$H$3:$H$202))</f>
        <v/>
      </c>
      <c r="J129" s="69" t="str">
        <f t="array" ref="J129">IF('Results and Rankings'!$A129="","",XLOOKUP('Results and Rankings'!$A129,'Core Values Input'!$A$2:$A$201,'Core Values Input'!$V$2:$V$201,NumberOfTeams+1,0,))</f>
        <v/>
      </c>
      <c r="K129" s="69" t="str">
        <f t="array" ref="K129">IF('Results and Rankings'!$A129="","",XLOOKUP('Results and Rankings'!$A129,'Innovation Project Input'!$A$2:$A$201,'Innovation Project Input'!$N$2:$N$201,NumberOfTeams+1,0,))</f>
        <v/>
      </c>
      <c r="L129" s="69" t="str">
        <f t="array" ref="L129">IF('Results and Rankings'!$A129="","",XLOOKUP('Results and Rankings'!$A129,'Robot Design Input'!$A$2:$A$201,'Robot Design Input'!$N$2:$N$201,NumberOfTeams+1,0,))</f>
        <v/>
      </c>
      <c r="M129" s="69" t="str">
        <f> IF('Results and Rankings'!$A129="","",IF('Results and Rankings'!$J129="",NumberOfTeams+1,'Results and Rankings'!$J129) + IF('Results and Rankings'!$K129="",NumberOfTeams+1,'Results and Rankings'!$K129) + IF('Results and Rankings'!$L129="",NumberOfTeams+1,'Results and Rankings'!$L129) + 'Results and Rankings'!$I129)</f>
        <v/>
      </c>
      <c r="N129" s="70" t="str">
        <f>IF('Results and Rankings'!$A129="","",IF(M129,RANK(M129,M$3:M$202,1)-COUNTIF(M$3:M$202,0),NumberOfTeams+1))</f>
        <v/>
      </c>
      <c r="O129" s="72" t="str">
        <f t="array" ref="O129">XLOOKUP('Results and Rankings'!$A129,'Core Values Input'!$A$2:$A$201,'Core Values Input'!$W$2:$W$201,0,0,)</f>
        <v>#VALUE!</v>
      </c>
      <c r="P129" s="72" t="str">
        <f t="array" ref="P129">XLOOKUP('Results and Rankings'!$A129,'Core Values Input'!$A$2:$A$201,'Core Values Input'!$X$2:$X$201,0,0,)</f>
        <v>#VALUE!</v>
      </c>
      <c r="Q129" s="72" t="str">
        <f t="array" ref="Q129">XLOOKUP('Results and Rankings'!$A129,'Core Values Input'!$A$2:$A$201,'Core Values Input'!$Y$2:$Y$201,0,0,)</f>
        <v>#VALUE!</v>
      </c>
      <c r="R129" s="38"/>
      <c r="S129" s="38"/>
      <c r="T129" s="72"/>
      <c r="U129" s="69" t="str">
        <f t="array" ref="U129">XLOOKUP('Results and Rankings'!$A129,'Core Values Input'!$A$2:$A$201,'Core Values Input'!$U$2:$U$201,0,0,)</f>
        <v>#VALUE!</v>
      </c>
      <c r="V129" s="69" t="str">
        <f t="array" ref="V129">XLOOKUP('Results and Rankings'!$A129,'Innovation Project Input'!$A$2:$A$201,'Innovation Project Input'!$M$2:$M$201,0,0,)</f>
        <v>#VALUE!</v>
      </c>
      <c r="W129" s="69" t="str">
        <f t="array" ref="W129">XLOOKUP('Results and Rankings'!$A129,'Robot Design Input'!$A$2:$A$201,'Robot Design Input'!$M$2:$M$201,0,0,)</f>
        <v>#VALUE!</v>
      </c>
      <c r="X129" s="73">
        <f>IF(ISERR(GEOMEAN('Results and Rankings'!$H129,'Results and Rankings'!$U129,'Results and Rankings'!$V129,'Results and Rankings'!$W129)),0,GEOMEAN('Results and Rankings'!$H129,'Results and Rankings'!$U129,'Results and Rankings'!$V129,'Results and Rankings'!$W129))</f>
        <v>0</v>
      </c>
      <c r="Y129" s="38">
        <f>IF(X129,_xlfn.RANK.EQ(X129,X$3:X$110,0),NumberOfTeams)</f>
        <v>0</v>
      </c>
      <c r="Z129" s="38"/>
    </row>
    <row r="130" ht="21.0" customHeight="1">
      <c r="A130" s="67" t="str">
        <f t="array" ref="A130">XLOOKUP(128,'Team and Program Information'!$B$3:$B$202,'Team and Program Information'!$C$3:$C$202,"ERROR",0)</f>
        <v/>
      </c>
      <c r="B130" s="68" t="str">
        <f t="array" ref="B130">XLOOKUP('Results and Rankings'!$A130,'Team and Program Information'!$C$3:$C$202,'Team and Program Information'!$D$3:$D$202,"",0,)</f>
        <v>#VALUE!</v>
      </c>
      <c r="C130" s="69" t="str">
        <f t="array" ref="C130">IF('Results and Rankings'!$A130="","",XLOOKUP('Results and Rankings'!$A130,'Robot Game Scores'!$B$2:$B$201,'Robot Game Scores'!$D$2:$D$201,0,0,))</f>
        <v/>
      </c>
      <c r="D130" s="69" t="str">
        <f t="array" ref="D130">IF('Results and Rankings'!$A130="","",XLOOKUP('Results and Rankings'!$A130,'Robot Game Scores'!$B$2:$B$201,'Robot Game Scores'!$E$2:$E$201,0,0,))</f>
        <v/>
      </c>
      <c r="E130" s="69" t="str">
        <f t="array" ref="E130">IF('Results and Rankings'!$A130="","",XLOOKUP('Results and Rankings'!$A130,'Robot Game Scores'!$B$2:$B$201,'Robot Game Scores'!$F$2:$F$201,0,0,))</f>
        <v/>
      </c>
      <c r="F130" s="69" t="str">
        <f t="array" ref="F130">IF('Results and Rankings'!$A130="","",XLOOKUP('Results and Rankings'!$A130,'Robot Game Scores'!$B$2:$B$201,'Robot Game Scores'!$G$2:$G$201,0,0,))</f>
        <v/>
      </c>
      <c r="G130" s="69" t="str">
        <f t="array" ref="G130">IF('Results and Rankings'!$A130="","",XLOOKUP('Results and Rankings'!$A130,'Robot Game Scores'!$B$2:$B$201,'Robot Game Scores'!$H$2:$H$201,0,0,))</f>
        <v/>
      </c>
      <c r="H130" s="69" t="str">
        <f>IF('Results and Rankings'!$A130="","",IF(ISNA(LARGE('Results and Rankings'!$C130:$G130,1)+0.0001*LARGE('Results and Rankings'!$C130:$G130,2)+0.0000001*LARGE('Results and Rankings'!$C130:$G130,3)+1E-11*LARGE('Results and Rankings'!$C130:$G130,4)+1E-14*LARGE('Results and Rankings'!$C130:$G130,5)),0,LARGE('Results and Rankings'!$C130:$G130,1)+0.0001*LARGE('Results and Rankings'!$C130:$G130,2)+0.0000001*LARGE('Results and Rankings'!$C130:$G130,3)+1E-11*LARGE('Results and Rankings'!$C130:$G130,4)+1E-14*LARGE('Results and Rankings'!$C130:$G130,5)))</f>
        <v/>
      </c>
      <c r="I130" s="69" t="str">
        <f>IF('Results and Rankings'!$A130="","",_xlfn.RANK.EQ('Results and Rankings'!$H130,'Results and Rankings'!$H$3:$H$202))</f>
        <v/>
      </c>
      <c r="J130" s="69" t="str">
        <f t="array" ref="J130">IF('Results and Rankings'!$A130="","",XLOOKUP('Results and Rankings'!$A130,'Core Values Input'!$A$2:$A$201,'Core Values Input'!$V$2:$V$201,NumberOfTeams+1,0,))</f>
        <v/>
      </c>
      <c r="K130" s="69" t="str">
        <f t="array" ref="K130">IF('Results and Rankings'!$A130="","",XLOOKUP('Results and Rankings'!$A130,'Innovation Project Input'!$A$2:$A$201,'Innovation Project Input'!$N$2:$N$201,NumberOfTeams+1,0,))</f>
        <v/>
      </c>
      <c r="L130" s="69" t="str">
        <f t="array" ref="L130">IF('Results and Rankings'!$A130="","",XLOOKUP('Results and Rankings'!$A130,'Robot Design Input'!$A$2:$A$201,'Robot Design Input'!$N$2:$N$201,NumberOfTeams+1,0,))</f>
        <v/>
      </c>
      <c r="M130" s="69" t="str">
        <f> IF('Results and Rankings'!$A130="","",IF('Results and Rankings'!$J130="",NumberOfTeams+1,'Results and Rankings'!$J130) + IF('Results and Rankings'!$K130="",NumberOfTeams+1,'Results and Rankings'!$K130) + IF('Results and Rankings'!$L130="",NumberOfTeams+1,'Results and Rankings'!$L130) + 'Results and Rankings'!$I130)</f>
        <v/>
      </c>
      <c r="N130" s="70" t="str">
        <f>IF('Results and Rankings'!$A130="","",IF(M130,RANK(M130,M$3:M$202,1)-COUNTIF(M$3:M$202,0),NumberOfTeams+1))</f>
        <v/>
      </c>
      <c r="O130" s="72" t="str">
        <f t="array" ref="O130">XLOOKUP('Results and Rankings'!$A130,'Core Values Input'!$A$2:$A$201,'Core Values Input'!$W$2:$W$201,0,0,)</f>
        <v>#VALUE!</v>
      </c>
      <c r="P130" s="72" t="str">
        <f t="array" ref="P130">XLOOKUP('Results and Rankings'!$A130,'Core Values Input'!$A$2:$A$201,'Core Values Input'!$X$2:$X$201,0,0,)</f>
        <v>#VALUE!</v>
      </c>
      <c r="Q130" s="72" t="str">
        <f t="array" ref="Q130">XLOOKUP('Results and Rankings'!$A130,'Core Values Input'!$A$2:$A$201,'Core Values Input'!$Y$2:$Y$201,0,0,)</f>
        <v>#VALUE!</v>
      </c>
      <c r="R130" s="38"/>
      <c r="S130" s="38"/>
      <c r="T130" s="72"/>
      <c r="U130" s="69" t="str">
        <f t="array" ref="U130">XLOOKUP('Results and Rankings'!$A130,'Core Values Input'!$A$2:$A$201,'Core Values Input'!$U$2:$U$201,0,0,)</f>
        <v>#VALUE!</v>
      </c>
      <c r="V130" s="69" t="str">
        <f t="array" ref="V130">XLOOKUP('Results and Rankings'!$A130,'Innovation Project Input'!$A$2:$A$201,'Innovation Project Input'!$M$2:$M$201,0,0,)</f>
        <v>#VALUE!</v>
      </c>
      <c r="W130" s="69" t="str">
        <f t="array" ref="W130">XLOOKUP('Results and Rankings'!$A130,'Robot Design Input'!$A$2:$A$201,'Robot Design Input'!$M$2:$M$201,0,0,)</f>
        <v>#VALUE!</v>
      </c>
      <c r="X130" s="73">
        <f>IF(ISERR(GEOMEAN('Results and Rankings'!$H130,'Results and Rankings'!$U130,'Results and Rankings'!$V130,'Results and Rankings'!$W130)),0,GEOMEAN('Results and Rankings'!$H130,'Results and Rankings'!$U130,'Results and Rankings'!$V130,'Results and Rankings'!$W130))</f>
        <v>0</v>
      </c>
      <c r="Y130" s="38">
        <f>IF(X130,_xlfn.RANK.EQ(X130,X$3:X$110,0),NumberOfTeams)</f>
        <v>0</v>
      </c>
      <c r="Z130" s="38"/>
    </row>
    <row r="131" ht="21.0" customHeight="1">
      <c r="A131" s="67" t="str">
        <f t="array" ref="A131">XLOOKUP(129,'Team and Program Information'!$B$3:$B$202,'Team and Program Information'!$C$3:$C$202,"ERROR",0)</f>
        <v/>
      </c>
      <c r="B131" s="68" t="str">
        <f t="array" ref="B131">XLOOKUP('Results and Rankings'!$A131,'Team and Program Information'!$C$3:$C$202,'Team and Program Information'!$D$3:$D$202,"",0,)</f>
        <v>#VALUE!</v>
      </c>
      <c r="C131" s="69" t="str">
        <f t="array" ref="C131">IF('Results and Rankings'!$A131="","",XLOOKUP('Results and Rankings'!$A131,'Robot Game Scores'!$B$2:$B$201,'Robot Game Scores'!$D$2:$D$201,0,0,))</f>
        <v/>
      </c>
      <c r="D131" s="69" t="str">
        <f t="array" ref="D131">IF('Results and Rankings'!$A131="","",XLOOKUP('Results and Rankings'!$A131,'Robot Game Scores'!$B$2:$B$201,'Robot Game Scores'!$E$2:$E$201,0,0,))</f>
        <v/>
      </c>
      <c r="E131" s="69" t="str">
        <f t="array" ref="E131">IF('Results and Rankings'!$A131="","",XLOOKUP('Results and Rankings'!$A131,'Robot Game Scores'!$B$2:$B$201,'Robot Game Scores'!$F$2:$F$201,0,0,))</f>
        <v/>
      </c>
      <c r="F131" s="69" t="str">
        <f t="array" ref="F131">IF('Results and Rankings'!$A131="","",XLOOKUP('Results and Rankings'!$A131,'Robot Game Scores'!$B$2:$B$201,'Robot Game Scores'!$G$2:$G$201,0,0,))</f>
        <v/>
      </c>
      <c r="G131" s="69" t="str">
        <f t="array" ref="G131">IF('Results and Rankings'!$A131="","",XLOOKUP('Results and Rankings'!$A131,'Robot Game Scores'!$B$2:$B$201,'Robot Game Scores'!$H$2:$H$201,0,0,))</f>
        <v/>
      </c>
      <c r="H131" s="69" t="str">
        <f>IF('Results and Rankings'!$A131="","",IF(ISNA(LARGE('Results and Rankings'!$C131:$G131,1)+0.0001*LARGE('Results and Rankings'!$C131:$G131,2)+0.0000001*LARGE('Results and Rankings'!$C131:$G131,3)+1E-11*LARGE('Results and Rankings'!$C131:$G131,4)+1E-14*LARGE('Results and Rankings'!$C131:$G131,5)),0,LARGE('Results and Rankings'!$C131:$G131,1)+0.0001*LARGE('Results and Rankings'!$C131:$G131,2)+0.0000001*LARGE('Results and Rankings'!$C131:$G131,3)+1E-11*LARGE('Results and Rankings'!$C131:$G131,4)+1E-14*LARGE('Results and Rankings'!$C131:$G131,5)))</f>
        <v/>
      </c>
      <c r="I131" s="69" t="str">
        <f>IF('Results and Rankings'!$A131="","",_xlfn.RANK.EQ('Results and Rankings'!$H131,'Results and Rankings'!$H$3:$H$202))</f>
        <v/>
      </c>
      <c r="J131" s="69" t="str">
        <f t="array" ref="J131">IF('Results and Rankings'!$A131="","",XLOOKUP('Results and Rankings'!$A131,'Core Values Input'!$A$2:$A$201,'Core Values Input'!$V$2:$V$201,NumberOfTeams+1,0,))</f>
        <v/>
      </c>
      <c r="K131" s="69" t="str">
        <f t="array" ref="K131">IF('Results and Rankings'!$A131="","",XLOOKUP('Results and Rankings'!$A131,'Innovation Project Input'!$A$2:$A$201,'Innovation Project Input'!$N$2:$N$201,NumberOfTeams+1,0,))</f>
        <v/>
      </c>
      <c r="L131" s="69" t="str">
        <f t="array" ref="L131">IF('Results and Rankings'!$A131="","",XLOOKUP('Results and Rankings'!$A131,'Robot Design Input'!$A$2:$A$201,'Robot Design Input'!$N$2:$N$201,NumberOfTeams+1,0,))</f>
        <v/>
      </c>
      <c r="M131" s="69" t="str">
        <f> IF('Results and Rankings'!$A131="","",IF('Results and Rankings'!$J131="",NumberOfTeams+1,'Results and Rankings'!$J131) + IF('Results and Rankings'!$K131="",NumberOfTeams+1,'Results and Rankings'!$K131) + IF('Results and Rankings'!$L131="",NumberOfTeams+1,'Results and Rankings'!$L131) + 'Results and Rankings'!$I131)</f>
        <v/>
      </c>
      <c r="N131" s="70" t="str">
        <f>IF('Results and Rankings'!$A131="","",IF(M131,RANK(M131,M$3:M$202,1)-COUNTIF(M$3:M$202,0),NumberOfTeams+1))</f>
        <v/>
      </c>
      <c r="O131" s="72" t="str">
        <f t="array" ref="O131">XLOOKUP('Results and Rankings'!$A131,'Core Values Input'!$A$2:$A$201,'Core Values Input'!$W$2:$W$201,0,0,)</f>
        <v>#VALUE!</v>
      </c>
      <c r="P131" s="72" t="str">
        <f t="array" ref="P131">XLOOKUP('Results and Rankings'!$A131,'Core Values Input'!$A$2:$A$201,'Core Values Input'!$X$2:$X$201,0,0,)</f>
        <v>#VALUE!</v>
      </c>
      <c r="Q131" s="72" t="str">
        <f t="array" ref="Q131">XLOOKUP('Results and Rankings'!$A131,'Core Values Input'!$A$2:$A$201,'Core Values Input'!$Y$2:$Y$201,0,0,)</f>
        <v>#VALUE!</v>
      </c>
      <c r="R131" s="38"/>
      <c r="S131" s="38"/>
      <c r="T131" s="72"/>
      <c r="U131" s="69" t="str">
        <f t="array" ref="U131">XLOOKUP('Results and Rankings'!$A131,'Core Values Input'!$A$2:$A$201,'Core Values Input'!$U$2:$U$201,0,0,)</f>
        <v>#VALUE!</v>
      </c>
      <c r="V131" s="69" t="str">
        <f t="array" ref="V131">XLOOKUP('Results and Rankings'!$A131,'Innovation Project Input'!$A$2:$A$201,'Innovation Project Input'!$M$2:$M$201,0,0,)</f>
        <v>#VALUE!</v>
      </c>
      <c r="W131" s="69" t="str">
        <f t="array" ref="W131">XLOOKUP('Results and Rankings'!$A131,'Robot Design Input'!$A$2:$A$201,'Robot Design Input'!$M$2:$M$201,0,0,)</f>
        <v>#VALUE!</v>
      </c>
      <c r="X131" s="73">
        <f>IF(ISERR(GEOMEAN('Results and Rankings'!$H131,'Results and Rankings'!$U131,'Results and Rankings'!$V131,'Results and Rankings'!$W131)),0,GEOMEAN('Results and Rankings'!$H131,'Results and Rankings'!$U131,'Results and Rankings'!$V131,'Results and Rankings'!$W131))</f>
        <v>0</v>
      </c>
      <c r="Y131" s="38">
        <f>IF(X131,_xlfn.RANK.EQ(X131,X$3:X$110,0),NumberOfTeams)</f>
        <v>0</v>
      </c>
      <c r="Z131" s="38"/>
    </row>
    <row r="132" ht="21.0" customHeight="1">
      <c r="A132" s="67" t="str">
        <f t="array" ref="A132">XLOOKUP(130,'Team and Program Information'!$B$3:$B$202,'Team and Program Information'!$C$3:$C$202,"ERROR",0)</f>
        <v/>
      </c>
      <c r="B132" s="68" t="str">
        <f t="array" ref="B132">XLOOKUP('Results and Rankings'!$A132,'Team and Program Information'!$C$3:$C$202,'Team and Program Information'!$D$3:$D$202,"",0,)</f>
        <v>#VALUE!</v>
      </c>
      <c r="C132" s="69" t="str">
        <f t="array" ref="C132">IF('Results and Rankings'!$A132="","",XLOOKUP('Results and Rankings'!$A132,'Robot Game Scores'!$B$2:$B$201,'Robot Game Scores'!$D$2:$D$201,0,0,))</f>
        <v/>
      </c>
      <c r="D132" s="69" t="str">
        <f t="array" ref="D132">IF('Results and Rankings'!$A132="","",XLOOKUP('Results and Rankings'!$A132,'Robot Game Scores'!$B$2:$B$201,'Robot Game Scores'!$E$2:$E$201,0,0,))</f>
        <v/>
      </c>
      <c r="E132" s="69" t="str">
        <f t="array" ref="E132">IF('Results and Rankings'!$A132="","",XLOOKUP('Results and Rankings'!$A132,'Robot Game Scores'!$B$2:$B$201,'Robot Game Scores'!$F$2:$F$201,0,0,))</f>
        <v/>
      </c>
      <c r="F132" s="69" t="str">
        <f t="array" ref="F132">IF('Results and Rankings'!$A132="","",XLOOKUP('Results and Rankings'!$A132,'Robot Game Scores'!$B$2:$B$201,'Robot Game Scores'!$G$2:$G$201,0,0,))</f>
        <v/>
      </c>
      <c r="G132" s="69" t="str">
        <f t="array" ref="G132">IF('Results and Rankings'!$A132="","",XLOOKUP('Results and Rankings'!$A132,'Robot Game Scores'!$B$2:$B$201,'Robot Game Scores'!$H$2:$H$201,0,0,))</f>
        <v/>
      </c>
      <c r="H132" s="69" t="str">
        <f>IF('Results and Rankings'!$A132="","",IF(ISNA(LARGE('Results and Rankings'!$C132:$G132,1)+0.0001*LARGE('Results and Rankings'!$C132:$G132,2)+0.0000001*LARGE('Results and Rankings'!$C132:$G132,3)+1E-11*LARGE('Results and Rankings'!$C132:$G132,4)+1E-14*LARGE('Results and Rankings'!$C132:$G132,5)),0,LARGE('Results and Rankings'!$C132:$G132,1)+0.0001*LARGE('Results and Rankings'!$C132:$G132,2)+0.0000001*LARGE('Results and Rankings'!$C132:$G132,3)+1E-11*LARGE('Results and Rankings'!$C132:$G132,4)+1E-14*LARGE('Results and Rankings'!$C132:$G132,5)))</f>
        <v/>
      </c>
      <c r="I132" s="69" t="str">
        <f>IF('Results and Rankings'!$A132="","",_xlfn.RANK.EQ('Results and Rankings'!$H132,'Results and Rankings'!$H$3:$H$202))</f>
        <v/>
      </c>
      <c r="J132" s="69" t="str">
        <f t="array" ref="J132">IF('Results and Rankings'!$A132="","",XLOOKUP('Results and Rankings'!$A132,'Core Values Input'!$A$2:$A$201,'Core Values Input'!$V$2:$V$201,NumberOfTeams+1,0,))</f>
        <v/>
      </c>
      <c r="K132" s="69" t="str">
        <f t="array" ref="K132">IF('Results and Rankings'!$A132="","",XLOOKUP('Results and Rankings'!$A132,'Innovation Project Input'!$A$2:$A$201,'Innovation Project Input'!$N$2:$N$201,NumberOfTeams+1,0,))</f>
        <v/>
      </c>
      <c r="L132" s="69" t="str">
        <f t="array" ref="L132">IF('Results and Rankings'!$A132="","",XLOOKUP('Results and Rankings'!$A132,'Robot Design Input'!$A$2:$A$201,'Robot Design Input'!$N$2:$N$201,NumberOfTeams+1,0,))</f>
        <v/>
      </c>
      <c r="M132" s="69" t="str">
        <f> IF('Results and Rankings'!$A132="","",IF('Results and Rankings'!$J132="",NumberOfTeams+1,'Results and Rankings'!$J132) + IF('Results and Rankings'!$K132="",NumberOfTeams+1,'Results and Rankings'!$K132) + IF('Results and Rankings'!$L132="",NumberOfTeams+1,'Results and Rankings'!$L132) + 'Results and Rankings'!$I132)</f>
        <v/>
      </c>
      <c r="N132" s="70" t="str">
        <f>IF('Results and Rankings'!$A132="","",IF(M132,RANK(M132,M$3:M$202,1)-COUNTIF(M$3:M$202,0),NumberOfTeams+1))</f>
        <v/>
      </c>
      <c r="O132" s="72" t="str">
        <f t="array" ref="O132">XLOOKUP('Results and Rankings'!$A132,'Core Values Input'!$A$2:$A$201,'Core Values Input'!$W$2:$W$201,0,0,)</f>
        <v>#VALUE!</v>
      </c>
      <c r="P132" s="72" t="str">
        <f t="array" ref="P132">XLOOKUP('Results and Rankings'!$A132,'Core Values Input'!$A$2:$A$201,'Core Values Input'!$X$2:$X$201,0,0,)</f>
        <v>#VALUE!</v>
      </c>
      <c r="Q132" s="72" t="str">
        <f t="array" ref="Q132">XLOOKUP('Results and Rankings'!$A132,'Core Values Input'!$A$2:$A$201,'Core Values Input'!$Y$2:$Y$201,0,0,)</f>
        <v>#VALUE!</v>
      </c>
      <c r="R132" s="38"/>
      <c r="S132" s="38"/>
      <c r="T132" s="72"/>
      <c r="U132" s="69" t="str">
        <f t="array" ref="U132">XLOOKUP('Results and Rankings'!$A132,'Core Values Input'!$A$2:$A$201,'Core Values Input'!$U$2:$U$201,0,0,)</f>
        <v>#VALUE!</v>
      </c>
      <c r="V132" s="69" t="str">
        <f t="array" ref="V132">XLOOKUP('Results and Rankings'!$A132,'Innovation Project Input'!$A$2:$A$201,'Innovation Project Input'!$M$2:$M$201,0,0,)</f>
        <v>#VALUE!</v>
      </c>
      <c r="W132" s="69" t="str">
        <f t="array" ref="W132">XLOOKUP('Results and Rankings'!$A132,'Robot Design Input'!$A$2:$A$201,'Robot Design Input'!$M$2:$M$201,0,0,)</f>
        <v>#VALUE!</v>
      </c>
      <c r="X132" s="73">
        <f>IF(ISERR(GEOMEAN('Results and Rankings'!$H132,'Results and Rankings'!$U132,'Results and Rankings'!$V132,'Results and Rankings'!$W132)),0,GEOMEAN('Results and Rankings'!$H132,'Results and Rankings'!$U132,'Results and Rankings'!$V132,'Results and Rankings'!$W132))</f>
        <v>0</v>
      </c>
      <c r="Y132" s="38">
        <f>IF(X132,_xlfn.RANK.EQ(X132,X$3:X$110,0),NumberOfTeams)</f>
        <v>0</v>
      </c>
      <c r="Z132" s="38"/>
    </row>
    <row r="133" ht="21.0" customHeight="1">
      <c r="A133" s="67" t="str">
        <f t="array" ref="A133">XLOOKUP(131,'Team and Program Information'!$B$3:$B$202,'Team and Program Information'!$C$3:$C$202,"ERROR",0)</f>
        <v/>
      </c>
      <c r="B133" s="68" t="str">
        <f t="array" ref="B133">XLOOKUP('Results and Rankings'!$A133,'Team and Program Information'!$C$3:$C$202,'Team and Program Information'!$D$3:$D$202,"",0,)</f>
        <v>#VALUE!</v>
      </c>
      <c r="C133" s="69" t="str">
        <f t="array" ref="C133">IF('Results and Rankings'!$A133="","",XLOOKUP('Results and Rankings'!$A133,'Robot Game Scores'!$B$2:$B$201,'Robot Game Scores'!$D$2:$D$201,0,0,))</f>
        <v/>
      </c>
      <c r="D133" s="69" t="str">
        <f t="array" ref="D133">IF('Results and Rankings'!$A133="","",XLOOKUP('Results and Rankings'!$A133,'Robot Game Scores'!$B$2:$B$201,'Robot Game Scores'!$E$2:$E$201,0,0,))</f>
        <v/>
      </c>
      <c r="E133" s="69" t="str">
        <f t="array" ref="E133">IF('Results and Rankings'!$A133="","",XLOOKUP('Results and Rankings'!$A133,'Robot Game Scores'!$B$2:$B$201,'Robot Game Scores'!$F$2:$F$201,0,0,))</f>
        <v/>
      </c>
      <c r="F133" s="69" t="str">
        <f t="array" ref="F133">IF('Results and Rankings'!$A133="","",XLOOKUP('Results and Rankings'!$A133,'Robot Game Scores'!$B$2:$B$201,'Robot Game Scores'!$G$2:$G$201,0,0,))</f>
        <v/>
      </c>
      <c r="G133" s="69" t="str">
        <f t="array" ref="G133">IF('Results and Rankings'!$A133="","",XLOOKUP('Results and Rankings'!$A133,'Robot Game Scores'!$B$2:$B$201,'Robot Game Scores'!$H$2:$H$201,0,0,))</f>
        <v/>
      </c>
      <c r="H133" s="69" t="str">
        <f>IF('Results and Rankings'!$A133="","",IF(ISNA(LARGE('Results and Rankings'!$C133:$G133,1)+0.0001*LARGE('Results and Rankings'!$C133:$G133,2)+0.0000001*LARGE('Results and Rankings'!$C133:$G133,3)+1E-11*LARGE('Results and Rankings'!$C133:$G133,4)+1E-14*LARGE('Results and Rankings'!$C133:$G133,5)),0,LARGE('Results and Rankings'!$C133:$G133,1)+0.0001*LARGE('Results and Rankings'!$C133:$G133,2)+0.0000001*LARGE('Results and Rankings'!$C133:$G133,3)+1E-11*LARGE('Results and Rankings'!$C133:$G133,4)+1E-14*LARGE('Results and Rankings'!$C133:$G133,5)))</f>
        <v/>
      </c>
      <c r="I133" s="69" t="str">
        <f>IF('Results and Rankings'!$A133="","",_xlfn.RANK.EQ('Results and Rankings'!$H133,'Results and Rankings'!$H$3:$H$202))</f>
        <v/>
      </c>
      <c r="J133" s="69" t="str">
        <f t="array" ref="J133">IF('Results and Rankings'!$A133="","",XLOOKUP('Results and Rankings'!$A133,'Core Values Input'!$A$2:$A$201,'Core Values Input'!$V$2:$V$201,NumberOfTeams+1,0,))</f>
        <v/>
      </c>
      <c r="K133" s="69" t="str">
        <f t="array" ref="K133">IF('Results and Rankings'!$A133="","",XLOOKUP('Results and Rankings'!$A133,'Innovation Project Input'!$A$2:$A$201,'Innovation Project Input'!$N$2:$N$201,NumberOfTeams+1,0,))</f>
        <v/>
      </c>
      <c r="L133" s="69" t="str">
        <f t="array" ref="L133">IF('Results and Rankings'!$A133="","",XLOOKUP('Results and Rankings'!$A133,'Robot Design Input'!$A$2:$A$201,'Robot Design Input'!$N$2:$N$201,NumberOfTeams+1,0,))</f>
        <v/>
      </c>
      <c r="M133" s="69" t="str">
        <f> IF('Results and Rankings'!$A133="","",IF('Results and Rankings'!$J133="",NumberOfTeams+1,'Results and Rankings'!$J133) + IF('Results and Rankings'!$K133="",NumberOfTeams+1,'Results and Rankings'!$K133) + IF('Results and Rankings'!$L133="",NumberOfTeams+1,'Results and Rankings'!$L133) + 'Results and Rankings'!$I133)</f>
        <v/>
      </c>
      <c r="N133" s="70" t="str">
        <f>IF('Results and Rankings'!$A133="","",IF(M133,RANK(M133,M$3:M$202,1)-COUNTIF(M$3:M$202,0),NumberOfTeams+1))</f>
        <v/>
      </c>
      <c r="O133" s="72" t="str">
        <f t="array" ref="O133">XLOOKUP('Results and Rankings'!$A133,'Core Values Input'!$A$2:$A$201,'Core Values Input'!$W$2:$W$201,0,0,)</f>
        <v>#VALUE!</v>
      </c>
      <c r="P133" s="72" t="str">
        <f t="array" ref="P133">XLOOKUP('Results and Rankings'!$A133,'Core Values Input'!$A$2:$A$201,'Core Values Input'!$X$2:$X$201,0,0,)</f>
        <v>#VALUE!</v>
      </c>
      <c r="Q133" s="72" t="str">
        <f t="array" ref="Q133">XLOOKUP('Results and Rankings'!$A133,'Core Values Input'!$A$2:$A$201,'Core Values Input'!$Y$2:$Y$201,0,0,)</f>
        <v>#VALUE!</v>
      </c>
      <c r="R133" s="38"/>
      <c r="S133" s="38"/>
      <c r="T133" s="72"/>
      <c r="U133" s="69" t="str">
        <f t="array" ref="U133">XLOOKUP('Results and Rankings'!$A133,'Core Values Input'!$A$2:$A$201,'Core Values Input'!$U$2:$U$201,0,0,)</f>
        <v>#VALUE!</v>
      </c>
      <c r="V133" s="69" t="str">
        <f t="array" ref="V133">XLOOKUP('Results and Rankings'!$A133,'Innovation Project Input'!$A$2:$A$201,'Innovation Project Input'!$M$2:$M$201,0,0,)</f>
        <v>#VALUE!</v>
      </c>
      <c r="W133" s="69" t="str">
        <f t="array" ref="W133">XLOOKUP('Results and Rankings'!$A133,'Robot Design Input'!$A$2:$A$201,'Robot Design Input'!$M$2:$M$201,0,0,)</f>
        <v>#VALUE!</v>
      </c>
      <c r="X133" s="73">
        <f>IF(ISERR(GEOMEAN('Results and Rankings'!$H133,'Results and Rankings'!$U133,'Results and Rankings'!$V133,'Results and Rankings'!$W133)),0,GEOMEAN('Results and Rankings'!$H133,'Results and Rankings'!$U133,'Results and Rankings'!$V133,'Results and Rankings'!$W133))</f>
        <v>0</v>
      </c>
      <c r="Y133" s="38">
        <f>IF(X133,_xlfn.RANK.EQ(X133,X$3:X$110,0),NumberOfTeams)</f>
        <v>0</v>
      </c>
      <c r="Z133" s="38"/>
    </row>
    <row r="134" ht="21.0" customHeight="1">
      <c r="A134" s="67" t="str">
        <f t="array" ref="A134">XLOOKUP(132,'Team and Program Information'!$B$3:$B$202,'Team and Program Information'!$C$3:$C$202,"ERROR",0)</f>
        <v/>
      </c>
      <c r="B134" s="68" t="str">
        <f t="array" ref="B134">XLOOKUP('Results and Rankings'!$A134,'Team and Program Information'!$C$3:$C$202,'Team and Program Information'!$D$3:$D$202,"",0,)</f>
        <v>#VALUE!</v>
      </c>
      <c r="C134" s="69" t="str">
        <f t="array" ref="C134">IF('Results and Rankings'!$A134="","",XLOOKUP('Results and Rankings'!$A134,'Robot Game Scores'!$B$2:$B$201,'Robot Game Scores'!$D$2:$D$201,0,0,))</f>
        <v/>
      </c>
      <c r="D134" s="69" t="str">
        <f t="array" ref="D134">IF('Results and Rankings'!$A134="","",XLOOKUP('Results and Rankings'!$A134,'Robot Game Scores'!$B$2:$B$201,'Robot Game Scores'!$E$2:$E$201,0,0,))</f>
        <v/>
      </c>
      <c r="E134" s="69" t="str">
        <f t="array" ref="E134">IF('Results and Rankings'!$A134="","",XLOOKUP('Results and Rankings'!$A134,'Robot Game Scores'!$B$2:$B$201,'Robot Game Scores'!$F$2:$F$201,0,0,))</f>
        <v/>
      </c>
      <c r="F134" s="69" t="str">
        <f t="array" ref="F134">IF('Results and Rankings'!$A134="","",XLOOKUP('Results and Rankings'!$A134,'Robot Game Scores'!$B$2:$B$201,'Robot Game Scores'!$G$2:$G$201,0,0,))</f>
        <v/>
      </c>
      <c r="G134" s="69" t="str">
        <f t="array" ref="G134">IF('Results and Rankings'!$A134="","",XLOOKUP('Results and Rankings'!$A134,'Robot Game Scores'!$B$2:$B$201,'Robot Game Scores'!$H$2:$H$201,0,0,))</f>
        <v/>
      </c>
      <c r="H134" s="69" t="str">
        <f>IF('Results and Rankings'!$A134="","",IF(ISNA(LARGE('Results and Rankings'!$C134:$G134,1)+0.0001*LARGE('Results and Rankings'!$C134:$G134,2)+0.0000001*LARGE('Results and Rankings'!$C134:$G134,3)+1E-11*LARGE('Results and Rankings'!$C134:$G134,4)+1E-14*LARGE('Results and Rankings'!$C134:$G134,5)),0,LARGE('Results and Rankings'!$C134:$G134,1)+0.0001*LARGE('Results and Rankings'!$C134:$G134,2)+0.0000001*LARGE('Results and Rankings'!$C134:$G134,3)+1E-11*LARGE('Results and Rankings'!$C134:$G134,4)+1E-14*LARGE('Results and Rankings'!$C134:$G134,5)))</f>
        <v/>
      </c>
      <c r="I134" s="69" t="str">
        <f>IF('Results and Rankings'!$A134="","",_xlfn.RANK.EQ('Results and Rankings'!$H134,'Results and Rankings'!$H$3:$H$202))</f>
        <v/>
      </c>
      <c r="J134" s="69" t="str">
        <f t="array" ref="J134">IF('Results and Rankings'!$A134="","",XLOOKUP('Results and Rankings'!$A134,'Core Values Input'!$A$2:$A$201,'Core Values Input'!$V$2:$V$201,NumberOfTeams+1,0,))</f>
        <v/>
      </c>
      <c r="K134" s="69" t="str">
        <f t="array" ref="K134">IF('Results and Rankings'!$A134="","",XLOOKUP('Results and Rankings'!$A134,'Innovation Project Input'!$A$2:$A$201,'Innovation Project Input'!$N$2:$N$201,NumberOfTeams+1,0,))</f>
        <v/>
      </c>
      <c r="L134" s="69" t="str">
        <f t="array" ref="L134">IF('Results and Rankings'!$A134="","",XLOOKUP('Results and Rankings'!$A134,'Robot Design Input'!$A$2:$A$201,'Robot Design Input'!$N$2:$N$201,NumberOfTeams+1,0,))</f>
        <v/>
      </c>
      <c r="M134" s="69" t="str">
        <f> IF('Results and Rankings'!$A134="","",IF('Results and Rankings'!$J134="",NumberOfTeams+1,'Results and Rankings'!$J134) + IF('Results and Rankings'!$K134="",NumberOfTeams+1,'Results and Rankings'!$K134) + IF('Results and Rankings'!$L134="",NumberOfTeams+1,'Results and Rankings'!$L134) + 'Results and Rankings'!$I134)</f>
        <v/>
      </c>
      <c r="N134" s="70" t="str">
        <f>IF('Results and Rankings'!$A134="","",IF(M134,RANK(M134,M$3:M$202,1)-COUNTIF(M$3:M$202,0),NumberOfTeams+1))</f>
        <v/>
      </c>
      <c r="O134" s="72" t="str">
        <f t="array" ref="O134">XLOOKUP('Results and Rankings'!$A134,'Core Values Input'!$A$2:$A$201,'Core Values Input'!$W$2:$W$201,0,0,)</f>
        <v>#VALUE!</v>
      </c>
      <c r="P134" s="72" t="str">
        <f t="array" ref="P134">XLOOKUP('Results and Rankings'!$A134,'Core Values Input'!$A$2:$A$201,'Core Values Input'!$X$2:$X$201,0,0,)</f>
        <v>#VALUE!</v>
      </c>
      <c r="Q134" s="72" t="str">
        <f t="array" ref="Q134">XLOOKUP('Results and Rankings'!$A134,'Core Values Input'!$A$2:$A$201,'Core Values Input'!$Y$2:$Y$201,0,0,)</f>
        <v>#VALUE!</v>
      </c>
      <c r="R134" s="38"/>
      <c r="S134" s="38"/>
      <c r="T134" s="72"/>
      <c r="U134" s="69" t="str">
        <f t="array" ref="U134">XLOOKUP('Results and Rankings'!$A134,'Core Values Input'!$A$2:$A$201,'Core Values Input'!$U$2:$U$201,0,0,)</f>
        <v>#VALUE!</v>
      </c>
      <c r="V134" s="69" t="str">
        <f t="array" ref="V134">XLOOKUP('Results and Rankings'!$A134,'Innovation Project Input'!$A$2:$A$201,'Innovation Project Input'!$M$2:$M$201,0,0,)</f>
        <v>#VALUE!</v>
      </c>
      <c r="W134" s="69" t="str">
        <f t="array" ref="W134">XLOOKUP('Results and Rankings'!$A134,'Robot Design Input'!$A$2:$A$201,'Robot Design Input'!$M$2:$M$201,0,0,)</f>
        <v>#VALUE!</v>
      </c>
      <c r="X134" s="73">
        <f>IF(ISERR(GEOMEAN('Results and Rankings'!$H134,'Results and Rankings'!$U134,'Results and Rankings'!$V134,'Results and Rankings'!$W134)),0,GEOMEAN('Results and Rankings'!$H134,'Results and Rankings'!$U134,'Results and Rankings'!$V134,'Results and Rankings'!$W134))</f>
        <v>0</v>
      </c>
      <c r="Y134" s="38">
        <f>IF(X134,_xlfn.RANK.EQ(X134,X$3:X$110,0),NumberOfTeams)</f>
        <v>0</v>
      </c>
      <c r="Z134" s="38"/>
    </row>
    <row r="135" ht="21.0" customHeight="1">
      <c r="A135" s="67" t="str">
        <f t="array" ref="A135">XLOOKUP(133,'Team and Program Information'!$B$3:$B$202,'Team and Program Information'!$C$3:$C$202,"ERROR",0)</f>
        <v/>
      </c>
      <c r="B135" s="68" t="str">
        <f t="array" ref="B135">XLOOKUP('Results and Rankings'!$A135,'Team and Program Information'!$C$3:$C$202,'Team and Program Information'!$D$3:$D$202,"",0,)</f>
        <v>#VALUE!</v>
      </c>
      <c r="C135" s="69" t="str">
        <f t="array" ref="C135">IF('Results and Rankings'!$A135="","",XLOOKUP('Results and Rankings'!$A135,'Robot Game Scores'!$B$2:$B$201,'Robot Game Scores'!$D$2:$D$201,0,0,))</f>
        <v/>
      </c>
      <c r="D135" s="69" t="str">
        <f t="array" ref="D135">IF('Results and Rankings'!$A135="","",XLOOKUP('Results and Rankings'!$A135,'Robot Game Scores'!$B$2:$B$201,'Robot Game Scores'!$E$2:$E$201,0,0,))</f>
        <v/>
      </c>
      <c r="E135" s="69" t="str">
        <f t="array" ref="E135">IF('Results and Rankings'!$A135="","",XLOOKUP('Results and Rankings'!$A135,'Robot Game Scores'!$B$2:$B$201,'Robot Game Scores'!$F$2:$F$201,0,0,))</f>
        <v/>
      </c>
      <c r="F135" s="69" t="str">
        <f t="array" ref="F135">IF('Results and Rankings'!$A135="","",XLOOKUP('Results and Rankings'!$A135,'Robot Game Scores'!$B$2:$B$201,'Robot Game Scores'!$G$2:$G$201,0,0,))</f>
        <v/>
      </c>
      <c r="G135" s="69" t="str">
        <f t="array" ref="G135">IF('Results and Rankings'!$A135="","",XLOOKUP('Results and Rankings'!$A135,'Robot Game Scores'!$B$2:$B$201,'Robot Game Scores'!$H$2:$H$201,0,0,))</f>
        <v/>
      </c>
      <c r="H135" s="69" t="str">
        <f>IF('Results and Rankings'!$A135="","",IF(ISNA(LARGE('Results and Rankings'!$C135:$G135,1)+0.0001*LARGE('Results and Rankings'!$C135:$G135,2)+0.0000001*LARGE('Results and Rankings'!$C135:$G135,3)+1E-11*LARGE('Results and Rankings'!$C135:$G135,4)+1E-14*LARGE('Results and Rankings'!$C135:$G135,5)),0,LARGE('Results and Rankings'!$C135:$G135,1)+0.0001*LARGE('Results and Rankings'!$C135:$G135,2)+0.0000001*LARGE('Results and Rankings'!$C135:$G135,3)+1E-11*LARGE('Results and Rankings'!$C135:$G135,4)+1E-14*LARGE('Results and Rankings'!$C135:$G135,5)))</f>
        <v/>
      </c>
      <c r="I135" s="69" t="str">
        <f>IF('Results and Rankings'!$A135="","",_xlfn.RANK.EQ('Results and Rankings'!$H135,'Results and Rankings'!$H$3:$H$202))</f>
        <v/>
      </c>
      <c r="J135" s="69" t="str">
        <f t="array" ref="J135">IF('Results and Rankings'!$A135="","",XLOOKUP('Results and Rankings'!$A135,'Core Values Input'!$A$2:$A$201,'Core Values Input'!$V$2:$V$201,NumberOfTeams+1,0,))</f>
        <v/>
      </c>
      <c r="K135" s="69" t="str">
        <f t="array" ref="K135">IF('Results and Rankings'!$A135="","",XLOOKUP('Results and Rankings'!$A135,'Innovation Project Input'!$A$2:$A$201,'Innovation Project Input'!$N$2:$N$201,NumberOfTeams+1,0,))</f>
        <v/>
      </c>
      <c r="L135" s="69" t="str">
        <f t="array" ref="L135">IF('Results and Rankings'!$A135="","",XLOOKUP('Results and Rankings'!$A135,'Robot Design Input'!$A$2:$A$201,'Robot Design Input'!$N$2:$N$201,NumberOfTeams+1,0,))</f>
        <v/>
      </c>
      <c r="M135" s="69" t="str">
        <f> IF('Results and Rankings'!$A135="","",IF('Results and Rankings'!$J135="",NumberOfTeams+1,'Results and Rankings'!$J135) + IF('Results and Rankings'!$K135="",NumberOfTeams+1,'Results and Rankings'!$K135) + IF('Results and Rankings'!$L135="",NumberOfTeams+1,'Results and Rankings'!$L135) + 'Results and Rankings'!$I135)</f>
        <v/>
      </c>
      <c r="N135" s="70" t="str">
        <f>IF('Results and Rankings'!$A135="","",IF(M135,RANK(M135,M$3:M$202,1)-COUNTIF(M$3:M$202,0),NumberOfTeams+1))</f>
        <v/>
      </c>
      <c r="O135" s="72" t="str">
        <f t="array" ref="O135">XLOOKUP('Results and Rankings'!$A135,'Core Values Input'!$A$2:$A$201,'Core Values Input'!$W$2:$W$201,0,0,)</f>
        <v>#VALUE!</v>
      </c>
      <c r="P135" s="72" t="str">
        <f t="array" ref="P135">XLOOKUP('Results and Rankings'!$A135,'Core Values Input'!$A$2:$A$201,'Core Values Input'!$X$2:$X$201,0,0,)</f>
        <v>#VALUE!</v>
      </c>
      <c r="Q135" s="72" t="str">
        <f t="array" ref="Q135">XLOOKUP('Results and Rankings'!$A135,'Core Values Input'!$A$2:$A$201,'Core Values Input'!$Y$2:$Y$201,0,0,)</f>
        <v>#VALUE!</v>
      </c>
      <c r="R135" s="38"/>
      <c r="S135" s="38"/>
      <c r="T135" s="72"/>
      <c r="U135" s="69" t="str">
        <f t="array" ref="U135">XLOOKUP('Results and Rankings'!$A135,'Core Values Input'!$A$2:$A$201,'Core Values Input'!$U$2:$U$201,0,0,)</f>
        <v>#VALUE!</v>
      </c>
      <c r="V135" s="69" t="str">
        <f t="array" ref="V135">XLOOKUP('Results and Rankings'!$A135,'Innovation Project Input'!$A$2:$A$201,'Innovation Project Input'!$M$2:$M$201,0,0,)</f>
        <v>#VALUE!</v>
      </c>
      <c r="W135" s="69" t="str">
        <f t="array" ref="W135">XLOOKUP('Results and Rankings'!$A135,'Robot Design Input'!$A$2:$A$201,'Robot Design Input'!$M$2:$M$201,0,0,)</f>
        <v>#VALUE!</v>
      </c>
      <c r="X135" s="73">
        <f>IF(ISERR(GEOMEAN('Results and Rankings'!$H135,'Results and Rankings'!$U135,'Results and Rankings'!$V135,'Results and Rankings'!$W135)),0,GEOMEAN('Results and Rankings'!$H135,'Results and Rankings'!$U135,'Results and Rankings'!$V135,'Results and Rankings'!$W135))</f>
        <v>0</v>
      </c>
      <c r="Y135" s="38">
        <f>IF(X135,_xlfn.RANK.EQ(X135,X$3:X$110,0),NumberOfTeams)</f>
        <v>0</v>
      </c>
      <c r="Z135" s="38"/>
    </row>
    <row r="136" ht="21.0" customHeight="1">
      <c r="A136" s="67" t="str">
        <f t="array" ref="A136">XLOOKUP(134,'Team and Program Information'!$B$3:$B$202,'Team and Program Information'!$C$3:$C$202,"ERROR",0)</f>
        <v/>
      </c>
      <c r="B136" s="68" t="str">
        <f t="array" ref="B136">XLOOKUP('Results and Rankings'!$A136,'Team and Program Information'!$C$3:$C$202,'Team and Program Information'!$D$3:$D$202,"",0,)</f>
        <v>#VALUE!</v>
      </c>
      <c r="C136" s="69" t="str">
        <f t="array" ref="C136">IF('Results and Rankings'!$A136="","",XLOOKUP('Results and Rankings'!$A136,'Robot Game Scores'!$B$2:$B$201,'Robot Game Scores'!$D$2:$D$201,0,0,))</f>
        <v/>
      </c>
      <c r="D136" s="69" t="str">
        <f t="array" ref="D136">IF('Results and Rankings'!$A136="","",XLOOKUP('Results and Rankings'!$A136,'Robot Game Scores'!$B$2:$B$201,'Robot Game Scores'!$E$2:$E$201,0,0,))</f>
        <v/>
      </c>
      <c r="E136" s="69" t="str">
        <f t="array" ref="E136">IF('Results and Rankings'!$A136="","",XLOOKUP('Results and Rankings'!$A136,'Robot Game Scores'!$B$2:$B$201,'Robot Game Scores'!$F$2:$F$201,0,0,))</f>
        <v/>
      </c>
      <c r="F136" s="69" t="str">
        <f t="array" ref="F136">IF('Results and Rankings'!$A136="","",XLOOKUP('Results and Rankings'!$A136,'Robot Game Scores'!$B$2:$B$201,'Robot Game Scores'!$G$2:$G$201,0,0,))</f>
        <v/>
      </c>
      <c r="G136" s="69" t="str">
        <f t="array" ref="G136">IF('Results and Rankings'!$A136="","",XLOOKUP('Results and Rankings'!$A136,'Robot Game Scores'!$B$2:$B$201,'Robot Game Scores'!$H$2:$H$201,0,0,))</f>
        <v/>
      </c>
      <c r="H136" s="69" t="str">
        <f>IF('Results and Rankings'!$A136="","",IF(ISNA(LARGE('Results and Rankings'!$C136:$G136,1)+0.0001*LARGE('Results and Rankings'!$C136:$G136,2)+0.0000001*LARGE('Results and Rankings'!$C136:$G136,3)+1E-11*LARGE('Results and Rankings'!$C136:$G136,4)+1E-14*LARGE('Results and Rankings'!$C136:$G136,5)),0,LARGE('Results and Rankings'!$C136:$G136,1)+0.0001*LARGE('Results and Rankings'!$C136:$G136,2)+0.0000001*LARGE('Results and Rankings'!$C136:$G136,3)+1E-11*LARGE('Results and Rankings'!$C136:$G136,4)+1E-14*LARGE('Results and Rankings'!$C136:$G136,5)))</f>
        <v/>
      </c>
      <c r="I136" s="69" t="str">
        <f>IF('Results and Rankings'!$A136="","",_xlfn.RANK.EQ('Results and Rankings'!$H136,'Results and Rankings'!$H$3:$H$202))</f>
        <v/>
      </c>
      <c r="J136" s="69" t="str">
        <f t="array" ref="J136">IF('Results and Rankings'!$A136="","",XLOOKUP('Results and Rankings'!$A136,'Core Values Input'!$A$2:$A$201,'Core Values Input'!$V$2:$V$201,NumberOfTeams+1,0,))</f>
        <v/>
      </c>
      <c r="K136" s="69" t="str">
        <f t="array" ref="K136">IF('Results and Rankings'!$A136="","",XLOOKUP('Results and Rankings'!$A136,'Innovation Project Input'!$A$2:$A$201,'Innovation Project Input'!$N$2:$N$201,NumberOfTeams+1,0,))</f>
        <v/>
      </c>
      <c r="L136" s="69" t="str">
        <f t="array" ref="L136">IF('Results and Rankings'!$A136="","",XLOOKUP('Results and Rankings'!$A136,'Robot Design Input'!$A$2:$A$201,'Robot Design Input'!$N$2:$N$201,NumberOfTeams+1,0,))</f>
        <v/>
      </c>
      <c r="M136" s="69" t="str">
        <f> IF('Results and Rankings'!$A136="","",IF('Results and Rankings'!$J136="",NumberOfTeams+1,'Results and Rankings'!$J136) + IF('Results and Rankings'!$K136="",NumberOfTeams+1,'Results and Rankings'!$K136) + IF('Results and Rankings'!$L136="",NumberOfTeams+1,'Results and Rankings'!$L136) + 'Results and Rankings'!$I136)</f>
        <v/>
      </c>
      <c r="N136" s="70" t="str">
        <f>IF('Results and Rankings'!$A136="","",IF(M136,RANK(M136,M$3:M$202,1)-COUNTIF(M$3:M$202,0),NumberOfTeams+1))</f>
        <v/>
      </c>
      <c r="O136" s="72" t="str">
        <f t="array" ref="O136">XLOOKUP('Results and Rankings'!$A136,'Core Values Input'!$A$2:$A$201,'Core Values Input'!$W$2:$W$201,0,0,)</f>
        <v>#VALUE!</v>
      </c>
      <c r="P136" s="72" t="str">
        <f t="array" ref="P136">XLOOKUP('Results and Rankings'!$A136,'Core Values Input'!$A$2:$A$201,'Core Values Input'!$X$2:$X$201,0,0,)</f>
        <v>#VALUE!</v>
      </c>
      <c r="Q136" s="72" t="str">
        <f t="array" ref="Q136">XLOOKUP('Results and Rankings'!$A136,'Core Values Input'!$A$2:$A$201,'Core Values Input'!$Y$2:$Y$201,0,0,)</f>
        <v>#VALUE!</v>
      </c>
      <c r="R136" s="38"/>
      <c r="S136" s="38"/>
      <c r="T136" s="72"/>
      <c r="U136" s="69" t="str">
        <f t="array" ref="U136">XLOOKUP('Results and Rankings'!$A136,'Core Values Input'!$A$2:$A$201,'Core Values Input'!$U$2:$U$201,0,0,)</f>
        <v>#VALUE!</v>
      </c>
      <c r="V136" s="69" t="str">
        <f t="array" ref="V136">XLOOKUP('Results and Rankings'!$A136,'Innovation Project Input'!$A$2:$A$201,'Innovation Project Input'!$M$2:$M$201,0,0,)</f>
        <v>#VALUE!</v>
      </c>
      <c r="W136" s="69" t="str">
        <f t="array" ref="W136">XLOOKUP('Results and Rankings'!$A136,'Robot Design Input'!$A$2:$A$201,'Robot Design Input'!$M$2:$M$201,0,0,)</f>
        <v>#VALUE!</v>
      </c>
      <c r="X136" s="73">
        <f>IF(ISERR(GEOMEAN('Results and Rankings'!$H136,'Results and Rankings'!$U136,'Results and Rankings'!$V136,'Results and Rankings'!$W136)),0,GEOMEAN('Results and Rankings'!$H136,'Results and Rankings'!$U136,'Results and Rankings'!$V136,'Results and Rankings'!$W136))</f>
        <v>0</v>
      </c>
      <c r="Y136" s="38">
        <f>IF(X136,_xlfn.RANK.EQ(X136,X$3:X$110,0),NumberOfTeams)</f>
        <v>0</v>
      </c>
      <c r="Z136" s="38"/>
    </row>
    <row r="137" ht="21.0" customHeight="1">
      <c r="A137" s="67" t="str">
        <f t="array" ref="A137">XLOOKUP(135,'Team and Program Information'!$B$3:$B$202,'Team and Program Information'!$C$3:$C$202,"ERROR",0)</f>
        <v/>
      </c>
      <c r="B137" s="68" t="str">
        <f t="array" ref="B137">XLOOKUP('Results and Rankings'!$A137,'Team and Program Information'!$C$3:$C$202,'Team and Program Information'!$D$3:$D$202,"",0,)</f>
        <v>#VALUE!</v>
      </c>
      <c r="C137" s="69" t="str">
        <f t="array" ref="C137">IF('Results and Rankings'!$A137="","",XLOOKUP('Results and Rankings'!$A137,'Robot Game Scores'!$B$2:$B$201,'Robot Game Scores'!$D$2:$D$201,0,0,))</f>
        <v/>
      </c>
      <c r="D137" s="69" t="str">
        <f t="array" ref="D137">IF('Results and Rankings'!$A137="","",XLOOKUP('Results and Rankings'!$A137,'Robot Game Scores'!$B$2:$B$201,'Robot Game Scores'!$E$2:$E$201,0,0,))</f>
        <v/>
      </c>
      <c r="E137" s="69" t="str">
        <f t="array" ref="E137">IF('Results and Rankings'!$A137="","",XLOOKUP('Results and Rankings'!$A137,'Robot Game Scores'!$B$2:$B$201,'Robot Game Scores'!$F$2:$F$201,0,0,))</f>
        <v/>
      </c>
      <c r="F137" s="69" t="str">
        <f t="array" ref="F137">IF('Results and Rankings'!$A137="","",XLOOKUP('Results and Rankings'!$A137,'Robot Game Scores'!$B$2:$B$201,'Robot Game Scores'!$G$2:$G$201,0,0,))</f>
        <v/>
      </c>
      <c r="G137" s="69" t="str">
        <f t="array" ref="G137">IF('Results and Rankings'!$A137="","",XLOOKUP('Results and Rankings'!$A137,'Robot Game Scores'!$B$2:$B$201,'Robot Game Scores'!$H$2:$H$201,0,0,))</f>
        <v/>
      </c>
      <c r="H137" s="69" t="str">
        <f>IF('Results and Rankings'!$A137="","",IF(ISNA(LARGE('Results and Rankings'!$C137:$G137,1)+0.0001*LARGE('Results and Rankings'!$C137:$G137,2)+0.0000001*LARGE('Results and Rankings'!$C137:$G137,3)+1E-11*LARGE('Results and Rankings'!$C137:$G137,4)+1E-14*LARGE('Results and Rankings'!$C137:$G137,5)),0,LARGE('Results and Rankings'!$C137:$G137,1)+0.0001*LARGE('Results and Rankings'!$C137:$G137,2)+0.0000001*LARGE('Results and Rankings'!$C137:$G137,3)+1E-11*LARGE('Results and Rankings'!$C137:$G137,4)+1E-14*LARGE('Results and Rankings'!$C137:$G137,5)))</f>
        <v/>
      </c>
      <c r="I137" s="69" t="str">
        <f>IF('Results and Rankings'!$A137="","",_xlfn.RANK.EQ('Results and Rankings'!$H137,'Results and Rankings'!$H$3:$H$202))</f>
        <v/>
      </c>
      <c r="J137" s="69" t="str">
        <f t="array" ref="J137">IF('Results and Rankings'!$A137="","",XLOOKUP('Results and Rankings'!$A137,'Core Values Input'!$A$2:$A$201,'Core Values Input'!$V$2:$V$201,NumberOfTeams+1,0,))</f>
        <v/>
      </c>
      <c r="K137" s="69" t="str">
        <f t="array" ref="K137">IF('Results and Rankings'!$A137="","",XLOOKUP('Results and Rankings'!$A137,'Innovation Project Input'!$A$2:$A$201,'Innovation Project Input'!$N$2:$N$201,NumberOfTeams+1,0,))</f>
        <v/>
      </c>
      <c r="L137" s="69" t="str">
        <f t="array" ref="L137">IF('Results and Rankings'!$A137="","",XLOOKUP('Results and Rankings'!$A137,'Robot Design Input'!$A$2:$A$201,'Robot Design Input'!$N$2:$N$201,NumberOfTeams+1,0,))</f>
        <v/>
      </c>
      <c r="M137" s="69" t="str">
        <f> IF('Results and Rankings'!$A137="","",IF('Results and Rankings'!$J137="",NumberOfTeams+1,'Results and Rankings'!$J137) + IF('Results and Rankings'!$K137="",NumberOfTeams+1,'Results and Rankings'!$K137) + IF('Results and Rankings'!$L137="",NumberOfTeams+1,'Results and Rankings'!$L137) + 'Results and Rankings'!$I137)</f>
        <v/>
      </c>
      <c r="N137" s="70" t="str">
        <f>IF('Results and Rankings'!$A137="","",IF(M137,RANK(M137,M$3:M$202,1)-COUNTIF(M$3:M$202,0),NumberOfTeams+1))</f>
        <v/>
      </c>
      <c r="O137" s="72" t="str">
        <f t="array" ref="O137">XLOOKUP('Results and Rankings'!$A137,'Core Values Input'!$A$2:$A$201,'Core Values Input'!$W$2:$W$201,0,0,)</f>
        <v>#VALUE!</v>
      </c>
      <c r="P137" s="72" t="str">
        <f t="array" ref="P137">XLOOKUP('Results and Rankings'!$A137,'Core Values Input'!$A$2:$A$201,'Core Values Input'!$X$2:$X$201,0,0,)</f>
        <v>#VALUE!</v>
      </c>
      <c r="Q137" s="72" t="str">
        <f t="array" ref="Q137">XLOOKUP('Results and Rankings'!$A137,'Core Values Input'!$A$2:$A$201,'Core Values Input'!$Y$2:$Y$201,0,0,)</f>
        <v>#VALUE!</v>
      </c>
      <c r="R137" s="38"/>
      <c r="S137" s="38"/>
      <c r="T137" s="72"/>
      <c r="U137" s="69" t="str">
        <f t="array" ref="U137">XLOOKUP('Results and Rankings'!$A137,'Core Values Input'!$A$2:$A$201,'Core Values Input'!$U$2:$U$201,0,0,)</f>
        <v>#VALUE!</v>
      </c>
      <c r="V137" s="69" t="str">
        <f t="array" ref="V137">XLOOKUP('Results and Rankings'!$A137,'Innovation Project Input'!$A$2:$A$201,'Innovation Project Input'!$M$2:$M$201,0,0,)</f>
        <v>#VALUE!</v>
      </c>
      <c r="W137" s="69" t="str">
        <f t="array" ref="W137">XLOOKUP('Results and Rankings'!$A137,'Robot Design Input'!$A$2:$A$201,'Robot Design Input'!$M$2:$M$201,0,0,)</f>
        <v>#VALUE!</v>
      </c>
      <c r="X137" s="73">
        <f>IF(ISERR(GEOMEAN('Results and Rankings'!$H137,'Results and Rankings'!$U137,'Results and Rankings'!$V137,'Results and Rankings'!$W137)),0,GEOMEAN('Results and Rankings'!$H137,'Results and Rankings'!$U137,'Results and Rankings'!$V137,'Results and Rankings'!$W137))</f>
        <v>0</v>
      </c>
      <c r="Y137" s="38">
        <f>IF(X137,_xlfn.RANK.EQ(X137,X$3:X$110,0),NumberOfTeams)</f>
        <v>0</v>
      </c>
      <c r="Z137" s="38"/>
    </row>
    <row r="138" ht="21.0" customHeight="1">
      <c r="A138" s="67" t="str">
        <f t="array" ref="A138">XLOOKUP(136,'Team and Program Information'!$B$3:$B$202,'Team and Program Information'!$C$3:$C$202,"ERROR",0)</f>
        <v/>
      </c>
      <c r="B138" s="68" t="str">
        <f t="array" ref="B138">XLOOKUP('Results and Rankings'!$A138,'Team and Program Information'!$C$3:$C$202,'Team and Program Information'!$D$3:$D$202,"",0,)</f>
        <v>#VALUE!</v>
      </c>
      <c r="C138" s="69" t="str">
        <f t="array" ref="C138">IF('Results and Rankings'!$A138="","",XLOOKUP('Results and Rankings'!$A138,'Robot Game Scores'!$B$2:$B$201,'Robot Game Scores'!$D$2:$D$201,0,0,))</f>
        <v/>
      </c>
      <c r="D138" s="69" t="str">
        <f t="array" ref="D138">IF('Results and Rankings'!$A138="","",XLOOKUP('Results and Rankings'!$A138,'Robot Game Scores'!$B$2:$B$201,'Robot Game Scores'!$E$2:$E$201,0,0,))</f>
        <v/>
      </c>
      <c r="E138" s="69" t="str">
        <f t="array" ref="E138">IF('Results and Rankings'!$A138="","",XLOOKUP('Results and Rankings'!$A138,'Robot Game Scores'!$B$2:$B$201,'Robot Game Scores'!$F$2:$F$201,0,0,))</f>
        <v/>
      </c>
      <c r="F138" s="69" t="str">
        <f t="array" ref="F138">IF('Results and Rankings'!$A138="","",XLOOKUP('Results and Rankings'!$A138,'Robot Game Scores'!$B$2:$B$201,'Robot Game Scores'!$G$2:$G$201,0,0,))</f>
        <v/>
      </c>
      <c r="G138" s="69" t="str">
        <f t="array" ref="G138">IF('Results and Rankings'!$A138="","",XLOOKUP('Results and Rankings'!$A138,'Robot Game Scores'!$B$2:$B$201,'Robot Game Scores'!$H$2:$H$201,0,0,))</f>
        <v/>
      </c>
      <c r="H138" s="69" t="str">
        <f>IF('Results and Rankings'!$A138="","",IF(ISNA(LARGE('Results and Rankings'!$C138:$G138,1)+0.0001*LARGE('Results and Rankings'!$C138:$G138,2)+0.0000001*LARGE('Results and Rankings'!$C138:$G138,3)+1E-11*LARGE('Results and Rankings'!$C138:$G138,4)+1E-14*LARGE('Results and Rankings'!$C138:$G138,5)),0,LARGE('Results and Rankings'!$C138:$G138,1)+0.0001*LARGE('Results and Rankings'!$C138:$G138,2)+0.0000001*LARGE('Results and Rankings'!$C138:$G138,3)+1E-11*LARGE('Results and Rankings'!$C138:$G138,4)+1E-14*LARGE('Results and Rankings'!$C138:$G138,5)))</f>
        <v/>
      </c>
      <c r="I138" s="69" t="str">
        <f>IF('Results and Rankings'!$A138="","",_xlfn.RANK.EQ('Results and Rankings'!$H138,'Results and Rankings'!$H$3:$H$202))</f>
        <v/>
      </c>
      <c r="J138" s="69" t="str">
        <f t="array" ref="J138">IF('Results and Rankings'!$A138="","",XLOOKUP('Results and Rankings'!$A138,'Core Values Input'!$A$2:$A$201,'Core Values Input'!$V$2:$V$201,NumberOfTeams+1,0,))</f>
        <v/>
      </c>
      <c r="K138" s="69" t="str">
        <f t="array" ref="K138">IF('Results and Rankings'!$A138="","",XLOOKUP('Results and Rankings'!$A138,'Innovation Project Input'!$A$2:$A$201,'Innovation Project Input'!$N$2:$N$201,NumberOfTeams+1,0,))</f>
        <v/>
      </c>
      <c r="L138" s="69" t="str">
        <f t="array" ref="L138">IF('Results and Rankings'!$A138="","",XLOOKUP('Results and Rankings'!$A138,'Robot Design Input'!$A$2:$A$201,'Robot Design Input'!$N$2:$N$201,NumberOfTeams+1,0,))</f>
        <v/>
      </c>
      <c r="M138" s="69" t="str">
        <f> IF('Results and Rankings'!$A138="","",IF('Results and Rankings'!$J138="",NumberOfTeams+1,'Results and Rankings'!$J138) + IF('Results and Rankings'!$K138="",NumberOfTeams+1,'Results and Rankings'!$K138) + IF('Results and Rankings'!$L138="",NumberOfTeams+1,'Results and Rankings'!$L138) + 'Results and Rankings'!$I138)</f>
        <v/>
      </c>
      <c r="N138" s="70" t="str">
        <f>IF('Results and Rankings'!$A138="","",IF(M138,RANK(M138,M$3:M$202,1)-COUNTIF(M$3:M$202,0),NumberOfTeams+1))</f>
        <v/>
      </c>
      <c r="O138" s="72" t="str">
        <f t="array" ref="O138">XLOOKUP('Results and Rankings'!$A138,'Core Values Input'!$A$2:$A$201,'Core Values Input'!$W$2:$W$201,0,0,)</f>
        <v>#VALUE!</v>
      </c>
      <c r="P138" s="72" t="str">
        <f t="array" ref="P138">XLOOKUP('Results and Rankings'!$A138,'Core Values Input'!$A$2:$A$201,'Core Values Input'!$X$2:$X$201,0,0,)</f>
        <v>#VALUE!</v>
      </c>
      <c r="Q138" s="72" t="str">
        <f t="array" ref="Q138">XLOOKUP('Results and Rankings'!$A138,'Core Values Input'!$A$2:$A$201,'Core Values Input'!$Y$2:$Y$201,0,0,)</f>
        <v>#VALUE!</v>
      </c>
      <c r="R138" s="38"/>
      <c r="S138" s="38"/>
      <c r="T138" s="72"/>
      <c r="U138" s="69" t="str">
        <f t="array" ref="U138">XLOOKUP('Results and Rankings'!$A138,'Core Values Input'!$A$2:$A$201,'Core Values Input'!$U$2:$U$201,0,0,)</f>
        <v>#VALUE!</v>
      </c>
      <c r="V138" s="69" t="str">
        <f t="array" ref="V138">XLOOKUP('Results and Rankings'!$A138,'Innovation Project Input'!$A$2:$A$201,'Innovation Project Input'!$M$2:$M$201,0,0,)</f>
        <v>#VALUE!</v>
      </c>
      <c r="W138" s="69" t="str">
        <f t="array" ref="W138">XLOOKUP('Results and Rankings'!$A138,'Robot Design Input'!$A$2:$A$201,'Robot Design Input'!$M$2:$M$201,0,0,)</f>
        <v>#VALUE!</v>
      </c>
      <c r="X138" s="73">
        <f>IF(ISERR(GEOMEAN('Results and Rankings'!$H138,'Results and Rankings'!$U138,'Results and Rankings'!$V138,'Results and Rankings'!$W138)),0,GEOMEAN('Results and Rankings'!$H138,'Results and Rankings'!$U138,'Results and Rankings'!$V138,'Results and Rankings'!$W138))</f>
        <v>0</v>
      </c>
      <c r="Y138" s="38">
        <f>IF(X138,_xlfn.RANK.EQ(X138,X$3:X$110,0),NumberOfTeams)</f>
        <v>0</v>
      </c>
      <c r="Z138" s="38"/>
    </row>
    <row r="139" ht="21.0" customHeight="1">
      <c r="A139" s="67" t="str">
        <f t="array" ref="A139">XLOOKUP(137,'Team and Program Information'!$B$3:$B$202,'Team and Program Information'!$C$3:$C$202,"ERROR",0)</f>
        <v/>
      </c>
      <c r="B139" s="68" t="str">
        <f t="array" ref="B139">XLOOKUP('Results and Rankings'!$A139,'Team and Program Information'!$C$3:$C$202,'Team and Program Information'!$D$3:$D$202,"",0,)</f>
        <v>#VALUE!</v>
      </c>
      <c r="C139" s="69" t="str">
        <f t="array" ref="C139">IF('Results and Rankings'!$A139="","",XLOOKUP('Results and Rankings'!$A139,'Robot Game Scores'!$B$2:$B$201,'Robot Game Scores'!$D$2:$D$201,0,0,))</f>
        <v/>
      </c>
      <c r="D139" s="69" t="str">
        <f t="array" ref="D139">IF('Results and Rankings'!$A139="","",XLOOKUP('Results and Rankings'!$A139,'Robot Game Scores'!$B$2:$B$201,'Robot Game Scores'!$E$2:$E$201,0,0,))</f>
        <v/>
      </c>
      <c r="E139" s="69" t="str">
        <f t="array" ref="E139">IF('Results and Rankings'!$A139="","",XLOOKUP('Results and Rankings'!$A139,'Robot Game Scores'!$B$2:$B$201,'Robot Game Scores'!$F$2:$F$201,0,0,))</f>
        <v/>
      </c>
      <c r="F139" s="69" t="str">
        <f t="array" ref="F139">IF('Results and Rankings'!$A139="","",XLOOKUP('Results and Rankings'!$A139,'Robot Game Scores'!$B$2:$B$201,'Robot Game Scores'!$G$2:$G$201,0,0,))</f>
        <v/>
      </c>
      <c r="G139" s="69" t="str">
        <f t="array" ref="G139">IF('Results and Rankings'!$A139="","",XLOOKUP('Results and Rankings'!$A139,'Robot Game Scores'!$B$2:$B$201,'Robot Game Scores'!$H$2:$H$201,0,0,))</f>
        <v/>
      </c>
      <c r="H139" s="69" t="str">
        <f>IF('Results and Rankings'!$A139="","",IF(ISNA(LARGE('Results and Rankings'!$C139:$G139,1)+0.0001*LARGE('Results and Rankings'!$C139:$G139,2)+0.0000001*LARGE('Results and Rankings'!$C139:$G139,3)+1E-11*LARGE('Results and Rankings'!$C139:$G139,4)+1E-14*LARGE('Results and Rankings'!$C139:$G139,5)),0,LARGE('Results and Rankings'!$C139:$G139,1)+0.0001*LARGE('Results and Rankings'!$C139:$G139,2)+0.0000001*LARGE('Results and Rankings'!$C139:$G139,3)+1E-11*LARGE('Results and Rankings'!$C139:$G139,4)+1E-14*LARGE('Results and Rankings'!$C139:$G139,5)))</f>
        <v/>
      </c>
      <c r="I139" s="69" t="str">
        <f>IF('Results and Rankings'!$A139="","",_xlfn.RANK.EQ('Results and Rankings'!$H139,'Results and Rankings'!$H$3:$H$202))</f>
        <v/>
      </c>
      <c r="J139" s="69" t="str">
        <f t="array" ref="J139">IF('Results and Rankings'!$A139="","",XLOOKUP('Results and Rankings'!$A139,'Core Values Input'!$A$2:$A$201,'Core Values Input'!$V$2:$V$201,NumberOfTeams+1,0,))</f>
        <v/>
      </c>
      <c r="K139" s="69" t="str">
        <f t="array" ref="K139">IF('Results and Rankings'!$A139="","",XLOOKUP('Results and Rankings'!$A139,'Innovation Project Input'!$A$2:$A$201,'Innovation Project Input'!$N$2:$N$201,NumberOfTeams+1,0,))</f>
        <v/>
      </c>
      <c r="L139" s="69" t="str">
        <f t="array" ref="L139">IF('Results and Rankings'!$A139="","",XLOOKUP('Results and Rankings'!$A139,'Robot Design Input'!$A$2:$A$201,'Robot Design Input'!$N$2:$N$201,NumberOfTeams+1,0,))</f>
        <v/>
      </c>
      <c r="M139" s="69" t="str">
        <f> IF('Results and Rankings'!$A139="","",IF('Results and Rankings'!$J139="",NumberOfTeams+1,'Results and Rankings'!$J139) + IF('Results and Rankings'!$K139="",NumberOfTeams+1,'Results and Rankings'!$K139) + IF('Results and Rankings'!$L139="",NumberOfTeams+1,'Results and Rankings'!$L139) + 'Results and Rankings'!$I139)</f>
        <v/>
      </c>
      <c r="N139" s="70" t="str">
        <f>IF('Results and Rankings'!$A139="","",IF(M139,RANK(M139,M$3:M$202,1)-COUNTIF(M$3:M$202,0),NumberOfTeams+1))</f>
        <v/>
      </c>
      <c r="O139" s="72" t="str">
        <f t="array" ref="O139">XLOOKUP('Results and Rankings'!$A139,'Core Values Input'!$A$2:$A$201,'Core Values Input'!$W$2:$W$201,0,0,)</f>
        <v>#VALUE!</v>
      </c>
      <c r="P139" s="72" t="str">
        <f t="array" ref="P139">XLOOKUP('Results and Rankings'!$A139,'Core Values Input'!$A$2:$A$201,'Core Values Input'!$X$2:$X$201,0,0,)</f>
        <v>#VALUE!</v>
      </c>
      <c r="Q139" s="72" t="str">
        <f t="array" ref="Q139">XLOOKUP('Results and Rankings'!$A139,'Core Values Input'!$A$2:$A$201,'Core Values Input'!$Y$2:$Y$201,0,0,)</f>
        <v>#VALUE!</v>
      </c>
      <c r="R139" s="38"/>
      <c r="S139" s="38"/>
      <c r="T139" s="72"/>
      <c r="U139" s="69" t="str">
        <f t="array" ref="U139">XLOOKUP('Results and Rankings'!$A139,'Core Values Input'!$A$2:$A$201,'Core Values Input'!$U$2:$U$201,0,0,)</f>
        <v>#VALUE!</v>
      </c>
      <c r="V139" s="69" t="str">
        <f t="array" ref="V139">XLOOKUP('Results and Rankings'!$A139,'Innovation Project Input'!$A$2:$A$201,'Innovation Project Input'!$M$2:$M$201,0,0,)</f>
        <v>#VALUE!</v>
      </c>
      <c r="W139" s="69" t="str">
        <f t="array" ref="W139">XLOOKUP('Results and Rankings'!$A139,'Robot Design Input'!$A$2:$A$201,'Robot Design Input'!$M$2:$M$201,0,0,)</f>
        <v>#VALUE!</v>
      </c>
      <c r="X139" s="73">
        <f>IF(ISERR(GEOMEAN('Results and Rankings'!$H139,'Results and Rankings'!$U139,'Results and Rankings'!$V139,'Results and Rankings'!$W139)),0,GEOMEAN('Results and Rankings'!$H139,'Results and Rankings'!$U139,'Results and Rankings'!$V139,'Results and Rankings'!$W139))</f>
        <v>0</v>
      </c>
      <c r="Y139" s="38">
        <f>IF(X139,_xlfn.RANK.EQ(X139,X$3:X$110,0),NumberOfTeams)</f>
        <v>0</v>
      </c>
      <c r="Z139" s="38"/>
    </row>
    <row r="140" ht="21.0" customHeight="1">
      <c r="A140" s="67" t="str">
        <f t="array" ref="A140">XLOOKUP(138,'Team and Program Information'!$B$3:$B$202,'Team and Program Information'!$C$3:$C$202,"ERROR",0)</f>
        <v/>
      </c>
      <c r="B140" s="68" t="str">
        <f t="array" ref="B140">XLOOKUP('Results and Rankings'!$A140,'Team and Program Information'!$C$3:$C$202,'Team and Program Information'!$D$3:$D$202,"",0,)</f>
        <v>#VALUE!</v>
      </c>
      <c r="C140" s="69" t="str">
        <f t="array" ref="C140">IF('Results and Rankings'!$A140="","",XLOOKUP('Results and Rankings'!$A140,'Robot Game Scores'!$B$2:$B$201,'Robot Game Scores'!$D$2:$D$201,0,0,))</f>
        <v/>
      </c>
      <c r="D140" s="69" t="str">
        <f t="array" ref="D140">IF('Results and Rankings'!$A140="","",XLOOKUP('Results and Rankings'!$A140,'Robot Game Scores'!$B$2:$B$201,'Robot Game Scores'!$E$2:$E$201,0,0,))</f>
        <v/>
      </c>
      <c r="E140" s="69" t="str">
        <f t="array" ref="E140">IF('Results and Rankings'!$A140="","",XLOOKUP('Results and Rankings'!$A140,'Robot Game Scores'!$B$2:$B$201,'Robot Game Scores'!$F$2:$F$201,0,0,))</f>
        <v/>
      </c>
      <c r="F140" s="69" t="str">
        <f t="array" ref="F140">IF('Results and Rankings'!$A140="","",XLOOKUP('Results and Rankings'!$A140,'Robot Game Scores'!$B$2:$B$201,'Robot Game Scores'!$G$2:$G$201,0,0,))</f>
        <v/>
      </c>
      <c r="G140" s="69" t="str">
        <f t="array" ref="G140">IF('Results and Rankings'!$A140="","",XLOOKUP('Results and Rankings'!$A140,'Robot Game Scores'!$B$2:$B$201,'Robot Game Scores'!$H$2:$H$201,0,0,))</f>
        <v/>
      </c>
      <c r="H140" s="69" t="str">
        <f>IF('Results and Rankings'!$A140="","",IF(ISNA(LARGE('Results and Rankings'!$C140:$G140,1)+0.0001*LARGE('Results and Rankings'!$C140:$G140,2)+0.0000001*LARGE('Results and Rankings'!$C140:$G140,3)+1E-11*LARGE('Results and Rankings'!$C140:$G140,4)+1E-14*LARGE('Results and Rankings'!$C140:$G140,5)),0,LARGE('Results and Rankings'!$C140:$G140,1)+0.0001*LARGE('Results and Rankings'!$C140:$G140,2)+0.0000001*LARGE('Results and Rankings'!$C140:$G140,3)+1E-11*LARGE('Results and Rankings'!$C140:$G140,4)+1E-14*LARGE('Results and Rankings'!$C140:$G140,5)))</f>
        <v/>
      </c>
      <c r="I140" s="69" t="str">
        <f>IF('Results and Rankings'!$A140="","",_xlfn.RANK.EQ('Results and Rankings'!$H140,'Results and Rankings'!$H$3:$H$202))</f>
        <v/>
      </c>
      <c r="J140" s="69" t="str">
        <f t="array" ref="J140">IF('Results and Rankings'!$A140="","",XLOOKUP('Results and Rankings'!$A140,'Core Values Input'!$A$2:$A$201,'Core Values Input'!$V$2:$V$201,NumberOfTeams+1,0,))</f>
        <v/>
      </c>
      <c r="K140" s="69" t="str">
        <f t="array" ref="K140">IF('Results and Rankings'!$A140="","",XLOOKUP('Results and Rankings'!$A140,'Innovation Project Input'!$A$2:$A$201,'Innovation Project Input'!$N$2:$N$201,NumberOfTeams+1,0,))</f>
        <v/>
      </c>
      <c r="L140" s="69" t="str">
        <f t="array" ref="L140">IF('Results and Rankings'!$A140="","",XLOOKUP('Results and Rankings'!$A140,'Robot Design Input'!$A$2:$A$201,'Robot Design Input'!$N$2:$N$201,NumberOfTeams+1,0,))</f>
        <v/>
      </c>
      <c r="M140" s="69" t="str">
        <f> IF('Results and Rankings'!$A140="","",IF('Results and Rankings'!$J140="",NumberOfTeams+1,'Results and Rankings'!$J140) + IF('Results and Rankings'!$K140="",NumberOfTeams+1,'Results and Rankings'!$K140) + IF('Results and Rankings'!$L140="",NumberOfTeams+1,'Results and Rankings'!$L140) + 'Results and Rankings'!$I140)</f>
        <v/>
      </c>
      <c r="N140" s="70" t="str">
        <f>IF('Results and Rankings'!$A140="","",IF(M140,RANK(M140,M$3:M$202,1)-COUNTIF(M$3:M$202,0),NumberOfTeams+1))</f>
        <v/>
      </c>
      <c r="O140" s="72" t="str">
        <f t="array" ref="O140">XLOOKUP('Results and Rankings'!$A140,'Core Values Input'!$A$2:$A$201,'Core Values Input'!$W$2:$W$201,0,0,)</f>
        <v>#VALUE!</v>
      </c>
      <c r="P140" s="72" t="str">
        <f t="array" ref="P140">XLOOKUP('Results and Rankings'!$A140,'Core Values Input'!$A$2:$A$201,'Core Values Input'!$X$2:$X$201,0,0,)</f>
        <v>#VALUE!</v>
      </c>
      <c r="Q140" s="72" t="str">
        <f t="array" ref="Q140">XLOOKUP('Results and Rankings'!$A140,'Core Values Input'!$A$2:$A$201,'Core Values Input'!$Y$2:$Y$201,0,0,)</f>
        <v>#VALUE!</v>
      </c>
      <c r="R140" s="38"/>
      <c r="S140" s="38"/>
      <c r="T140" s="72"/>
      <c r="U140" s="69" t="str">
        <f t="array" ref="U140">XLOOKUP('Results and Rankings'!$A140,'Core Values Input'!$A$2:$A$201,'Core Values Input'!$U$2:$U$201,0,0,)</f>
        <v>#VALUE!</v>
      </c>
      <c r="V140" s="69" t="str">
        <f t="array" ref="V140">XLOOKUP('Results and Rankings'!$A140,'Innovation Project Input'!$A$2:$A$201,'Innovation Project Input'!$M$2:$M$201,0,0,)</f>
        <v>#VALUE!</v>
      </c>
      <c r="W140" s="69" t="str">
        <f t="array" ref="W140">XLOOKUP('Results and Rankings'!$A140,'Robot Design Input'!$A$2:$A$201,'Robot Design Input'!$M$2:$M$201,0,0,)</f>
        <v>#VALUE!</v>
      </c>
      <c r="X140" s="73">
        <f>IF(ISERR(GEOMEAN('Results and Rankings'!$H140,'Results and Rankings'!$U140,'Results and Rankings'!$V140,'Results and Rankings'!$W140)),0,GEOMEAN('Results and Rankings'!$H140,'Results and Rankings'!$U140,'Results and Rankings'!$V140,'Results and Rankings'!$W140))</f>
        <v>0</v>
      </c>
      <c r="Y140" s="38">
        <f>IF(X140,_xlfn.RANK.EQ(X140,X$3:X$110,0),NumberOfTeams)</f>
        <v>0</v>
      </c>
      <c r="Z140" s="38"/>
    </row>
    <row r="141" ht="21.0" customHeight="1">
      <c r="A141" s="67" t="str">
        <f t="array" ref="A141">XLOOKUP(139,'Team and Program Information'!$B$3:$B$202,'Team and Program Information'!$C$3:$C$202,"ERROR",0)</f>
        <v/>
      </c>
      <c r="B141" s="68" t="str">
        <f t="array" ref="B141">XLOOKUP('Results and Rankings'!$A141,'Team and Program Information'!$C$3:$C$202,'Team and Program Information'!$D$3:$D$202,"",0,)</f>
        <v>#VALUE!</v>
      </c>
      <c r="C141" s="69" t="str">
        <f t="array" ref="C141">IF('Results and Rankings'!$A141="","",XLOOKUP('Results and Rankings'!$A141,'Robot Game Scores'!$B$2:$B$201,'Robot Game Scores'!$D$2:$D$201,0,0,))</f>
        <v/>
      </c>
      <c r="D141" s="69" t="str">
        <f t="array" ref="D141">IF('Results and Rankings'!$A141="","",XLOOKUP('Results and Rankings'!$A141,'Robot Game Scores'!$B$2:$B$201,'Robot Game Scores'!$E$2:$E$201,0,0,))</f>
        <v/>
      </c>
      <c r="E141" s="69" t="str">
        <f t="array" ref="E141">IF('Results and Rankings'!$A141="","",XLOOKUP('Results and Rankings'!$A141,'Robot Game Scores'!$B$2:$B$201,'Robot Game Scores'!$F$2:$F$201,0,0,))</f>
        <v/>
      </c>
      <c r="F141" s="69" t="str">
        <f t="array" ref="F141">IF('Results and Rankings'!$A141="","",XLOOKUP('Results and Rankings'!$A141,'Robot Game Scores'!$B$2:$B$201,'Robot Game Scores'!$G$2:$G$201,0,0,))</f>
        <v/>
      </c>
      <c r="G141" s="69" t="str">
        <f t="array" ref="G141">IF('Results and Rankings'!$A141="","",XLOOKUP('Results and Rankings'!$A141,'Robot Game Scores'!$B$2:$B$201,'Robot Game Scores'!$H$2:$H$201,0,0,))</f>
        <v/>
      </c>
      <c r="H141" s="69" t="str">
        <f>IF('Results and Rankings'!$A141="","",IF(ISNA(LARGE('Results and Rankings'!$C141:$G141,1)+0.0001*LARGE('Results and Rankings'!$C141:$G141,2)+0.0000001*LARGE('Results and Rankings'!$C141:$G141,3)+1E-11*LARGE('Results and Rankings'!$C141:$G141,4)+1E-14*LARGE('Results and Rankings'!$C141:$G141,5)),0,LARGE('Results and Rankings'!$C141:$G141,1)+0.0001*LARGE('Results and Rankings'!$C141:$G141,2)+0.0000001*LARGE('Results and Rankings'!$C141:$G141,3)+1E-11*LARGE('Results and Rankings'!$C141:$G141,4)+1E-14*LARGE('Results and Rankings'!$C141:$G141,5)))</f>
        <v/>
      </c>
      <c r="I141" s="69" t="str">
        <f>IF('Results and Rankings'!$A141="","",_xlfn.RANK.EQ('Results and Rankings'!$H141,'Results and Rankings'!$H$3:$H$202))</f>
        <v/>
      </c>
      <c r="J141" s="69" t="str">
        <f t="array" ref="J141">IF('Results and Rankings'!$A141="","",XLOOKUP('Results and Rankings'!$A141,'Core Values Input'!$A$2:$A$201,'Core Values Input'!$V$2:$V$201,NumberOfTeams+1,0,))</f>
        <v/>
      </c>
      <c r="K141" s="69" t="str">
        <f t="array" ref="K141">IF('Results and Rankings'!$A141="","",XLOOKUP('Results and Rankings'!$A141,'Innovation Project Input'!$A$2:$A$201,'Innovation Project Input'!$N$2:$N$201,NumberOfTeams+1,0,))</f>
        <v/>
      </c>
      <c r="L141" s="69" t="str">
        <f t="array" ref="L141">IF('Results and Rankings'!$A141="","",XLOOKUP('Results and Rankings'!$A141,'Robot Design Input'!$A$2:$A$201,'Robot Design Input'!$N$2:$N$201,NumberOfTeams+1,0,))</f>
        <v/>
      </c>
      <c r="M141" s="69" t="str">
        <f> IF('Results and Rankings'!$A141="","",IF('Results and Rankings'!$J141="",NumberOfTeams+1,'Results and Rankings'!$J141) + IF('Results and Rankings'!$K141="",NumberOfTeams+1,'Results and Rankings'!$K141) + IF('Results and Rankings'!$L141="",NumberOfTeams+1,'Results and Rankings'!$L141) + 'Results and Rankings'!$I141)</f>
        <v/>
      </c>
      <c r="N141" s="70" t="str">
        <f>IF('Results and Rankings'!$A141="","",IF(M141,RANK(M141,M$3:M$202,1)-COUNTIF(M$3:M$202,0),NumberOfTeams+1))</f>
        <v/>
      </c>
      <c r="O141" s="72" t="str">
        <f t="array" ref="O141">XLOOKUP('Results and Rankings'!$A141,'Core Values Input'!$A$2:$A$201,'Core Values Input'!$W$2:$W$201,0,0,)</f>
        <v>#VALUE!</v>
      </c>
      <c r="P141" s="72" t="str">
        <f t="array" ref="P141">XLOOKUP('Results and Rankings'!$A141,'Core Values Input'!$A$2:$A$201,'Core Values Input'!$X$2:$X$201,0,0,)</f>
        <v>#VALUE!</v>
      </c>
      <c r="Q141" s="72" t="str">
        <f t="array" ref="Q141">XLOOKUP('Results and Rankings'!$A141,'Core Values Input'!$A$2:$A$201,'Core Values Input'!$Y$2:$Y$201,0,0,)</f>
        <v>#VALUE!</v>
      </c>
      <c r="R141" s="38"/>
      <c r="S141" s="38"/>
      <c r="T141" s="72"/>
      <c r="U141" s="69" t="str">
        <f t="array" ref="U141">XLOOKUP('Results and Rankings'!$A141,'Core Values Input'!$A$2:$A$201,'Core Values Input'!$U$2:$U$201,0,0,)</f>
        <v>#VALUE!</v>
      </c>
      <c r="V141" s="69" t="str">
        <f t="array" ref="V141">XLOOKUP('Results and Rankings'!$A141,'Innovation Project Input'!$A$2:$A$201,'Innovation Project Input'!$M$2:$M$201,0,0,)</f>
        <v>#VALUE!</v>
      </c>
      <c r="W141" s="69" t="str">
        <f t="array" ref="W141">XLOOKUP('Results and Rankings'!$A141,'Robot Design Input'!$A$2:$A$201,'Robot Design Input'!$M$2:$M$201,0,0,)</f>
        <v>#VALUE!</v>
      </c>
      <c r="X141" s="73">
        <f>IF(ISERR(GEOMEAN('Results and Rankings'!$H141,'Results and Rankings'!$U141,'Results and Rankings'!$V141,'Results and Rankings'!$W141)),0,GEOMEAN('Results and Rankings'!$H141,'Results and Rankings'!$U141,'Results and Rankings'!$V141,'Results and Rankings'!$W141))</f>
        <v>0</v>
      </c>
      <c r="Y141" s="38">
        <f>IF(X141,_xlfn.RANK.EQ(X141,X$3:X$110,0),NumberOfTeams)</f>
        <v>0</v>
      </c>
      <c r="Z141" s="38"/>
    </row>
    <row r="142" ht="21.0" customHeight="1">
      <c r="A142" s="67" t="str">
        <f t="array" ref="A142">XLOOKUP(140,'Team and Program Information'!$B$3:$B$202,'Team and Program Information'!$C$3:$C$202,"ERROR",0)</f>
        <v/>
      </c>
      <c r="B142" s="68" t="str">
        <f t="array" ref="B142">XLOOKUP('Results and Rankings'!$A142,'Team and Program Information'!$C$3:$C$202,'Team and Program Information'!$D$3:$D$202,"",0,)</f>
        <v>#VALUE!</v>
      </c>
      <c r="C142" s="69" t="str">
        <f t="array" ref="C142">IF('Results and Rankings'!$A142="","",XLOOKUP('Results and Rankings'!$A142,'Robot Game Scores'!$B$2:$B$201,'Robot Game Scores'!$D$2:$D$201,0,0,))</f>
        <v/>
      </c>
      <c r="D142" s="69" t="str">
        <f t="array" ref="D142">IF('Results and Rankings'!$A142="","",XLOOKUP('Results and Rankings'!$A142,'Robot Game Scores'!$B$2:$B$201,'Robot Game Scores'!$E$2:$E$201,0,0,))</f>
        <v/>
      </c>
      <c r="E142" s="69" t="str">
        <f t="array" ref="E142">IF('Results and Rankings'!$A142="","",XLOOKUP('Results and Rankings'!$A142,'Robot Game Scores'!$B$2:$B$201,'Robot Game Scores'!$F$2:$F$201,0,0,))</f>
        <v/>
      </c>
      <c r="F142" s="69" t="str">
        <f t="array" ref="F142">IF('Results and Rankings'!$A142="","",XLOOKUP('Results and Rankings'!$A142,'Robot Game Scores'!$B$2:$B$201,'Robot Game Scores'!$G$2:$G$201,0,0,))</f>
        <v/>
      </c>
      <c r="G142" s="69" t="str">
        <f t="array" ref="G142">IF('Results and Rankings'!$A142="","",XLOOKUP('Results and Rankings'!$A142,'Robot Game Scores'!$B$2:$B$201,'Robot Game Scores'!$H$2:$H$201,0,0,))</f>
        <v/>
      </c>
      <c r="H142" s="69" t="str">
        <f>IF('Results and Rankings'!$A142="","",IF(ISNA(LARGE('Results and Rankings'!$C142:$G142,1)+0.0001*LARGE('Results and Rankings'!$C142:$G142,2)+0.0000001*LARGE('Results and Rankings'!$C142:$G142,3)+1E-11*LARGE('Results and Rankings'!$C142:$G142,4)+1E-14*LARGE('Results and Rankings'!$C142:$G142,5)),0,LARGE('Results and Rankings'!$C142:$G142,1)+0.0001*LARGE('Results and Rankings'!$C142:$G142,2)+0.0000001*LARGE('Results and Rankings'!$C142:$G142,3)+1E-11*LARGE('Results and Rankings'!$C142:$G142,4)+1E-14*LARGE('Results and Rankings'!$C142:$G142,5)))</f>
        <v/>
      </c>
      <c r="I142" s="69" t="str">
        <f>IF('Results and Rankings'!$A142="","",_xlfn.RANK.EQ('Results and Rankings'!$H142,'Results and Rankings'!$H$3:$H$202))</f>
        <v/>
      </c>
      <c r="J142" s="69" t="str">
        <f t="array" ref="J142">IF('Results and Rankings'!$A142="","",XLOOKUP('Results and Rankings'!$A142,'Core Values Input'!$A$2:$A$201,'Core Values Input'!$V$2:$V$201,NumberOfTeams+1,0,))</f>
        <v/>
      </c>
      <c r="K142" s="69" t="str">
        <f t="array" ref="K142">IF('Results and Rankings'!$A142="","",XLOOKUP('Results and Rankings'!$A142,'Innovation Project Input'!$A$2:$A$201,'Innovation Project Input'!$N$2:$N$201,NumberOfTeams+1,0,))</f>
        <v/>
      </c>
      <c r="L142" s="69" t="str">
        <f t="array" ref="L142">IF('Results and Rankings'!$A142="","",XLOOKUP('Results and Rankings'!$A142,'Robot Design Input'!$A$2:$A$201,'Robot Design Input'!$N$2:$N$201,NumberOfTeams+1,0,))</f>
        <v/>
      </c>
      <c r="M142" s="69" t="str">
        <f> IF('Results and Rankings'!$A142="","",IF('Results and Rankings'!$J142="",NumberOfTeams+1,'Results and Rankings'!$J142) + IF('Results and Rankings'!$K142="",NumberOfTeams+1,'Results and Rankings'!$K142) + IF('Results and Rankings'!$L142="",NumberOfTeams+1,'Results and Rankings'!$L142) + 'Results and Rankings'!$I142)</f>
        <v/>
      </c>
      <c r="N142" s="70" t="str">
        <f>IF('Results and Rankings'!$A142="","",IF(M142,RANK(M142,M$3:M$202,1)-COUNTIF(M$3:M$202,0),NumberOfTeams+1))</f>
        <v/>
      </c>
      <c r="O142" s="72" t="str">
        <f t="array" ref="O142">XLOOKUP('Results and Rankings'!$A142,'Core Values Input'!$A$2:$A$201,'Core Values Input'!$W$2:$W$201,0,0,)</f>
        <v>#VALUE!</v>
      </c>
      <c r="P142" s="72" t="str">
        <f t="array" ref="P142">XLOOKUP('Results and Rankings'!$A142,'Core Values Input'!$A$2:$A$201,'Core Values Input'!$X$2:$X$201,0,0,)</f>
        <v>#VALUE!</v>
      </c>
      <c r="Q142" s="72" t="str">
        <f t="array" ref="Q142">XLOOKUP('Results and Rankings'!$A142,'Core Values Input'!$A$2:$A$201,'Core Values Input'!$Y$2:$Y$201,0,0,)</f>
        <v>#VALUE!</v>
      </c>
      <c r="R142" s="38"/>
      <c r="S142" s="38"/>
      <c r="T142" s="72"/>
      <c r="U142" s="69" t="str">
        <f t="array" ref="U142">XLOOKUP('Results and Rankings'!$A142,'Core Values Input'!$A$2:$A$201,'Core Values Input'!$U$2:$U$201,0,0,)</f>
        <v>#VALUE!</v>
      </c>
      <c r="V142" s="69" t="str">
        <f t="array" ref="V142">XLOOKUP('Results and Rankings'!$A142,'Innovation Project Input'!$A$2:$A$201,'Innovation Project Input'!$M$2:$M$201,0,0,)</f>
        <v>#VALUE!</v>
      </c>
      <c r="W142" s="69" t="str">
        <f t="array" ref="W142">XLOOKUP('Results and Rankings'!$A142,'Robot Design Input'!$A$2:$A$201,'Robot Design Input'!$M$2:$M$201,0,0,)</f>
        <v>#VALUE!</v>
      </c>
      <c r="X142" s="73">
        <f>IF(ISERR(GEOMEAN('Results and Rankings'!$H142,'Results and Rankings'!$U142,'Results and Rankings'!$V142,'Results and Rankings'!$W142)),0,GEOMEAN('Results and Rankings'!$H142,'Results and Rankings'!$U142,'Results and Rankings'!$V142,'Results and Rankings'!$W142))</f>
        <v>0</v>
      </c>
      <c r="Y142" s="38">
        <f>IF(X142,_xlfn.RANK.EQ(X142,X$3:X$110,0),NumberOfTeams)</f>
        <v>0</v>
      </c>
      <c r="Z142" s="38"/>
    </row>
    <row r="143" ht="21.0" customHeight="1">
      <c r="A143" s="67" t="str">
        <f t="array" ref="A143">XLOOKUP(141,'Team and Program Information'!$B$3:$B$202,'Team and Program Information'!$C$3:$C$202,"ERROR",0)</f>
        <v/>
      </c>
      <c r="B143" s="68" t="str">
        <f t="array" ref="B143">XLOOKUP('Results and Rankings'!$A143,'Team and Program Information'!$C$3:$C$202,'Team and Program Information'!$D$3:$D$202,"",0,)</f>
        <v>#VALUE!</v>
      </c>
      <c r="C143" s="69" t="str">
        <f t="array" ref="C143">IF('Results and Rankings'!$A143="","",XLOOKUP('Results and Rankings'!$A143,'Robot Game Scores'!$B$2:$B$201,'Robot Game Scores'!$D$2:$D$201,0,0,))</f>
        <v/>
      </c>
      <c r="D143" s="69" t="str">
        <f t="array" ref="D143">IF('Results and Rankings'!$A143="","",XLOOKUP('Results and Rankings'!$A143,'Robot Game Scores'!$B$2:$B$201,'Robot Game Scores'!$E$2:$E$201,0,0,))</f>
        <v/>
      </c>
      <c r="E143" s="69" t="str">
        <f t="array" ref="E143">IF('Results and Rankings'!$A143="","",XLOOKUP('Results and Rankings'!$A143,'Robot Game Scores'!$B$2:$B$201,'Robot Game Scores'!$F$2:$F$201,0,0,))</f>
        <v/>
      </c>
      <c r="F143" s="69" t="str">
        <f t="array" ref="F143">IF('Results and Rankings'!$A143="","",XLOOKUP('Results and Rankings'!$A143,'Robot Game Scores'!$B$2:$B$201,'Robot Game Scores'!$G$2:$G$201,0,0,))</f>
        <v/>
      </c>
      <c r="G143" s="69" t="str">
        <f t="array" ref="G143">IF('Results and Rankings'!$A143="","",XLOOKUP('Results and Rankings'!$A143,'Robot Game Scores'!$B$2:$B$201,'Robot Game Scores'!$H$2:$H$201,0,0,))</f>
        <v/>
      </c>
      <c r="H143" s="69" t="str">
        <f>IF('Results and Rankings'!$A143="","",IF(ISNA(LARGE('Results and Rankings'!$C143:$G143,1)+0.0001*LARGE('Results and Rankings'!$C143:$G143,2)+0.0000001*LARGE('Results and Rankings'!$C143:$G143,3)+1E-11*LARGE('Results and Rankings'!$C143:$G143,4)+1E-14*LARGE('Results and Rankings'!$C143:$G143,5)),0,LARGE('Results and Rankings'!$C143:$G143,1)+0.0001*LARGE('Results and Rankings'!$C143:$G143,2)+0.0000001*LARGE('Results and Rankings'!$C143:$G143,3)+1E-11*LARGE('Results and Rankings'!$C143:$G143,4)+1E-14*LARGE('Results and Rankings'!$C143:$G143,5)))</f>
        <v/>
      </c>
      <c r="I143" s="69" t="str">
        <f>IF('Results and Rankings'!$A143="","",_xlfn.RANK.EQ('Results and Rankings'!$H143,'Results and Rankings'!$H$3:$H$202))</f>
        <v/>
      </c>
      <c r="J143" s="69" t="str">
        <f t="array" ref="J143">IF('Results and Rankings'!$A143="","",XLOOKUP('Results and Rankings'!$A143,'Core Values Input'!$A$2:$A$201,'Core Values Input'!$V$2:$V$201,NumberOfTeams+1,0,))</f>
        <v/>
      </c>
      <c r="K143" s="69" t="str">
        <f t="array" ref="K143">IF('Results and Rankings'!$A143="","",XLOOKUP('Results and Rankings'!$A143,'Innovation Project Input'!$A$2:$A$201,'Innovation Project Input'!$N$2:$N$201,NumberOfTeams+1,0,))</f>
        <v/>
      </c>
      <c r="L143" s="69" t="str">
        <f t="array" ref="L143">IF('Results and Rankings'!$A143="","",XLOOKUP('Results and Rankings'!$A143,'Robot Design Input'!$A$2:$A$201,'Robot Design Input'!$N$2:$N$201,NumberOfTeams+1,0,))</f>
        <v/>
      </c>
      <c r="M143" s="69" t="str">
        <f> IF('Results and Rankings'!$A143="","",IF('Results and Rankings'!$J143="",NumberOfTeams+1,'Results and Rankings'!$J143) + IF('Results and Rankings'!$K143="",NumberOfTeams+1,'Results and Rankings'!$K143) + IF('Results and Rankings'!$L143="",NumberOfTeams+1,'Results and Rankings'!$L143) + 'Results and Rankings'!$I143)</f>
        <v/>
      </c>
      <c r="N143" s="70" t="str">
        <f>IF('Results and Rankings'!$A143="","",IF(M143,RANK(M143,M$3:M$202,1)-COUNTIF(M$3:M$202,0),NumberOfTeams+1))</f>
        <v/>
      </c>
      <c r="O143" s="72" t="str">
        <f t="array" ref="O143">XLOOKUP('Results and Rankings'!$A143,'Core Values Input'!$A$2:$A$201,'Core Values Input'!$W$2:$W$201,0,0,)</f>
        <v>#VALUE!</v>
      </c>
      <c r="P143" s="72" t="str">
        <f t="array" ref="P143">XLOOKUP('Results and Rankings'!$A143,'Core Values Input'!$A$2:$A$201,'Core Values Input'!$X$2:$X$201,0,0,)</f>
        <v>#VALUE!</v>
      </c>
      <c r="Q143" s="72" t="str">
        <f t="array" ref="Q143">XLOOKUP('Results and Rankings'!$A143,'Core Values Input'!$A$2:$A$201,'Core Values Input'!$Y$2:$Y$201,0,0,)</f>
        <v>#VALUE!</v>
      </c>
      <c r="R143" s="38"/>
      <c r="S143" s="38"/>
      <c r="T143" s="72"/>
      <c r="U143" s="69" t="str">
        <f t="array" ref="U143">XLOOKUP('Results and Rankings'!$A143,'Core Values Input'!$A$2:$A$201,'Core Values Input'!$U$2:$U$201,0,0,)</f>
        <v>#VALUE!</v>
      </c>
      <c r="V143" s="69" t="str">
        <f t="array" ref="V143">XLOOKUP('Results and Rankings'!$A143,'Innovation Project Input'!$A$2:$A$201,'Innovation Project Input'!$M$2:$M$201,0,0,)</f>
        <v>#VALUE!</v>
      </c>
      <c r="W143" s="69" t="str">
        <f t="array" ref="W143">XLOOKUP('Results and Rankings'!$A143,'Robot Design Input'!$A$2:$A$201,'Robot Design Input'!$M$2:$M$201,0,0,)</f>
        <v>#VALUE!</v>
      </c>
      <c r="X143" s="73">
        <f>IF(ISERR(GEOMEAN('Results and Rankings'!$H143,'Results and Rankings'!$U143,'Results and Rankings'!$V143,'Results and Rankings'!$W143)),0,GEOMEAN('Results and Rankings'!$H143,'Results and Rankings'!$U143,'Results and Rankings'!$V143,'Results and Rankings'!$W143))</f>
        <v>0</v>
      </c>
      <c r="Y143" s="38">
        <f>IF(X143,_xlfn.RANK.EQ(X143,X$3:X$110,0),NumberOfTeams)</f>
        <v>0</v>
      </c>
      <c r="Z143" s="38"/>
    </row>
    <row r="144" ht="21.0" customHeight="1">
      <c r="A144" s="67" t="str">
        <f t="array" ref="A144">XLOOKUP(142,'Team and Program Information'!$B$3:$B$202,'Team and Program Information'!$C$3:$C$202,"ERROR",0)</f>
        <v/>
      </c>
      <c r="B144" s="68" t="str">
        <f t="array" ref="B144">XLOOKUP('Results and Rankings'!$A144,'Team and Program Information'!$C$3:$C$202,'Team and Program Information'!$D$3:$D$202,"",0,)</f>
        <v>#VALUE!</v>
      </c>
      <c r="C144" s="69" t="str">
        <f t="array" ref="C144">IF('Results and Rankings'!$A144="","",XLOOKUP('Results and Rankings'!$A144,'Robot Game Scores'!$B$2:$B$201,'Robot Game Scores'!$D$2:$D$201,0,0,))</f>
        <v/>
      </c>
      <c r="D144" s="69" t="str">
        <f t="array" ref="D144">IF('Results and Rankings'!$A144="","",XLOOKUP('Results and Rankings'!$A144,'Robot Game Scores'!$B$2:$B$201,'Robot Game Scores'!$E$2:$E$201,0,0,))</f>
        <v/>
      </c>
      <c r="E144" s="69" t="str">
        <f t="array" ref="E144">IF('Results and Rankings'!$A144="","",XLOOKUP('Results and Rankings'!$A144,'Robot Game Scores'!$B$2:$B$201,'Robot Game Scores'!$F$2:$F$201,0,0,))</f>
        <v/>
      </c>
      <c r="F144" s="69" t="str">
        <f t="array" ref="F144">IF('Results and Rankings'!$A144="","",XLOOKUP('Results and Rankings'!$A144,'Robot Game Scores'!$B$2:$B$201,'Robot Game Scores'!$G$2:$G$201,0,0,))</f>
        <v/>
      </c>
      <c r="G144" s="69" t="str">
        <f t="array" ref="G144">IF('Results and Rankings'!$A144="","",XLOOKUP('Results and Rankings'!$A144,'Robot Game Scores'!$B$2:$B$201,'Robot Game Scores'!$H$2:$H$201,0,0,))</f>
        <v/>
      </c>
      <c r="H144" s="69" t="str">
        <f>IF('Results and Rankings'!$A144="","",IF(ISNA(LARGE('Results and Rankings'!$C144:$G144,1)+0.0001*LARGE('Results and Rankings'!$C144:$G144,2)+0.0000001*LARGE('Results and Rankings'!$C144:$G144,3)+1E-11*LARGE('Results and Rankings'!$C144:$G144,4)+1E-14*LARGE('Results and Rankings'!$C144:$G144,5)),0,LARGE('Results and Rankings'!$C144:$G144,1)+0.0001*LARGE('Results and Rankings'!$C144:$G144,2)+0.0000001*LARGE('Results and Rankings'!$C144:$G144,3)+1E-11*LARGE('Results and Rankings'!$C144:$G144,4)+1E-14*LARGE('Results and Rankings'!$C144:$G144,5)))</f>
        <v/>
      </c>
      <c r="I144" s="69" t="str">
        <f>IF('Results and Rankings'!$A144="","",_xlfn.RANK.EQ('Results and Rankings'!$H144,'Results and Rankings'!$H$3:$H$202))</f>
        <v/>
      </c>
      <c r="J144" s="69" t="str">
        <f t="array" ref="J144">IF('Results and Rankings'!$A144="","",XLOOKUP('Results and Rankings'!$A144,'Core Values Input'!$A$2:$A$201,'Core Values Input'!$V$2:$V$201,NumberOfTeams+1,0,))</f>
        <v/>
      </c>
      <c r="K144" s="69" t="str">
        <f t="array" ref="K144">IF('Results and Rankings'!$A144="","",XLOOKUP('Results and Rankings'!$A144,'Innovation Project Input'!$A$2:$A$201,'Innovation Project Input'!$N$2:$N$201,NumberOfTeams+1,0,))</f>
        <v/>
      </c>
      <c r="L144" s="69" t="str">
        <f t="array" ref="L144">IF('Results and Rankings'!$A144="","",XLOOKUP('Results and Rankings'!$A144,'Robot Design Input'!$A$2:$A$201,'Robot Design Input'!$N$2:$N$201,NumberOfTeams+1,0,))</f>
        <v/>
      </c>
      <c r="M144" s="69" t="str">
        <f> IF('Results and Rankings'!$A144="","",IF('Results and Rankings'!$J144="",NumberOfTeams+1,'Results and Rankings'!$J144) + IF('Results and Rankings'!$K144="",NumberOfTeams+1,'Results and Rankings'!$K144) + IF('Results and Rankings'!$L144="",NumberOfTeams+1,'Results and Rankings'!$L144) + 'Results and Rankings'!$I144)</f>
        <v/>
      </c>
      <c r="N144" s="70" t="str">
        <f>IF('Results and Rankings'!$A144="","",IF(M144,RANK(M144,M$3:M$202,1)-COUNTIF(M$3:M$202,0),NumberOfTeams+1))</f>
        <v/>
      </c>
      <c r="O144" s="72" t="str">
        <f t="array" ref="O144">XLOOKUP('Results and Rankings'!$A144,'Core Values Input'!$A$2:$A$201,'Core Values Input'!$W$2:$W$201,0,0,)</f>
        <v>#VALUE!</v>
      </c>
      <c r="P144" s="72" t="str">
        <f t="array" ref="P144">XLOOKUP('Results and Rankings'!$A144,'Core Values Input'!$A$2:$A$201,'Core Values Input'!$X$2:$X$201,0,0,)</f>
        <v>#VALUE!</v>
      </c>
      <c r="Q144" s="72" t="str">
        <f t="array" ref="Q144">XLOOKUP('Results and Rankings'!$A144,'Core Values Input'!$A$2:$A$201,'Core Values Input'!$Y$2:$Y$201,0,0,)</f>
        <v>#VALUE!</v>
      </c>
      <c r="R144" s="38"/>
      <c r="S144" s="38"/>
      <c r="T144" s="72"/>
      <c r="U144" s="69" t="str">
        <f t="array" ref="U144">XLOOKUP('Results and Rankings'!$A144,'Core Values Input'!$A$2:$A$201,'Core Values Input'!$U$2:$U$201,0,0,)</f>
        <v>#VALUE!</v>
      </c>
      <c r="V144" s="69" t="str">
        <f t="array" ref="V144">XLOOKUP('Results and Rankings'!$A144,'Innovation Project Input'!$A$2:$A$201,'Innovation Project Input'!$M$2:$M$201,0,0,)</f>
        <v>#VALUE!</v>
      </c>
      <c r="W144" s="69" t="str">
        <f t="array" ref="W144">XLOOKUP('Results and Rankings'!$A144,'Robot Design Input'!$A$2:$A$201,'Robot Design Input'!$M$2:$M$201,0,0,)</f>
        <v>#VALUE!</v>
      </c>
      <c r="X144" s="73">
        <f>IF(ISERR(GEOMEAN('Results and Rankings'!$H144,'Results and Rankings'!$U144,'Results and Rankings'!$V144,'Results and Rankings'!$W144)),0,GEOMEAN('Results and Rankings'!$H144,'Results and Rankings'!$U144,'Results and Rankings'!$V144,'Results and Rankings'!$W144))</f>
        <v>0</v>
      </c>
      <c r="Y144" s="38">
        <f>IF(X144,_xlfn.RANK.EQ(X144,X$3:X$110,0),NumberOfTeams)</f>
        <v>0</v>
      </c>
      <c r="Z144" s="38"/>
    </row>
    <row r="145" ht="21.0" customHeight="1">
      <c r="A145" s="67" t="str">
        <f t="array" ref="A145">XLOOKUP(143,'Team and Program Information'!$B$3:$B$202,'Team and Program Information'!$C$3:$C$202,"ERROR",0)</f>
        <v/>
      </c>
      <c r="B145" s="68" t="str">
        <f t="array" ref="B145">XLOOKUP('Results and Rankings'!$A145,'Team and Program Information'!$C$3:$C$202,'Team and Program Information'!$D$3:$D$202,"",0,)</f>
        <v>#VALUE!</v>
      </c>
      <c r="C145" s="69" t="str">
        <f t="array" ref="C145">IF('Results and Rankings'!$A145="","",XLOOKUP('Results and Rankings'!$A145,'Robot Game Scores'!$B$2:$B$201,'Robot Game Scores'!$D$2:$D$201,0,0,))</f>
        <v/>
      </c>
      <c r="D145" s="69" t="str">
        <f t="array" ref="D145">IF('Results and Rankings'!$A145="","",XLOOKUP('Results and Rankings'!$A145,'Robot Game Scores'!$B$2:$B$201,'Robot Game Scores'!$E$2:$E$201,0,0,))</f>
        <v/>
      </c>
      <c r="E145" s="69" t="str">
        <f t="array" ref="E145">IF('Results and Rankings'!$A145="","",XLOOKUP('Results and Rankings'!$A145,'Robot Game Scores'!$B$2:$B$201,'Robot Game Scores'!$F$2:$F$201,0,0,))</f>
        <v/>
      </c>
      <c r="F145" s="69" t="str">
        <f t="array" ref="F145">IF('Results and Rankings'!$A145="","",XLOOKUP('Results and Rankings'!$A145,'Robot Game Scores'!$B$2:$B$201,'Robot Game Scores'!$G$2:$G$201,0,0,))</f>
        <v/>
      </c>
      <c r="G145" s="69" t="str">
        <f t="array" ref="G145">IF('Results and Rankings'!$A145="","",XLOOKUP('Results and Rankings'!$A145,'Robot Game Scores'!$B$2:$B$201,'Robot Game Scores'!$H$2:$H$201,0,0,))</f>
        <v/>
      </c>
      <c r="H145" s="69" t="str">
        <f>IF('Results and Rankings'!$A145="","",IF(ISNA(LARGE('Results and Rankings'!$C145:$G145,1)+0.0001*LARGE('Results and Rankings'!$C145:$G145,2)+0.0000001*LARGE('Results and Rankings'!$C145:$G145,3)+1E-11*LARGE('Results and Rankings'!$C145:$G145,4)+1E-14*LARGE('Results and Rankings'!$C145:$G145,5)),0,LARGE('Results and Rankings'!$C145:$G145,1)+0.0001*LARGE('Results and Rankings'!$C145:$G145,2)+0.0000001*LARGE('Results and Rankings'!$C145:$G145,3)+1E-11*LARGE('Results and Rankings'!$C145:$G145,4)+1E-14*LARGE('Results and Rankings'!$C145:$G145,5)))</f>
        <v/>
      </c>
      <c r="I145" s="69" t="str">
        <f>IF('Results and Rankings'!$A145="","",_xlfn.RANK.EQ('Results and Rankings'!$H145,'Results and Rankings'!$H$3:$H$202))</f>
        <v/>
      </c>
      <c r="J145" s="69" t="str">
        <f t="array" ref="J145">IF('Results and Rankings'!$A145="","",XLOOKUP('Results and Rankings'!$A145,'Core Values Input'!$A$2:$A$201,'Core Values Input'!$V$2:$V$201,NumberOfTeams+1,0,))</f>
        <v/>
      </c>
      <c r="K145" s="69" t="str">
        <f t="array" ref="K145">IF('Results and Rankings'!$A145="","",XLOOKUP('Results and Rankings'!$A145,'Innovation Project Input'!$A$2:$A$201,'Innovation Project Input'!$N$2:$N$201,NumberOfTeams+1,0,))</f>
        <v/>
      </c>
      <c r="L145" s="69" t="str">
        <f t="array" ref="L145">IF('Results and Rankings'!$A145="","",XLOOKUP('Results and Rankings'!$A145,'Robot Design Input'!$A$2:$A$201,'Robot Design Input'!$N$2:$N$201,NumberOfTeams+1,0,))</f>
        <v/>
      </c>
      <c r="M145" s="69" t="str">
        <f> IF('Results and Rankings'!$A145="","",IF('Results and Rankings'!$J145="",NumberOfTeams+1,'Results and Rankings'!$J145) + IF('Results and Rankings'!$K145="",NumberOfTeams+1,'Results and Rankings'!$K145) + IF('Results and Rankings'!$L145="",NumberOfTeams+1,'Results and Rankings'!$L145) + 'Results and Rankings'!$I145)</f>
        <v/>
      </c>
      <c r="N145" s="70" t="str">
        <f>IF('Results and Rankings'!$A145="","",IF(M145,RANK(M145,M$3:M$202,1)-COUNTIF(M$3:M$202,0),NumberOfTeams+1))</f>
        <v/>
      </c>
      <c r="O145" s="72" t="str">
        <f t="array" ref="O145">XLOOKUP('Results and Rankings'!$A145,'Core Values Input'!$A$2:$A$201,'Core Values Input'!$W$2:$W$201,0,0,)</f>
        <v>#VALUE!</v>
      </c>
      <c r="P145" s="72" t="str">
        <f t="array" ref="P145">XLOOKUP('Results and Rankings'!$A145,'Core Values Input'!$A$2:$A$201,'Core Values Input'!$X$2:$X$201,0,0,)</f>
        <v>#VALUE!</v>
      </c>
      <c r="Q145" s="72" t="str">
        <f t="array" ref="Q145">XLOOKUP('Results and Rankings'!$A145,'Core Values Input'!$A$2:$A$201,'Core Values Input'!$Y$2:$Y$201,0,0,)</f>
        <v>#VALUE!</v>
      </c>
      <c r="R145" s="38"/>
      <c r="S145" s="38"/>
      <c r="T145" s="72"/>
      <c r="U145" s="69" t="str">
        <f t="array" ref="U145">XLOOKUP('Results and Rankings'!$A145,'Core Values Input'!$A$2:$A$201,'Core Values Input'!$U$2:$U$201,0,0,)</f>
        <v>#VALUE!</v>
      </c>
      <c r="V145" s="69" t="str">
        <f t="array" ref="V145">XLOOKUP('Results and Rankings'!$A145,'Innovation Project Input'!$A$2:$A$201,'Innovation Project Input'!$M$2:$M$201,0,0,)</f>
        <v>#VALUE!</v>
      </c>
      <c r="W145" s="69" t="str">
        <f t="array" ref="W145">XLOOKUP('Results and Rankings'!$A145,'Robot Design Input'!$A$2:$A$201,'Robot Design Input'!$M$2:$M$201,0,0,)</f>
        <v>#VALUE!</v>
      </c>
      <c r="X145" s="73">
        <f>IF(ISERR(GEOMEAN('Results and Rankings'!$H145,'Results and Rankings'!$U145,'Results and Rankings'!$V145,'Results and Rankings'!$W145)),0,GEOMEAN('Results and Rankings'!$H145,'Results and Rankings'!$U145,'Results and Rankings'!$V145,'Results and Rankings'!$W145))</f>
        <v>0</v>
      </c>
      <c r="Y145" s="38">
        <f>IF(X145,_xlfn.RANK.EQ(X145,X$3:X$110,0),NumberOfTeams)</f>
        <v>0</v>
      </c>
      <c r="Z145" s="38"/>
    </row>
    <row r="146" ht="21.0" customHeight="1">
      <c r="A146" s="67" t="str">
        <f t="array" ref="A146">XLOOKUP(144,'Team and Program Information'!$B$3:$B$202,'Team and Program Information'!$C$3:$C$202,"ERROR",0)</f>
        <v/>
      </c>
      <c r="B146" s="68" t="str">
        <f t="array" ref="B146">XLOOKUP('Results and Rankings'!$A146,'Team and Program Information'!$C$3:$C$202,'Team and Program Information'!$D$3:$D$202,"",0,)</f>
        <v>#VALUE!</v>
      </c>
      <c r="C146" s="69" t="str">
        <f t="array" ref="C146">IF('Results and Rankings'!$A146="","",XLOOKUP('Results and Rankings'!$A146,'Robot Game Scores'!$B$2:$B$201,'Robot Game Scores'!$D$2:$D$201,0,0,))</f>
        <v/>
      </c>
      <c r="D146" s="69" t="str">
        <f t="array" ref="D146">IF('Results and Rankings'!$A146="","",XLOOKUP('Results and Rankings'!$A146,'Robot Game Scores'!$B$2:$B$201,'Robot Game Scores'!$E$2:$E$201,0,0,))</f>
        <v/>
      </c>
      <c r="E146" s="69" t="str">
        <f t="array" ref="E146">IF('Results and Rankings'!$A146="","",XLOOKUP('Results and Rankings'!$A146,'Robot Game Scores'!$B$2:$B$201,'Robot Game Scores'!$F$2:$F$201,0,0,))</f>
        <v/>
      </c>
      <c r="F146" s="69" t="str">
        <f t="array" ref="F146">IF('Results and Rankings'!$A146="","",XLOOKUP('Results and Rankings'!$A146,'Robot Game Scores'!$B$2:$B$201,'Robot Game Scores'!$G$2:$G$201,0,0,))</f>
        <v/>
      </c>
      <c r="G146" s="69" t="str">
        <f t="array" ref="G146">IF('Results and Rankings'!$A146="","",XLOOKUP('Results and Rankings'!$A146,'Robot Game Scores'!$B$2:$B$201,'Robot Game Scores'!$H$2:$H$201,0,0,))</f>
        <v/>
      </c>
      <c r="H146" s="69" t="str">
        <f>IF('Results and Rankings'!$A146="","",IF(ISNA(LARGE('Results and Rankings'!$C146:$G146,1)+0.0001*LARGE('Results and Rankings'!$C146:$G146,2)+0.0000001*LARGE('Results and Rankings'!$C146:$G146,3)+1E-11*LARGE('Results and Rankings'!$C146:$G146,4)+1E-14*LARGE('Results and Rankings'!$C146:$G146,5)),0,LARGE('Results and Rankings'!$C146:$G146,1)+0.0001*LARGE('Results and Rankings'!$C146:$G146,2)+0.0000001*LARGE('Results and Rankings'!$C146:$G146,3)+1E-11*LARGE('Results and Rankings'!$C146:$G146,4)+1E-14*LARGE('Results and Rankings'!$C146:$G146,5)))</f>
        <v/>
      </c>
      <c r="I146" s="69" t="str">
        <f>IF('Results and Rankings'!$A146="","",_xlfn.RANK.EQ('Results and Rankings'!$H146,'Results and Rankings'!$H$3:$H$202))</f>
        <v/>
      </c>
      <c r="J146" s="69" t="str">
        <f t="array" ref="J146">IF('Results and Rankings'!$A146="","",XLOOKUP('Results and Rankings'!$A146,'Core Values Input'!$A$2:$A$201,'Core Values Input'!$V$2:$V$201,NumberOfTeams+1,0,))</f>
        <v/>
      </c>
      <c r="K146" s="69" t="str">
        <f t="array" ref="K146">IF('Results and Rankings'!$A146="","",XLOOKUP('Results and Rankings'!$A146,'Innovation Project Input'!$A$2:$A$201,'Innovation Project Input'!$N$2:$N$201,NumberOfTeams+1,0,))</f>
        <v/>
      </c>
      <c r="L146" s="69" t="str">
        <f t="array" ref="L146">IF('Results and Rankings'!$A146="","",XLOOKUP('Results and Rankings'!$A146,'Robot Design Input'!$A$2:$A$201,'Robot Design Input'!$N$2:$N$201,NumberOfTeams+1,0,))</f>
        <v/>
      </c>
      <c r="M146" s="69" t="str">
        <f> IF('Results and Rankings'!$A146="","",IF('Results and Rankings'!$J146="",NumberOfTeams+1,'Results and Rankings'!$J146) + IF('Results and Rankings'!$K146="",NumberOfTeams+1,'Results and Rankings'!$K146) + IF('Results and Rankings'!$L146="",NumberOfTeams+1,'Results and Rankings'!$L146) + 'Results and Rankings'!$I146)</f>
        <v/>
      </c>
      <c r="N146" s="70" t="str">
        <f>IF('Results and Rankings'!$A146="","",IF(M146,RANK(M146,M$3:M$202,1)-COUNTIF(M$3:M$202,0),NumberOfTeams+1))</f>
        <v/>
      </c>
      <c r="O146" s="72" t="str">
        <f t="array" ref="O146">XLOOKUP('Results and Rankings'!$A146,'Core Values Input'!$A$2:$A$201,'Core Values Input'!$W$2:$W$201,0,0,)</f>
        <v>#VALUE!</v>
      </c>
      <c r="P146" s="72" t="str">
        <f t="array" ref="P146">XLOOKUP('Results and Rankings'!$A146,'Core Values Input'!$A$2:$A$201,'Core Values Input'!$X$2:$X$201,0,0,)</f>
        <v>#VALUE!</v>
      </c>
      <c r="Q146" s="72" t="str">
        <f t="array" ref="Q146">XLOOKUP('Results and Rankings'!$A146,'Core Values Input'!$A$2:$A$201,'Core Values Input'!$Y$2:$Y$201,0,0,)</f>
        <v>#VALUE!</v>
      </c>
      <c r="R146" s="38"/>
      <c r="S146" s="38"/>
      <c r="T146" s="72"/>
      <c r="U146" s="69" t="str">
        <f t="array" ref="U146">XLOOKUP('Results and Rankings'!$A146,'Core Values Input'!$A$2:$A$201,'Core Values Input'!$U$2:$U$201,0,0,)</f>
        <v>#VALUE!</v>
      </c>
      <c r="V146" s="69" t="str">
        <f t="array" ref="V146">XLOOKUP('Results and Rankings'!$A146,'Innovation Project Input'!$A$2:$A$201,'Innovation Project Input'!$M$2:$M$201,0,0,)</f>
        <v>#VALUE!</v>
      </c>
      <c r="W146" s="69" t="str">
        <f t="array" ref="W146">XLOOKUP('Results and Rankings'!$A146,'Robot Design Input'!$A$2:$A$201,'Robot Design Input'!$M$2:$M$201,0,0,)</f>
        <v>#VALUE!</v>
      </c>
      <c r="X146" s="73">
        <f>IF(ISERR(GEOMEAN('Results and Rankings'!$H146,'Results and Rankings'!$U146,'Results and Rankings'!$V146,'Results and Rankings'!$W146)),0,GEOMEAN('Results and Rankings'!$H146,'Results and Rankings'!$U146,'Results and Rankings'!$V146,'Results and Rankings'!$W146))</f>
        <v>0</v>
      </c>
      <c r="Y146" s="38">
        <f>IF(X146,_xlfn.RANK.EQ(X146,X$3:X$110,0),NumberOfTeams)</f>
        <v>0</v>
      </c>
      <c r="Z146" s="38"/>
    </row>
    <row r="147" ht="21.0" customHeight="1">
      <c r="A147" s="67" t="str">
        <f t="array" ref="A147">XLOOKUP(145,'Team and Program Information'!$B$3:$B$202,'Team and Program Information'!$C$3:$C$202,"ERROR",0)</f>
        <v/>
      </c>
      <c r="B147" s="68" t="str">
        <f t="array" ref="B147">XLOOKUP('Results and Rankings'!$A147,'Team and Program Information'!$C$3:$C$202,'Team and Program Information'!$D$3:$D$202,"",0,)</f>
        <v>#VALUE!</v>
      </c>
      <c r="C147" s="69" t="str">
        <f t="array" ref="C147">IF('Results and Rankings'!$A147="","",XLOOKUP('Results and Rankings'!$A147,'Robot Game Scores'!$B$2:$B$201,'Robot Game Scores'!$D$2:$D$201,0,0,))</f>
        <v/>
      </c>
      <c r="D147" s="69" t="str">
        <f t="array" ref="D147">IF('Results and Rankings'!$A147="","",XLOOKUP('Results and Rankings'!$A147,'Robot Game Scores'!$B$2:$B$201,'Robot Game Scores'!$E$2:$E$201,0,0,))</f>
        <v/>
      </c>
      <c r="E147" s="69" t="str">
        <f t="array" ref="E147">IF('Results and Rankings'!$A147="","",XLOOKUP('Results and Rankings'!$A147,'Robot Game Scores'!$B$2:$B$201,'Robot Game Scores'!$F$2:$F$201,0,0,))</f>
        <v/>
      </c>
      <c r="F147" s="69" t="str">
        <f t="array" ref="F147">IF('Results and Rankings'!$A147="","",XLOOKUP('Results and Rankings'!$A147,'Robot Game Scores'!$B$2:$B$201,'Robot Game Scores'!$G$2:$G$201,0,0,))</f>
        <v/>
      </c>
      <c r="G147" s="69" t="str">
        <f t="array" ref="G147">IF('Results and Rankings'!$A147="","",XLOOKUP('Results and Rankings'!$A147,'Robot Game Scores'!$B$2:$B$201,'Robot Game Scores'!$H$2:$H$201,0,0,))</f>
        <v/>
      </c>
      <c r="H147" s="69" t="str">
        <f>IF('Results and Rankings'!$A147="","",IF(ISNA(LARGE('Results and Rankings'!$C147:$G147,1)+0.0001*LARGE('Results and Rankings'!$C147:$G147,2)+0.0000001*LARGE('Results and Rankings'!$C147:$G147,3)+1E-11*LARGE('Results and Rankings'!$C147:$G147,4)+1E-14*LARGE('Results and Rankings'!$C147:$G147,5)),0,LARGE('Results and Rankings'!$C147:$G147,1)+0.0001*LARGE('Results and Rankings'!$C147:$G147,2)+0.0000001*LARGE('Results and Rankings'!$C147:$G147,3)+1E-11*LARGE('Results and Rankings'!$C147:$G147,4)+1E-14*LARGE('Results and Rankings'!$C147:$G147,5)))</f>
        <v/>
      </c>
      <c r="I147" s="69" t="str">
        <f>IF('Results and Rankings'!$A147="","",_xlfn.RANK.EQ('Results and Rankings'!$H147,'Results and Rankings'!$H$3:$H$202))</f>
        <v/>
      </c>
      <c r="J147" s="69" t="str">
        <f t="array" ref="J147">IF('Results and Rankings'!$A147="","",XLOOKUP('Results and Rankings'!$A147,'Core Values Input'!$A$2:$A$201,'Core Values Input'!$V$2:$V$201,NumberOfTeams+1,0,))</f>
        <v/>
      </c>
      <c r="K147" s="69" t="str">
        <f t="array" ref="K147">IF('Results and Rankings'!$A147="","",XLOOKUP('Results and Rankings'!$A147,'Innovation Project Input'!$A$2:$A$201,'Innovation Project Input'!$N$2:$N$201,NumberOfTeams+1,0,))</f>
        <v/>
      </c>
      <c r="L147" s="69" t="str">
        <f t="array" ref="L147">IF('Results and Rankings'!$A147="","",XLOOKUP('Results and Rankings'!$A147,'Robot Design Input'!$A$2:$A$201,'Robot Design Input'!$N$2:$N$201,NumberOfTeams+1,0,))</f>
        <v/>
      </c>
      <c r="M147" s="69" t="str">
        <f> IF('Results and Rankings'!$A147="","",IF('Results and Rankings'!$J147="",NumberOfTeams+1,'Results and Rankings'!$J147) + IF('Results and Rankings'!$K147="",NumberOfTeams+1,'Results and Rankings'!$K147) + IF('Results and Rankings'!$L147="",NumberOfTeams+1,'Results and Rankings'!$L147) + 'Results and Rankings'!$I147)</f>
        <v/>
      </c>
      <c r="N147" s="70" t="str">
        <f>IF('Results and Rankings'!$A147="","",IF(M147,RANK(M147,M$3:M$202,1)-COUNTIF(M$3:M$202,0),NumberOfTeams+1))</f>
        <v/>
      </c>
      <c r="O147" s="72" t="str">
        <f t="array" ref="O147">XLOOKUP('Results and Rankings'!$A147,'Core Values Input'!$A$2:$A$201,'Core Values Input'!$W$2:$W$201,0,0,)</f>
        <v>#VALUE!</v>
      </c>
      <c r="P147" s="72" t="str">
        <f t="array" ref="P147">XLOOKUP('Results and Rankings'!$A147,'Core Values Input'!$A$2:$A$201,'Core Values Input'!$X$2:$X$201,0,0,)</f>
        <v>#VALUE!</v>
      </c>
      <c r="Q147" s="72" t="str">
        <f t="array" ref="Q147">XLOOKUP('Results and Rankings'!$A147,'Core Values Input'!$A$2:$A$201,'Core Values Input'!$Y$2:$Y$201,0,0,)</f>
        <v>#VALUE!</v>
      </c>
      <c r="R147" s="38"/>
      <c r="S147" s="38"/>
      <c r="T147" s="72"/>
      <c r="U147" s="69" t="str">
        <f t="array" ref="U147">XLOOKUP('Results and Rankings'!$A147,'Core Values Input'!$A$2:$A$201,'Core Values Input'!$U$2:$U$201,0,0,)</f>
        <v>#VALUE!</v>
      </c>
      <c r="V147" s="69" t="str">
        <f t="array" ref="V147">XLOOKUP('Results and Rankings'!$A147,'Innovation Project Input'!$A$2:$A$201,'Innovation Project Input'!$M$2:$M$201,0,0,)</f>
        <v>#VALUE!</v>
      </c>
      <c r="W147" s="69" t="str">
        <f t="array" ref="W147">XLOOKUP('Results and Rankings'!$A147,'Robot Design Input'!$A$2:$A$201,'Robot Design Input'!$M$2:$M$201,0,0,)</f>
        <v>#VALUE!</v>
      </c>
      <c r="X147" s="73">
        <f>IF(ISERR(GEOMEAN('Results and Rankings'!$H147,'Results and Rankings'!$U147,'Results and Rankings'!$V147,'Results and Rankings'!$W147)),0,GEOMEAN('Results and Rankings'!$H147,'Results and Rankings'!$U147,'Results and Rankings'!$V147,'Results and Rankings'!$W147))</f>
        <v>0</v>
      </c>
      <c r="Y147" s="38">
        <f>IF(X147,_xlfn.RANK.EQ(X147,X$3:X$110,0),NumberOfTeams)</f>
        <v>0</v>
      </c>
      <c r="Z147" s="38"/>
    </row>
    <row r="148" ht="21.0" customHeight="1">
      <c r="A148" s="67" t="str">
        <f t="array" ref="A148">XLOOKUP(146,'Team and Program Information'!$B$3:$B$202,'Team and Program Information'!$C$3:$C$202,"ERROR",0)</f>
        <v/>
      </c>
      <c r="B148" s="68" t="str">
        <f t="array" ref="B148">XLOOKUP('Results and Rankings'!$A148,'Team and Program Information'!$C$3:$C$202,'Team and Program Information'!$D$3:$D$202,"",0,)</f>
        <v>#VALUE!</v>
      </c>
      <c r="C148" s="69" t="str">
        <f t="array" ref="C148">IF('Results and Rankings'!$A148="","",XLOOKUP('Results and Rankings'!$A148,'Robot Game Scores'!$B$2:$B$201,'Robot Game Scores'!$D$2:$D$201,0,0,))</f>
        <v/>
      </c>
      <c r="D148" s="69" t="str">
        <f t="array" ref="D148">IF('Results and Rankings'!$A148="","",XLOOKUP('Results and Rankings'!$A148,'Robot Game Scores'!$B$2:$B$201,'Robot Game Scores'!$E$2:$E$201,0,0,))</f>
        <v/>
      </c>
      <c r="E148" s="69" t="str">
        <f t="array" ref="E148">IF('Results and Rankings'!$A148="","",XLOOKUP('Results and Rankings'!$A148,'Robot Game Scores'!$B$2:$B$201,'Robot Game Scores'!$F$2:$F$201,0,0,))</f>
        <v/>
      </c>
      <c r="F148" s="69" t="str">
        <f t="array" ref="F148">IF('Results and Rankings'!$A148="","",XLOOKUP('Results and Rankings'!$A148,'Robot Game Scores'!$B$2:$B$201,'Robot Game Scores'!$G$2:$G$201,0,0,))</f>
        <v/>
      </c>
      <c r="G148" s="69" t="str">
        <f t="array" ref="G148">IF('Results and Rankings'!$A148="","",XLOOKUP('Results and Rankings'!$A148,'Robot Game Scores'!$B$2:$B$201,'Robot Game Scores'!$H$2:$H$201,0,0,))</f>
        <v/>
      </c>
      <c r="H148" s="69" t="str">
        <f>IF('Results and Rankings'!$A148="","",IF(ISNA(LARGE('Results and Rankings'!$C148:$G148,1)+0.0001*LARGE('Results and Rankings'!$C148:$G148,2)+0.0000001*LARGE('Results and Rankings'!$C148:$G148,3)+1E-11*LARGE('Results and Rankings'!$C148:$G148,4)+1E-14*LARGE('Results and Rankings'!$C148:$G148,5)),0,LARGE('Results and Rankings'!$C148:$G148,1)+0.0001*LARGE('Results and Rankings'!$C148:$G148,2)+0.0000001*LARGE('Results and Rankings'!$C148:$G148,3)+1E-11*LARGE('Results and Rankings'!$C148:$G148,4)+1E-14*LARGE('Results and Rankings'!$C148:$G148,5)))</f>
        <v/>
      </c>
      <c r="I148" s="69" t="str">
        <f>IF('Results and Rankings'!$A148="","",_xlfn.RANK.EQ('Results and Rankings'!$H148,'Results and Rankings'!$H$3:$H$202))</f>
        <v/>
      </c>
      <c r="J148" s="69" t="str">
        <f t="array" ref="J148">IF('Results and Rankings'!$A148="","",XLOOKUP('Results and Rankings'!$A148,'Core Values Input'!$A$2:$A$201,'Core Values Input'!$V$2:$V$201,NumberOfTeams+1,0,))</f>
        <v/>
      </c>
      <c r="K148" s="69" t="str">
        <f t="array" ref="K148">IF('Results and Rankings'!$A148="","",XLOOKUP('Results and Rankings'!$A148,'Innovation Project Input'!$A$2:$A$201,'Innovation Project Input'!$N$2:$N$201,NumberOfTeams+1,0,))</f>
        <v/>
      </c>
      <c r="L148" s="69" t="str">
        <f t="array" ref="L148">IF('Results and Rankings'!$A148="","",XLOOKUP('Results and Rankings'!$A148,'Robot Design Input'!$A$2:$A$201,'Robot Design Input'!$N$2:$N$201,NumberOfTeams+1,0,))</f>
        <v/>
      </c>
      <c r="M148" s="69" t="str">
        <f> IF('Results and Rankings'!$A148="","",IF('Results and Rankings'!$J148="",NumberOfTeams+1,'Results and Rankings'!$J148) + IF('Results and Rankings'!$K148="",NumberOfTeams+1,'Results and Rankings'!$K148) + IF('Results and Rankings'!$L148="",NumberOfTeams+1,'Results and Rankings'!$L148) + 'Results and Rankings'!$I148)</f>
        <v/>
      </c>
      <c r="N148" s="70" t="str">
        <f>IF('Results and Rankings'!$A148="","",IF(M148,RANK(M148,M$3:M$202,1)-COUNTIF(M$3:M$202,0),NumberOfTeams+1))</f>
        <v/>
      </c>
      <c r="O148" s="72" t="str">
        <f t="array" ref="O148">XLOOKUP('Results and Rankings'!$A148,'Core Values Input'!$A$2:$A$201,'Core Values Input'!$W$2:$W$201,0,0,)</f>
        <v>#VALUE!</v>
      </c>
      <c r="P148" s="72" t="str">
        <f t="array" ref="P148">XLOOKUP('Results and Rankings'!$A148,'Core Values Input'!$A$2:$A$201,'Core Values Input'!$X$2:$X$201,0,0,)</f>
        <v>#VALUE!</v>
      </c>
      <c r="Q148" s="72" t="str">
        <f t="array" ref="Q148">XLOOKUP('Results and Rankings'!$A148,'Core Values Input'!$A$2:$A$201,'Core Values Input'!$Y$2:$Y$201,0,0,)</f>
        <v>#VALUE!</v>
      </c>
      <c r="R148" s="38"/>
      <c r="S148" s="38"/>
      <c r="T148" s="72"/>
      <c r="U148" s="69" t="str">
        <f t="array" ref="U148">XLOOKUP('Results and Rankings'!$A148,'Core Values Input'!$A$2:$A$201,'Core Values Input'!$U$2:$U$201,0,0,)</f>
        <v>#VALUE!</v>
      </c>
      <c r="V148" s="69" t="str">
        <f t="array" ref="V148">XLOOKUP('Results and Rankings'!$A148,'Innovation Project Input'!$A$2:$A$201,'Innovation Project Input'!$M$2:$M$201,0,0,)</f>
        <v>#VALUE!</v>
      </c>
      <c r="W148" s="69" t="str">
        <f t="array" ref="W148">XLOOKUP('Results and Rankings'!$A148,'Robot Design Input'!$A$2:$A$201,'Robot Design Input'!$M$2:$M$201,0,0,)</f>
        <v>#VALUE!</v>
      </c>
      <c r="X148" s="73">
        <f>IF(ISERR(GEOMEAN('Results and Rankings'!$H148,'Results and Rankings'!$U148,'Results and Rankings'!$V148,'Results and Rankings'!$W148)),0,GEOMEAN('Results and Rankings'!$H148,'Results and Rankings'!$U148,'Results and Rankings'!$V148,'Results and Rankings'!$W148))</f>
        <v>0</v>
      </c>
      <c r="Y148" s="38">
        <f>IF(X148,_xlfn.RANK.EQ(X148,X$3:X$110,0),NumberOfTeams)</f>
        <v>0</v>
      </c>
      <c r="Z148" s="38"/>
    </row>
    <row r="149" ht="21.0" customHeight="1">
      <c r="A149" s="67" t="str">
        <f t="array" ref="A149">XLOOKUP(147,'Team and Program Information'!$B$3:$B$202,'Team and Program Information'!$C$3:$C$202,"ERROR",0)</f>
        <v/>
      </c>
      <c r="B149" s="68" t="str">
        <f t="array" ref="B149">XLOOKUP('Results and Rankings'!$A149,'Team and Program Information'!$C$3:$C$202,'Team and Program Information'!$D$3:$D$202,"",0,)</f>
        <v>#VALUE!</v>
      </c>
      <c r="C149" s="69" t="str">
        <f t="array" ref="C149">IF('Results and Rankings'!$A149="","",XLOOKUP('Results and Rankings'!$A149,'Robot Game Scores'!$B$2:$B$201,'Robot Game Scores'!$D$2:$D$201,0,0,))</f>
        <v/>
      </c>
      <c r="D149" s="69" t="str">
        <f t="array" ref="D149">IF('Results and Rankings'!$A149="","",XLOOKUP('Results and Rankings'!$A149,'Robot Game Scores'!$B$2:$B$201,'Robot Game Scores'!$E$2:$E$201,0,0,))</f>
        <v/>
      </c>
      <c r="E149" s="69" t="str">
        <f t="array" ref="E149">IF('Results and Rankings'!$A149="","",XLOOKUP('Results and Rankings'!$A149,'Robot Game Scores'!$B$2:$B$201,'Robot Game Scores'!$F$2:$F$201,0,0,))</f>
        <v/>
      </c>
      <c r="F149" s="69" t="str">
        <f t="array" ref="F149">IF('Results and Rankings'!$A149="","",XLOOKUP('Results and Rankings'!$A149,'Robot Game Scores'!$B$2:$B$201,'Robot Game Scores'!$G$2:$G$201,0,0,))</f>
        <v/>
      </c>
      <c r="G149" s="69" t="str">
        <f t="array" ref="G149">IF('Results and Rankings'!$A149="","",XLOOKUP('Results and Rankings'!$A149,'Robot Game Scores'!$B$2:$B$201,'Robot Game Scores'!$H$2:$H$201,0,0,))</f>
        <v/>
      </c>
      <c r="H149" s="69" t="str">
        <f>IF('Results and Rankings'!$A149="","",IF(ISNA(LARGE('Results and Rankings'!$C149:$G149,1)+0.0001*LARGE('Results and Rankings'!$C149:$G149,2)+0.0000001*LARGE('Results and Rankings'!$C149:$G149,3)+1E-11*LARGE('Results and Rankings'!$C149:$G149,4)+1E-14*LARGE('Results and Rankings'!$C149:$G149,5)),0,LARGE('Results and Rankings'!$C149:$G149,1)+0.0001*LARGE('Results and Rankings'!$C149:$G149,2)+0.0000001*LARGE('Results and Rankings'!$C149:$G149,3)+1E-11*LARGE('Results and Rankings'!$C149:$G149,4)+1E-14*LARGE('Results and Rankings'!$C149:$G149,5)))</f>
        <v/>
      </c>
      <c r="I149" s="69" t="str">
        <f>IF('Results and Rankings'!$A149="","",_xlfn.RANK.EQ('Results and Rankings'!$H149,'Results and Rankings'!$H$3:$H$202))</f>
        <v/>
      </c>
      <c r="J149" s="69" t="str">
        <f t="array" ref="J149">IF('Results and Rankings'!$A149="","",XLOOKUP('Results and Rankings'!$A149,'Core Values Input'!$A$2:$A$201,'Core Values Input'!$V$2:$V$201,NumberOfTeams+1,0,))</f>
        <v/>
      </c>
      <c r="K149" s="69" t="str">
        <f t="array" ref="K149">IF('Results and Rankings'!$A149="","",XLOOKUP('Results and Rankings'!$A149,'Innovation Project Input'!$A$2:$A$201,'Innovation Project Input'!$N$2:$N$201,NumberOfTeams+1,0,))</f>
        <v/>
      </c>
      <c r="L149" s="69" t="str">
        <f t="array" ref="L149">IF('Results and Rankings'!$A149="","",XLOOKUP('Results and Rankings'!$A149,'Robot Design Input'!$A$2:$A$201,'Robot Design Input'!$N$2:$N$201,NumberOfTeams+1,0,))</f>
        <v/>
      </c>
      <c r="M149" s="69" t="str">
        <f> IF('Results and Rankings'!$A149="","",IF('Results and Rankings'!$J149="",NumberOfTeams+1,'Results and Rankings'!$J149) + IF('Results and Rankings'!$K149="",NumberOfTeams+1,'Results and Rankings'!$K149) + IF('Results and Rankings'!$L149="",NumberOfTeams+1,'Results and Rankings'!$L149) + 'Results and Rankings'!$I149)</f>
        <v/>
      </c>
      <c r="N149" s="70" t="str">
        <f>IF('Results and Rankings'!$A149="","",IF(M149,RANK(M149,M$3:M$202,1)-COUNTIF(M$3:M$202,0),NumberOfTeams+1))</f>
        <v/>
      </c>
      <c r="O149" s="72" t="str">
        <f t="array" ref="O149">XLOOKUP('Results and Rankings'!$A149,'Core Values Input'!$A$2:$A$201,'Core Values Input'!$W$2:$W$201,0,0,)</f>
        <v>#VALUE!</v>
      </c>
      <c r="P149" s="72" t="str">
        <f t="array" ref="P149">XLOOKUP('Results and Rankings'!$A149,'Core Values Input'!$A$2:$A$201,'Core Values Input'!$X$2:$X$201,0,0,)</f>
        <v>#VALUE!</v>
      </c>
      <c r="Q149" s="72" t="str">
        <f t="array" ref="Q149">XLOOKUP('Results and Rankings'!$A149,'Core Values Input'!$A$2:$A$201,'Core Values Input'!$Y$2:$Y$201,0,0,)</f>
        <v>#VALUE!</v>
      </c>
      <c r="R149" s="38"/>
      <c r="S149" s="38"/>
      <c r="T149" s="72"/>
      <c r="U149" s="69" t="str">
        <f t="array" ref="U149">XLOOKUP('Results and Rankings'!$A149,'Core Values Input'!$A$2:$A$201,'Core Values Input'!$U$2:$U$201,0,0,)</f>
        <v>#VALUE!</v>
      </c>
      <c r="V149" s="69" t="str">
        <f t="array" ref="V149">XLOOKUP('Results and Rankings'!$A149,'Innovation Project Input'!$A$2:$A$201,'Innovation Project Input'!$M$2:$M$201,0,0,)</f>
        <v>#VALUE!</v>
      </c>
      <c r="W149" s="69" t="str">
        <f t="array" ref="W149">XLOOKUP('Results and Rankings'!$A149,'Robot Design Input'!$A$2:$A$201,'Robot Design Input'!$M$2:$M$201,0,0,)</f>
        <v>#VALUE!</v>
      </c>
      <c r="X149" s="73">
        <f>IF(ISERR(GEOMEAN('Results and Rankings'!$H149,'Results and Rankings'!$U149,'Results and Rankings'!$V149,'Results and Rankings'!$W149)),0,GEOMEAN('Results and Rankings'!$H149,'Results and Rankings'!$U149,'Results and Rankings'!$V149,'Results and Rankings'!$W149))</f>
        <v>0</v>
      </c>
      <c r="Y149" s="38">
        <f>IF(X149,_xlfn.RANK.EQ(X149,X$3:X$110,0),NumberOfTeams)</f>
        <v>0</v>
      </c>
      <c r="Z149" s="38"/>
    </row>
    <row r="150" ht="21.0" customHeight="1">
      <c r="A150" s="67" t="str">
        <f t="array" ref="A150">XLOOKUP(148,'Team and Program Information'!$B$3:$B$202,'Team and Program Information'!$C$3:$C$202,"ERROR",0)</f>
        <v/>
      </c>
      <c r="B150" s="68" t="str">
        <f t="array" ref="B150">XLOOKUP('Results and Rankings'!$A150,'Team and Program Information'!$C$3:$C$202,'Team and Program Information'!$D$3:$D$202,"",0,)</f>
        <v>#VALUE!</v>
      </c>
      <c r="C150" s="69" t="str">
        <f t="array" ref="C150">IF('Results and Rankings'!$A150="","",XLOOKUP('Results and Rankings'!$A150,'Robot Game Scores'!$B$2:$B$201,'Robot Game Scores'!$D$2:$D$201,0,0,))</f>
        <v/>
      </c>
      <c r="D150" s="69" t="str">
        <f t="array" ref="D150">IF('Results and Rankings'!$A150="","",XLOOKUP('Results and Rankings'!$A150,'Robot Game Scores'!$B$2:$B$201,'Robot Game Scores'!$E$2:$E$201,0,0,))</f>
        <v/>
      </c>
      <c r="E150" s="69" t="str">
        <f t="array" ref="E150">IF('Results and Rankings'!$A150="","",XLOOKUP('Results and Rankings'!$A150,'Robot Game Scores'!$B$2:$B$201,'Robot Game Scores'!$F$2:$F$201,0,0,))</f>
        <v/>
      </c>
      <c r="F150" s="69" t="str">
        <f t="array" ref="F150">IF('Results and Rankings'!$A150="","",XLOOKUP('Results and Rankings'!$A150,'Robot Game Scores'!$B$2:$B$201,'Robot Game Scores'!$G$2:$G$201,0,0,))</f>
        <v/>
      </c>
      <c r="G150" s="69" t="str">
        <f t="array" ref="G150">IF('Results and Rankings'!$A150="","",XLOOKUP('Results and Rankings'!$A150,'Robot Game Scores'!$B$2:$B$201,'Robot Game Scores'!$H$2:$H$201,0,0,))</f>
        <v/>
      </c>
      <c r="H150" s="69" t="str">
        <f>IF('Results and Rankings'!$A150="","",IF(ISNA(LARGE('Results and Rankings'!$C150:$G150,1)+0.0001*LARGE('Results and Rankings'!$C150:$G150,2)+0.0000001*LARGE('Results and Rankings'!$C150:$G150,3)+1E-11*LARGE('Results and Rankings'!$C150:$G150,4)+1E-14*LARGE('Results and Rankings'!$C150:$G150,5)),0,LARGE('Results and Rankings'!$C150:$G150,1)+0.0001*LARGE('Results and Rankings'!$C150:$G150,2)+0.0000001*LARGE('Results and Rankings'!$C150:$G150,3)+1E-11*LARGE('Results and Rankings'!$C150:$G150,4)+1E-14*LARGE('Results and Rankings'!$C150:$G150,5)))</f>
        <v/>
      </c>
      <c r="I150" s="69" t="str">
        <f>IF('Results and Rankings'!$A150="","",_xlfn.RANK.EQ('Results and Rankings'!$H150,'Results and Rankings'!$H$3:$H$202))</f>
        <v/>
      </c>
      <c r="J150" s="69" t="str">
        <f t="array" ref="J150">IF('Results and Rankings'!$A150="","",XLOOKUP('Results and Rankings'!$A150,'Core Values Input'!$A$2:$A$201,'Core Values Input'!$V$2:$V$201,NumberOfTeams+1,0,))</f>
        <v/>
      </c>
      <c r="K150" s="69" t="str">
        <f t="array" ref="K150">IF('Results and Rankings'!$A150="","",XLOOKUP('Results and Rankings'!$A150,'Innovation Project Input'!$A$2:$A$201,'Innovation Project Input'!$N$2:$N$201,NumberOfTeams+1,0,))</f>
        <v/>
      </c>
      <c r="L150" s="69" t="str">
        <f t="array" ref="L150">IF('Results and Rankings'!$A150="","",XLOOKUP('Results and Rankings'!$A150,'Robot Design Input'!$A$2:$A$201,'Robot Design Input'!$N$2:$N$201,NumberOfTeams+1,0,))</f>
        <v/>
      </c>
      <c r="M150" s="69" t="str">
        <f> IF('Results and Rankings'!$A150="","",IF('Results and Rankings'!$J150="",NumberOfTeams+1,'Results and Rankings'!$J150) + IF('Results and Rankings'!$K150="",NumberOfTeams+1,'Results and Rankings'!$K150) + IF('Results and Rankings'!$L150="",NumberOfTeams+1,'Results and Rankings'!$L150) + 'Results and Rankings'!$I150)</f>
        <v/>
      </c>
      <c r="N150" s="70" t="str">
        <f>IF('Results and Rankings'!$A150="","",IF(M150,RANK(M150,M$3:M$202,1)-COUNTIF(M$3:M$202,0),NumberOfTeams+1))</f>
        <v/>
      </c>
      <c r="O150" s="72" t="str">
        <f t="array" ref="O150">XLOOKUP('Results and Rankings'!$A150,'Core Values Input'!$A$2:$A$201,'Core Values Input'!$W$2:$W$201,0,0,)</f>
        <v>#VALUE!</v>
      </c>
      <c r="P150" s="72" t="str">
        <f t="array" ref="P150">XLOOKUP('Results and Rankings'!$A150,'Core Values Input'!$A$2:$A$201,'Core Values Input'!$X$2:$X$201,0,0,)</f>
        <v>#VALUE!</v>
      </c>
      <c r="Q150" s="72" t="str">
        <f t="array" ref="Q150">XLOOKUP('Results and Rankings'!$A150,'Core Values Input'!$A$2:$A$201,'Core Values Input'!$Y$2:$Y$201,0,0,)</f>
        <v>#VALUE!</v>
      </c>
      <c r="R150" s="38"/>
      <c r="S150" s="38"/>
      <c r="T150" s="72"/>
      <c r="U150" s="69" t="str">
        <f t="array" ref="U150">XLOOKUP('Results and Rankings'!$A150,'Core Values Input'!$A$2:$A$201,'Core Values Input'!$U$2:$U$201,0,0,)</f>
        <v>#VALUE!</v>
      </c>
      <c r="V150" s="69" t="str">
        <f t="array" ref="V150">XLOOKUP('Results and Rankings'!$A150,'Innovation Project Input'!$A$2:$A$201,'Innovation Project Input'!$M$2:$M$201,0,0,)</f>
        <v>#VALUE!</v>
      </c>
      <c r="W150" s="69" t="str">
        <f t="array" ref="W150">XLOOKUP('Results and Rankings'!$A150,'Robot Design Input'!$A$2:$A$201,'Robot Design Input'!$M$2:$M$201,0,0,)</f>
        <v>#VALUE!</v>
      </c>
      <c r="X150" s="73">
        <f>IF(ISERR(GEOMEAN('Results and Rankings'!$H150,'Results and Rankings'!$U150,'Results and Rankings'!$V150,'Results and Rankings'!$W150)),0,GEOMEAN('Results and Rankings'!$H150,'Results and Rankings'!$U150,'Results and Rankings'!$V150,'Results and Rankings'!$W150))</f>
        <v>0</v>
      </c>
      <c r="Y150" s="38">
        <f>IF(X150,_xlfn.RANK.EQ(X150,X$3:X$110,0),NumberOfTeams)</f>
        <v>0</v>
      </c>
      <c r="Z150" s="38"/>
    </row>
    <row r="151" ht="21.0" customHeight="1">
      <c r="A151" s="67" t="str">
        <f t="array" ref="A151">XLOOKUP(149,'Team and Program Information'!$B$3:$B$202,'Team and Program Information'!$C$3:$C$202,"ERROR",0)</f>
        <v/>
      </c>
      <c r="B151" s="68" t="str">
        <f t="array" ref="B151">XLOOKUP('Results and Rankings'!$A151,'Team and Program Information'!$C$3:$C$202,'Team and Program Information'!$D$3:$D$202,"",0,)</f>
        <v>#VALUE!</v>
      </c>
      <c r="C151" s="69" t="str">
        <f t="array" ref="C151">IF('Results and Rankings'!$A151="","",XLOOKUP('Results and Rankings'!$A151,'Robot Game Scores'!$B$2:$B$201,'Robot Game Scores'!$D$2:$D$201,0,0,))</f>
        <v/>
      </c>
      <c r="D151" s="69" t="str">
        <f t="array" ref="D151">IF('Results and Rankings'!$A151="","",XLOOKUP('Results and Rankings'!$A151,'Robot Game Scores'!$B$2:$B$201,'Robot Game Scores'!$E$2:$E$201,0,0,))</f>
        <v/>
      </c>
      <c r="E151" s="69" t="str">
        <f t="array" ref="E151">IF('Results and Rankings'!$A151="","",XLOOKUP('Results and Rankings'!$A151,'Robot Game Scores'!$B$2:$B$201,'Robot Game Scores'!$F$2:$F$201,0,0,))</f>
        <v/>
      </c>
      <c r="F151" s="69" t="str">
        <f t="array" ref="F151">IF('Results and Rankings'!$A151="","",XLOOKUP('Results and Rankings'!$A151,'Robot Game Scores'!$B$2:$B$201,'Robot Game Scores'!$G$2:$G$201,0,0,))</f>
        <v/>
      </c>
      <c r="G151" s="69" t="str">
        <f t="array" ref="G151">IF('Results and Rankings'!$A151="","",XLOOKUP('Results and Rankings'!$A151,'Robot Game Scores'!$B$2:$B$201,'Robot Game Scores'!$H$2:$H$201,0,0,))</f>
        <v/>
      </c>
      <c r="H151" s="69" t="str">
        <f>IF('Results and Rankings'!$A151="","",IF(ISNA(LARGE('Results and Rankings'!$C151:$G151,1)+0.0001*LARGE('Results and Rankings'!$C151:$G151,2)+0.0000001*LARGE('Results and Rankings'!$C151:$G151,3)+1E-11*LARGE('Results and Rankings'!$C151:$G151,4)+1E-14*LARGE('Results and Rankings'!$C151:$G151,5)),0,LARGE('Results and Rankings'!$C151:$G151,1)+0.0001*LARGE('Results and Rankings'!$C151:$G151,2)+0.0000001*LARGE('Results and Rankings'!$C151:$G151,3)+1E-11*LARGE('Results and Rankings'!$C151:$G151,4)+1E-14*LARGE('Results and Rankings'!$C151:$G151,5)))</f>
        <v/>
      </c>
      <c r="I151" s="69" t="str">
        <f>IF('Results and Rankings'!$A151="","",_xlfn.RANK.EQ('Results and Rankings'!$H151,'Results and Rankings'!$H$3:$H$202))</f>
        <v/>
      </c>
      <c r="J151" s="69" t="str">
        <f t="array" ref="J151">IF('Results and Rankings'!$A151="","",XLOOKUP('Results and Rankings'!$A151,'Core Values Input'!$A$2:$A$201,'Core Values Input'!$V$2:$V$201,NumberOfTeams+1,0,))</f>
        <v/>
      </c>
      <c r="K151" s="69" t="str">
        <f t="array" ref="K151">IF('Results and Rankings'!$A151="","",XLOOKUP('Results and Rankings'!$A151,'Innovation Project Input'!$A$2:$A$201,'Innovation Project Input'!$N$2:$N$201,NumberOfTeams+1,0,))</f>
        <v/>
      </c>
      <c r="L151" s="69" t="str">
        <f t="array" ref="L151">IF('Results and Rankings'!$A151="","",XLOOKUP('Results and Rankings'!$A151,'Robot Design Input'!$A$2:$A$201,'Robot Design Input'!$N$2:$N$201,NumberOfTeams+1,0,))</f>
        <v/>
      </c>
      <c r="M151" s="69" t="str">
        <f> IF('Results and Rankings'!$A151="","",IF('Results and Rankings'!$J151="",NumberOfTeams+1,'Results and Rankings'!$J151) + IF('Results and Rankings'!$K151="",NumberOfTeams+1,'Results and Rankings'!$K151) + IF('Results and Rankings'!$L151="",NumberOfTeams+1,'Results and Rankings'!$L151) + 'Results and Rankings'!$I151)</f>
        <v/>
      </c>
      <c r="N151" s="70" t="str">
        <f>IF('Results and Rankings'!$A151="","",IF(M151,RANK(M151,M$3:M$202,1)-COUNTIF(M$3:M$202,0),NumberOfTeams+1))</f>
        <v/>
      </c>
      <c r="O151" s="72" t="str">
        <f t="array" ref="O151">XLOOKUP('Results and Rankings'!$A151,'Core Values Input'!$A$2:$A$201,'Core Values Input'!$W$2:$W$201,0,0,)</f>
        <v>#VALUE!</v>
      </c>
      <c r="P151" s="72" t="str">
        <f t="array" ref="P151">XLOOKUP('Results and Rankings'!$A151,'Core Values Input'!$A$2:$A$201,'Core Values Input'!$X$2:$X$201,0,0,)</f>
        <v>#VALUE!</v>
      </c>
      <c r="Q151" s="72" t="str">
        <f t="array" ref="Q151">XLOOKUP('Results and Rankings'!$A151,'Core Values Input'!$A$2:$A$201,'Core Values Input'!$Y$2:$Y$201,0,0,)</f>
        <v>#VALUE!</v>
      </c>
      <c r="R151" s="38"/>
      <c r="S151" s="38"/>
      <c r="T151" s="72"/>
      <c r="U151" s="69" t="str">
        <f t="array" ref="U151">XLOOKUP('Results and Rankings'!$A151,'Core Values Input'!$A$2:$A$201,'Core Values Input'!$U$2:$U$201,0,0,)</f>
        <v>#VALUE!</v>
      </c>
      <c r="V151" s="69" t="str">
        <f t="array" ref="V151">XLOOKUP('Results and Rankings'!$A151,'Innovation Project Input'!$A$2:$A$201,'Innovation Project Input'!$M$2:$M$201,0,0,)</f>
        <v>#VALUE!</v>
      </c>
      <c r="W151" s="69" t="str">
        <f t="array" ref="W151">XLOOKUP('Results and Rankings'!$A151,'Robot Design Input'!$A$2:$A$201,'Robot Design Input'!$M$2:$M$201,0,0,)</f>
        <v>#VALUE!</v>
      </c>
      <c r="X151" s="73">
        <f>IF(ISERR(GEOMEAN('Results and Rankings'!$H151,'Results and Rankings'!$U151,'Results and Rankings'!$V151,'Results and Rankings'!$W151)),0,GEOMEAN('Results and Rankings'!$H151,'Results and Rankings'!$U151,'Results and Rankings'!$V151,'Results and Rankings'!$W151))</f>
        <v>0</v>
      </c>
      <c r="Y151" s="38">
        <f>IF(X151,_xlfn.RANK.EQ(X151,X$3:X$110,0),NumberOfTeams)</f>
        <v>0</v>
      </c>
      <c r="Z151" s="38"/>
    </row>
    <row r="152" ht="21.0" customHeight="1">
      <c r="A152" s="67" t="str">
        <f t="array" ref="A152">XLOOKUP(150,'Team and Program Information'!$B$3:$B$202,'Team and Program Information'!$C$3:$C$202,"ERROR",0)</f>
        <v/>
      </c>
      <c r="B152" s="68" t="str">
        <f t="array" ref="B152">XLOOKUP('Results and Rankings'!$A152,'Team and Program Information'!$C$3:$C$202,'Team and Program Information'!$D$3:$D$202,"",0,)</f>
        <v>#VALUE!</v>
      </c>
      <c r="C152" s="69" t="str">
        <f t="array" ref="C152">IF('Results and Rankings'!$A152="","",XLOOKUP('Results and Rankings'!$A152,'Robot Game Scores'!$B$2:$B$201,'Robot Game Scores'!$D$2:$D$201,0,0,))</f>
        <v/>
      </c>
      <c r="D152" s="69" t="str">
        <f t="array" ref="D152">IF('Results and Rankings'!$A152="","",XLOOKUP('Results and Rankings'!$A152,'Robot Game Scores'!$B$2:$B$201,'Robot Game Scores'!$E$2:$E$201,0,0,))</f>
        <v/>
      </c>
      <c r="E152" s="69" t="str">
        <f t="array" ref="E152">IF('Results and Rankings'!$A152="","",XLOOKUP('Results and Rankings'!$A152,'Robot Game Scores'!$B$2:$B$201,'Robot Game Scores'!$F$2:$F$201,0,0,))</f>
        <v/>
      </c>
      <c r="F152" s="69" t="str">
        <f t="array" ref="F152">IF('Results and Rankings'!$A152="","",XLOOKUP('Results and Rankings'!$A152,'Robot Game Scores'!$B$2:$B$201,'Robot Game Scores'!$G$2:$G$201,0,0,))</f>
        <v/>
      </c>
      <c r="G152" s="69" t="str">
        <f t="array" ref="G152">IF('Results and Rankings'!$A152="","",XLOOKUP('Results and Rankings'!$A152,'Robot Game Scores'!$B$2:$B$201,'Robot Game Scores'!$H$2:$H$201,0,0,))</f>
        <v/>
      </c>
      <c r="H152" s="69" t="str">
        <f>IF('Results and Rankings'!$A152="","",IF(ISNA(LARGE('Results and Rankings'!$C152:$G152,1)+0.0001*LARGE('Results and Rankings'!$C152:$G152,2)+0.0000001*LARGE('Results and Rankings'!$C152:$G152,3)+1E-11*LARGE('Results and Rankings'!$C152:$G152,4)+1E-14*LARGE('Results and Rankings'!$C152:$G152,5)),0,LARGE('Results and Rankings'!$C152:$G152,1)+0.0001*LARGE('Results and Rankings'!$C152:$G152,2)+0.0000001*LARGE('Results and Rankings'!$C152:$G152,3)+1E-11*LARGE('Results and Rankings'!$C152:$G152,4)+1E-14*LARGE('Results and Rankings'!$C152:$G152,5)))</f>
        <v/>
      </c>
      <c r="I152" s="69" t="str">
        <f>IF('Results and Rankings'!$A152="","",_xlfn.RANK.EQ('Results and Rankings'!$H152,'Results and Rankings'!$H$3:$H$202))</f>
        <v/>
      </c>
      <c r="J152" s="69" t="str">
        <f t="array" ref="J152">IF('Results and Rankings'!$A152="","",XLOOKUP('Results and Rankings'!$A152,'Core Values Input'!$A$2:$A$201,'Core Values Input'!$V$2:$V$201,NumberOfTeams+1,0,))</f>
        <v/>
      </c>
      <c r="K152" s="69" t="str">
        <f t="array" ref="K152">IF('Results and Rankings'!$A152="","",XLOOKUP('Results and Rankings'!$A152,'Innovation Project Input'!$A$2:$A$201,'Innovation Project Input'!$N$2:$N$201,NumberOfTeams+1,0,))</f>
        <v/>
      </c>
      <c r="L152" s="69" t="str">
        <f t="array" ref="L152">IF('Results and Rankings'!$A152="","",XLOOKUP('Results and Rankings'!$A152,'Robot Design Input'!$A$2:$A$201,'Robot Design Input'!$N$2:$N$201,NumberOfTeams+1,0,))</f>
        <v/>
      </c>
      <c r="M152" s="69" t="str">
        <f> IF('Results and Rankings'!$A152="","",IF('Results and Rankings'!$J152="",NumberOfTeams+1,'Results and Rankings'!$J152) + IF('Results and Rankings'!$K152="",NumberOfTeams+1,'Results and Rankings'!$K152) + IF('Results and Rankings'!$L152="",NumberOfTeams+1,'Results and Rankings'!$L152) + 'Results and Rankings'!$I152)</f>
        <v/>
      </c>
      <c r="N152" s="70" t="str">
        <f>IF('Results and Rankings'!$A152="","",IF(M152,RANK(M152,M$3:M$202,1)-COUNTIF(M$3:M$202,0),NumberOfTeams+1))</f>
        <v/>
      </c>
      <c r="O152" s="72" t="str">
        <f t="array" ref="O152">XLOOKUP('Results and Rankings'!$A152,'Core Values Input'!$A$2:$A$201,'Core Values Input'!$W$2:$W$201,0,0,)</f>
        <v>#VALUE!</v>
      </c>
      <c r="P152" s="72" t="str">
        <f t="array" ref="P152">XLOOKUP('Results and Rankings'!$A152,'Core Values Input'!$A$2:$A$201,'Core Values Input'!$X$2:$X$201,0,0,)</f>
        <v>#VALUE!</v>
      </c>
      <c r="Q152" s="72" t="str">
        <f t="array" ref="Q152">XLOOKUP('Results and Rankings'!$A152,'Core Values Input'!$A$2:$A$201,'Core Values Input'!$Y$2:$Y$201,0,0,)</f>
        <v>#VALUE!</v>
      </c>
      <c r="R152" s="38"/>
      <c r="S152" s="38"/>
      <c r="T152" s="72"/>
      <c r="U152" s="69" t="str">
        <f t="array" ref="U152">XLOOKUP('Results and Rankings'!$A152,'Core Values Input'!$A$2:$A$201,'Core Values Input'!$U$2:$U$201,0,0,)</f>
        <v>#VALUE!</v>
      </c>
      <c r="V152" s="69" t="str">
        <f t="array" ref="V152">XLOOKUP('Results and Rankings'!$A152,'Innovation Project Input'!$A$2:$A$201,'Innovation Project Input'!$M$2:$M$201,0,0,)</f>
        <v>#VALUE!</v>
      </c>
      <c r="W152" s="69" t="str">
        <f t="array" ref="W152">XLOOKUP('Results and Rankings'!$A152,'Robot Design Input'!$A$2:$A$201,'Robot Design Input'!$M$2:$M$201,0,0,)</f>
        <v>#VALUE!</v>
      </c>
      <c r="X152" s="73">
        <f>IF(ISERR(GEOMEAN('Results and Rankings'!$H152,'Results and Rankings'!$U152,'Results and Rankings'!$V152,'Results and Rankings'!$W152)),0,GEOMEAN('Results and Rankings'!$H152,'Results and Rankings'!$U152,'Results and Rankings'!$V152,'Results and Rankings'!$W152))</f>
        <v>0</v>
      </c>
      <c r="Y152" s="38">
        <f>IF(X152,_xlfn.RANK.EQ(X152,X$3:X$110,0),NumberOfTeams)</f>
        <v>0</v>
      </c>
      <c r="Z152" s="38"/>
    </row>
    <row r="153" ht="21.0" customHeight="1">
      <c r="A153" s="67" t="str">
        <f t="array" ref="A153">XLOOKUP(151,'Team and Program Information'!$B$3:$B$202,'Team and Program Information'!$C$3:$C$202,"ERROR",0)</f>
        <v/>
      </c>
      <c r="B153" s="68" t="str">
        <f t="array" ref="B153">XLOOKUP('Results and Rankings'!$A153,'Team and Program Information'!$C$3:$C$202,'Team and Program Information'!$D$3:$D$202,"",0,)</f>
        <v>#VALUE!</v>
      </c>
      <c r="C153" s="69" t="str">
        <f t="array" ref="C153">IF('Results and Rankings'!$A153="","",XLOOKUP('Results and Rankings'!$A153,'Robot Game Scores'!$B$2:$B$201,'Robot Game Scores'!$D$2:$D$201,0,0,))</f>
        <v/>
      </c>
      <c r="D153" s="69" t="str">
        <f t="array" ref="D153">IF('Results and Rankings'!$A153="","",XLOOKUP('Results and Rankings'!$A153,'Robot Game Scores'!$B$2:$B$201,'Robot Game Scores'!$E$2:$E$201,0,0,))</f>
        <v/>
      </c>
      <c r="E153" s="69" t="str">
        <f t="array" ref="E153">IF('Results and Rankings'!$A153="","",XLOOKUP('Results and Rankings'!$A153,'Robot Game Scores'!$B$2:$B$201,'Robot Game Scores'!$F$2:$F$201,0,0,))</f>
        <v/>
      </c>
      <c r="F153" s="69" t="str">
        <f t="array" ref="F153">IF('Results and Rankings'!$A153="","",XLOOKUP('Results and Rankings'!$A153,'Robot Game Scores'!$B$2:$B$201,'Robot Game Scores'!$G$2:$G$201,0,0,))</f>
        <v/>
      </c>
      <c r="G153" s="69" t="str">
        <f t="array" ref="G153">IF('Results and Rankings'!$A153="","",XLOOKUP('Results and Rankings'!$A153,'Robot Game Scores'!$B$2:$B$201,'Robot Game Scores'!$H$2:$H$201,0,0,))</f>
        <v/>
      </c>
      <c r="H153" s="69" t="str">
        <f>IF('Results and Rankings'!$A153="","",IF(ISNA(LARGE('Results and Rankings'!$C153:$G153,1)+0.0001*LARGE('Results and Rankings'!$C153:$G153,2)+0.0000001*LARGE('Results and Rankings'!$C153:$G153,3)+1E-11*LARGE('Results and Rankings'!$C153:$G153,4)+1E-14*LARGE('Results and Rankings'!$C153:$G153,5)),0,LARGE('Results and Rankings'!$C153:$G153,1)+0.0001*LARGE('Results and Rankings'!$C153:$G153,2)+0.0000001*LARGE('Results and Rankings'!$C153:$G153,3)+1E-11*LARGE('Results and Rankings'!$C153:$G153,4)+1E-14*LARGE('Results and Rankings'!$C153:$G153,5)))</f>
        <v/>
      </c>
      <c r="I153" s="69" t="str">
        <f>IF('Results and Rankings'!$A153="","",_xlfn.RANK.EQ('Results and Rankings'!$H153,'Results and Rankings'!$H$3:$H$202))</f>
        <v/>
      </c>
      <c r="J153" s="69" t="str">
        <f t="array" ref="J153">IF('Results and Rankings'!$A153="","",XLOOKUP('Results and Rankings'!$A153,'Core Values Input'!$A$2:$A$201,'Core Values Input'!$V$2:$V$201,NumberOfTeams+1,0,))</f>
        <v/>
      </c>
      <c r="K153" s="69" t="str">
        <f t="array" ref="K153">IF('Results and Rankings'!$A153="","",XLOOKUP('Results and Rankings'!$A153,'Innovation Project Input'!$A$2:$A$201,'Innovation Project Input'!$N$2:$N$201,NumberOfTeams+1,0,))</f>
        <v/>
      </c>
      <c r="L153" s="69" t="str">
        <f t="array" ref="L153">IF('Results and Rankings'!$A153="","",XLOOKUP('Results and Rankings'!$A153,'Robot Design Input'!$A$2:$A$201,'Robot Design Input'!$N$2:$N$201,NumberOfTeams+1,0,))</f>
        <v/>
      </c>
      <c r="M153" s="69" t="str">
        <f> IF('Results and Rankings'!$A153="","",IF('Results and Rankings'!$J153="",NumberOfTeams+1,'Results and Rankings'!$J153) + IF('Results and Rankings'!$K153="",NumberOfTeams+1,'Results and Rankings'!$K153) + IF('Results and Rankings'!$L153="",NumberOfTeams+1,'Results and Rankings'!$L153) + 'Results and Rankings'!$I153)</f>
        <v/>
      </c>
      <c r="N153" s="70" t="str">
        <f>IF('Results and Rankings'!$A153="","",IF(M153,RANK(M153,M$3:M$202,1)-COUNTIF(M$3:M$202,0),NumberOfTeams+1))</f>
        <v/>
      </c>
      <c r="O153" s="72" t="str">
        <f t="array" ref="O153">XLOOKUP('Results and Rankings'!$A153,'Core Values Input'!$A$2:$A$201,'Core Values Input'!$W$2:$W$201,0,0,)</f>
        <v>#VALUE!</v>
      </c>
      <c r="P153" s="72" t="str">
        <f t="array" ref="P153">XLOOKUP('Results and Rankings'!$A153,'Core Values Input'!$A$2:$A$201,'Core Values Input'!$X$2:$X$201,0,0,)</f>
        <v>#VALUE!</v>
      </c>
      <c r="Q153" s="72" t="str">
        <f t="array" ref="Q153">XLOOKUP('Results and Rankings'!$A153,'Core Values Input'!$A$2:$A$201,'Core Values Input'!$Y$2:$Y$201,0,0,)</f>
        <v>#VALUE!</v>
      </c>
      <c r="R153" s="38"/>
      <c r="S153" s="38"/>
      <c r="T153" s="72"/>
      <c r="U153" s="69" t="str">
        <f t="array" ref="U153">XLOOKUP('Results and Rankings'!$A153,'Core Values Input'!$A$2:$A$201,'Core Values Input'!$U$2:$U$201,0,0,)</f>
        <v>#VALUE!</v>
      </c>
      <c r="V153" s="69" t="str">
        <f t="array" ref="V153">XLOOKUP('Results and Rankings'!$A153,'Innovation Project Input'!$A$2:$A$201,'Innovation Project Input'!$M$2:$M$201,0,0,)</f>
        <v>#VALUE!</v>
      </c>
      <c r="W153" s="69" t="str">
        <f t="array" ref="W153">XLOOKUP('Results and Rankings'!$A153,'Robot Design Input'!$A$2:$A$201,'Robot Design Input'!$M$2:$M$201,0,0,)</f>
        <v>#VALUE!</v>
      </c>
      <c r="X153" s="73">
        <f>IF(ISERR(GEOMEAN('Results and Rankings'!$H153,'Results and Rankings'!$U153,'Results and Rankings'!$V153,'Results and Rankings'!$W153)),0,GEOMEAN('Results and Rankings'!$H153,'Results and Rankings'!$U153,'Results and Rankings'!$V153,'Results and Rankings'!$W153))</f>
        <v>0</v>
      </c>
      <c r="Y153" s="38">
        <f>IF(X153,_xlfn.RANK.EQ(X153,X$3:X$110,0),NumberOfTeams)</f>
        <v>0</v>
      </c>
      <c r="Z153" s="38"/>
    </row>
    <row r="154" ht="21.0" customHeight="1">
      <c r="A154" s="67" t="str">
        <f t="array" ref="A154">XLOOKUP(152,'Team and Program Information'!$B$3:$B$202,'Team and Program Information'!$C$3:$C$202,"ERROR",0)</f>
        <v/>
      </c>
      <c r="B154" s="68" t="str">
        <f t="array" ref="B154">XLOOKUP('Results and Rankings'!$A154,'Team and Program Information'!$C$3:$C$202,'Team and Program Information'!$D$3:$D$202,"",0,)</f>
        <v>#VALUE!</v>
      </c>
      <c r="C154" s="69" t="str">
        <f t="array" ref="C154">IF('Results and Rankings'!$A154="","",XLOOKUP('Results and Rankings'!$A154,'Robot Game Scores'!$B$2:$B$201,'Robot Game Scores'!$D$2:$D$201,0,0,))</f>
        <v/>
      </c>
      <c r="D154" s="69" t="str">
        <f t="array" ref="D154">IF('Results and Rankings'!$A154="","",XLOOKUP('Results and Rankings'!$A154,'Robot Game Scores'!$B$2:$B$201,'Robot Game Scores'!$E$2:$E$201,0,0,))</f>
        <v/>
      </c>
      <c r="E154" s="69" t="str">
        <f t="array" ref="E154">IF('Results and Rankings'!$A154="","",XLOOKUP('Results and Rankings'!$A154,'Robot Game Scores'!$B$2:$B$201,'Robot Game Scores'!$F$2:$F$201,0,0,))</f>
        <v/>
      </c>
      <c r="F154" s="69" t="str">
        <f t="array" ref="F154">IF('Results and Rankings'!$A154="","",XLOOKUP('Results and Rankings'!$A154,'Robot Game Scores'!$B$2:$B$201,'Robot Game Scores'!$G$2:$G$201,0,0,))</f>
        <v/>
      </c>
      <c r="G154" s="69" t="str">
        <f t="array" ref="G154">IF('Results and Rankings'!$A154="","",XLOOKUP('Results and Rankings'!$A154,'Robot Game Scores'!$B$2:$B$201,'Robot Game Scores'!$H$2:$H$201,0,0,))</f>
        <v/>
      </c>
      <c r="H154" s="69" t="str">
        <f>IF('Results and Rankings'!$A154="","",IF(ISNA(LARGE('Results and Rankings'!$C154:$G154,1)+0.0001*LARGE('Results and Rankings'!$C154:$G154,2)+0.0000001*LARGE('Results and Rankings'!$C154:$G154,3)+1E-11*LARGE('Results and Rankings'!$C154:$G154,4)+1E-14*LARGE('Results and Rankings'!$C154:$G154,5)),0,LARGE('Results and Rankings'!$C154:$G154,1)+0.0001*LARGE('Results and Rankings'!$C154:$G154,2)+0.0000001*LARGE('Results and Rankings'!$C154:$G154,3)+1E-11*LARGE('Results and Rankings'!$C154:$G154,4)+1E-14*LARGE('Results and Rankings'!$C154:$G154,5)))</f>
        <v/>
      </c>
      <c r="I154" s="69" t="str">
        <f>IF('Results and Rankings'!$A154="","",_xlfn.RANK.EQ('Results and Rankings'!$H154,'Results and Rankings'!$H$3:$H$202))</f>
        <v/>
      </c>
      <c r="J154" s="69" t="str">
        <f t="array" ref="J154">IF('Results and Rankings'!$A154="","",XLOOKUP('Results and Rankings'!$A154,'Core Values Input'!$A$2:$A$201,'Core Values Input'!$V$2:$V$201,NumberOfTeams+1,0,))</f>
        <v/>
      </c>
      <c r="K154" s="69" t="str">
        <f t="array" ref="K154">IF('Results and Rankings'!$A154="","",XLOOKUP('Results and Rankings'!$A154,'Innovation Project Input'!$A$2:$A$201,'Innovation Project Input'!$N$2:$N$201,NumberOfTeams+1,0,))</f>
        <v/>
      </c>
      <c r="L154" s="69" t="str">
        <f t="array" ref="L154">IF('Results and Rankings'!$A154="","",XLOOKUP('Results and Rankings'!$A154,'Robot Design Input'!$A$2:$A$201,'Robot Design Input'!$N$2:$N$201,NumberOfTeams+1,0,))</f>
        <v/>
      </c>
      <c r="M154" s="69" t="str">
        <f> IF('Results and Rankings'!$A154="","",IF('Results and Rankings'!$J154="",NumberOfTeams+1,'Results and Rankings'!$J154) + IF('Results and Rankings'!$K154="",NumberOfTeams+1,'Results and Rankings'!$K154) + IF('Results and Rankings'!$L154="",NumberOfTeams+1,'Results and Rankings'!$L154) + 'Results and Rankings'!$I154)</f>
        <v/>
      </c>
      <c r="N154" s="70" t="str">
        <f>IF('Results and Rankings'!$A154="","",IF(M154,RANK(M154,M$3:M$202,1)-COUNTIF(M$3:M$202,0),NumberOfTeams+1))</f>
        <v/>
      </c>
      <c r="O154" s="72" t="str">
        <f t="array" ref="O154">XLOOKUP('Results and Rankings'!$A154,'Core Values Input'!$A$2:$A$201,'Core Values Input'!$W$2:$W$201,0,0,)</f>
        <v>#VALUE!</v>
      </c>
      <c r="P154" s="72" t="str">
        <f t="array" ref="P154">XLOOKUP('Results and Rankings'!$A154,'Core Values Input'!$A$2:$A$201,'Core Values Input'!$X$2:$X$201,0,0,)</f>
        <v>#VALUE!</v>
      </c>
      <c r="Q154" s="72" t="str">
        <f t="array" ref="Q154">XLOOKUP('Results and Rankings'!$A154,'Core Values Input'!$A$2:$A$201,'Core Values Input'!$Y$2:$Y$201,0,0,)</f>
        <v>#VALUE!</v>
      </c>
      <c r="R154" s="38"/>
      <c r="S154" s="38"/>
      <c r="T154" s="72"/>
      <c r="U154" s="69" t="str">
        <f t="array" ref="U154">XLOOKUP('Results and Rankings'!$A154,'Core Values Input'!$A$2:$A$201,'Core Values Input'!$U$2:$U$201,0,0,)</f>
        <v>#VALUE!</v>
      </c>
      <c r="V154" s="69" t="str">
        <f t="array" ref="V154">XLOOKUP('Results and Rankings'!$A154,'Innovation Project Input'!$A$2:$A$201,'Innovation Project Input'!$M$2:$M$201,0,0,)</f>
        <v>#VALUE!</v>
      </c>
      <c r="W154" s="69" t="str">
        <f t="array" ref="W154">XLOOKUP('Results and Rankings'!$A154,'Robot Design Input'!$A$2:$A$201,'Robot Design Input'!$M$2:$M$201,0,0,)</f>
        <v>#VALUE!</v>
      </c>
      <c r="X154" s="73">
        <f>IF(ISERR(GEOMEAN('Results and Rankings'!$H154,'Results and Rankings'!$U154,'Results and Rankings'!$V154,'Results and Rankings'!$W154)),0,GEOMEAN('Results and Rankings'!$H154,'Results and Rankings'!$U154,'Results and Rankings'!$V154,'Results and Rankings'!$W154))</f>
        <v>0</v>
      </c>
      <c r="Y154" s="38">
        <f>IF(X154,_xlfn.RANK.EQ(X154,X$3:X$110,0),NumberOfTeams)</f>
        <v>0</v>
      </c>
      <c r="Z154" s="38"/>
    </row>
    <row r="155" ht="21.0" customHeight="1">
      <c r="A155" s="67" t="str">
        <f t="array" ref="A155">XLOOKUP(153,'Team and Program Information'!$B$3:$B$202,'Team and Program Information'!$C$3:$C$202,"ERROR",0)</f>
        <v/>
      </c>
      <c r="B155" s="68" t="str">
        <f t="array" ref="B155">XLOOKUP('Results and Rankings'!$A155,'Team and Program Information'!$C$3:$C$202,'Team and Program Information'!$D$3:$D$202,"",0,)</f>
        <v>#VALUE!</v>
      </c>
      <c r="C155" s="69" t="str">
        <f t="array" ref="C155">IF('Results and Rankings'!$A155="","",XLOOKUP('Results and Rankings'!$A155,'Robot Game Scores'!$B$2:$B$201,'Robot Game Scores'!$D$2:$D$201,0,0,))</f>
        <v/>
      </c>
      <c r="D155" s="69" t="str">
        <f t="array" ref="D155">IF('Results and Rankings'!$A155="","",XLOOKUP('Results and Rankings'!$A155,'Robot Game Scores'!$B$2:$B$201,'Robot Game Scores'!$E$2:$E$201,0,0,))</f>
        <v/>
      </c>
      <c r="E155" s="69" t="str">
        <f t="array" ref="E155">IF('Results and Rankings'!$A155="","",XLOOKUP('Results and Rankings'!$A155,'Robot Game Scores'!$B$2:$B$201,'Robot Game Scores'!$F$2:$F$201,0,0,))</f>
        <v/>
      </c>
      <c r="F155" s="69" t="str">
        <f t="array" ref="F155">IF('Results and Rankings'!$A155="","",XLOOKUP('Results and Rankings'!$A155,'Robot Game Scores'!$B$2:$B$201,'Robot Game Scores'!$G$2:$G$201,0,0,))</f>
        <v/>
      </c>
      <c r="G155" s="69" t="str">
        <f t="array" ref="G155">IF('Results and Rankings'!$A155="","",XLOOKUP('Results and Rankings'!$A155,'Robot Game Scores'!$B$2:$B$201,'Robot Game Scores'!$H$2:$H$201,0,0,))</f>
        <v/>
      </c>
      <c r="H155" s="69" t="str">
        <f>IF('Results and Rankings'!$A155="","",IF(ISNA(LARGE('Results and Rankings'!$C155:$G155,1)+0.0001*LARGE('Results and Rankings'!$C155:$G155,2)+0.0000001*LARGE('Results and Rankings'!$C155:$G155,3)+1E-11*LARGE('Results and Rankings'!$C155:$G155,4)+1E-14*LARGE('Results and Rankings'!$C155:$G155,5)),0,LARGE('Results and Rankings'!$C155:$G155,1)+0.0001*LARGE('Results and Rankings'!$C155:$G155,2)+0.0000001*LARGE('Results and Rankings'!$C155:$G155,3)+1E-11*LARGE('Results and Rankings'!$C155:$G155,4)+1E-14*LARGE('Results and Rankings'!$C155:$G155,5)))</f>
        <v/>
      </c>
      <c r="I155" s="69" t="str">
        <f>IF('Results and Rankings'!$A155="","",_xlfn.RANK.EQ('Results and Rankings'!$H155,'Results and Rankings'!$H$3:$H$202))</f>
        <v/>
      </c>
      <c r="J155" s="69" t="str">
        <f t="array" ref="J155">IF('Results and Rankings'!$A155="","",XLOOKUP('Results and Rankings'!$A155,'Core Values Input'!$A$2:$A$201,'Core Values Input'!$V$2:$V$201,NumberOfTeams+1,0,))</f>
        <v/>
      </c>
      <c r="K155" s="69" t="str">
        <f t="array" ref="K155">IF('Results and Rankings'!$A155="","",XLOOKUP('Results and Rankings'!$A155,'Innovation Project Input'!$A$2:$A$201,'Innovation Project Input'!$N$2:$N$201,NumberOfTeams+1,0,))</f>
        <v/>
      </c>
      <c r="L155" s="69" t="str">
        <f t="array" ref="L155">IF('Results and Rankings'!$A155="","",XLOOKUP('Results and Rankings'!$A155,'Robot Design Input'!$A$2:$A$201,'Robot Design Input'!$N$2:$N$201,NumberOfTeams+1,0,))</f>
        <v/>
      </c>
      <c r="M155" s="69" t="str">
        <f> IF('Results and Rankings'!$A155="","",IF('Results and Rankings'!$J155="",NumberOfTeams+1,'Results and Rankings'!$J155) + IF('Results and Rankings'!$K155="",NumberOfTeams+1,'Results and Rankings'!$K155) + IF('Results and Rankings'!$L155="",NumberOfTeams+1,'Results and Rankings'!$L155) + 'Results and Rankings'!$I155)</f>
        <v/>
      </c>
      <c r="N155" s="70" t="str">
        <f>IF('Results and Rankings'!$A155="","",IF(M155,RANK(M155,M$3:M$202,1)-COUNTIF(M$3:M$202,0),NumberOfTeams+1))</f>
        <v/>
      </c>
      <c r="O155" s="72" t="str">
        <f t="array" ref="O155">XLOOKUP('Results and Rankings'!$A155,'Core Values Input'!$A$2:$A$201,'Core Values Input'!$W$2:$W$201,0,0,)</f>
        <v>#VALUE!</v>
      </c>
      <c r="P155" s="72" t="str">
        <f t="array" ref="P155">XLOOKUP('Results and Rankings'!$A155,'Core Values Input'!$A$2:$A$201,'Core Values Input'!$X$2:$X$201,0,0,)</f>
        <v>#VALUE!</v>
      </c>
      <c r="Q155" s="72" t="str">
        <f t="array" ref="Q155">XLOOKUP('Results and Rankings'!$A155,'Core Values Input'!$A$2:$A$201,'Core Values Input'!$Y$2:$Y$201,0,0,)</f>
        <v>#VALUE!</v>
      </c>
      <c r="R155" s="38"/>
      <c r="S155" s="38"/>
      <c r="T155" s="72"/>
      <c r="U155" s="69" t="str">
        <f t="array" ref="U155">XLOOKUP('Results and Rankings'!$A155,'Core Values Input'!$A$2:$A$201,'Core Values Input'!$U$2:$U$201,0,0,)</f>
        <v>#VALUE!</v>
      </c>
      <c r="V155" s="69" t="str">
        <f t="array" ref="V155">XLOOKUP('Results and Rankings'!$A155,'Innovation Project Input'!$A$2:$A$201,'Innovation Project Input'!$M$2:$M$201,0,0,)</f>
        <v>#VALUE!</v>
      </c>
      <c r="W155" s="69" t="str">
        <f t="array" ref="W155">XLOOKUP('Results and Rankings'!$A155,'Robot Design Input'!$A$2:$A$201,'Robot Design Input'!$M$2:$M$201,0,0,)</f>
        <v>#VALUE!</v>
      </c>
      <c r="X155" s="73">
        <f>IF(ISERR(GEOMEAN('Results and Rankings'!$H155,'Results and Rankings'!$U155,'Results and Rankings'!$V155,'Results and Rankings'!$W155)),0,GEOMEAN('Results and Rankings'!$H155,'Results and Rankings'!$U155,'Results and Rankings'!$V155,'Results and Rankings'!$W155))</f>
        <v>0</v>
      </c>
      <c r="Y155" s="38">
        <f>IF(X155,_xlfn.RANK.EQ(X155,X$3:X$110,0),NumberOfTeams)</f>
        <v>0</v>
      </c>
      <c r="Z155" s="38"/>
    </row>
    <row r="156" ht="21.0" customHeight="1">
      <c r="A156" s="67" t="str">
        <f t="array" ref="A156">XLOOKUP(154,'Team and Program Information'!$B$3:$B$202,'Team and Program Information'!$C$3:$C$202,"ERROR",0)</f>
        <v/>
      </c>
      <c r="B156" s="68" t="str">
        <f t="array" ref="B156">XLOOKUP('Results and Rankings'!$A156,'Team and Program Information'!$C$3:$C$202,'Team and Program Information'!$D$3:$D$202,"",0,)</f>
        <v>#VALUE!</v>
      </c>
      <c r="C156" s="69" t="str">
        <f t="array" ref="C156">IF('Results and Rankings'!$A156="","",XLOOKUP('Results and Rankings'!$A156,'Robot Game Scores'!$B$2:$B$201,'Robot Game Scores'!$D$2:$D$201,0,0,))</f>
        <v/>
      </c>
      <c r="D156" s="69" t="str">
        <f t="array" ref="D156">IF('Results and Rankings'!$A156="","",XLOOKUP('Results and Rankings'!$A156,'Robot Game Scores'!$B$2:$B$201,'Robot Game Scores'!$E$2:$E$201,0,0,))</f>
        <v/>
      </c>
      <c r="E156" s="69" t="str">
        <f t="array" ref="E156">IF('Results and Rankings'!$A156="","",XLOOKUP('Results and Rankings'!$A156,'Robot Game Scores'!$B$2:$B$201,'Robot Game Scores'!$F$2:$F$201,0,0,))</f>
        <v/>
      </c>
      <c r="F156" s="69" t="str">
        <f t="array" ref="F156">IF('Results and Rankings'!$A156="","",XLOOKUP('Results and Rankings'!$A156,'Robot Game Scores'!$B$2:$B$201,'Robot Game Scores'!$G$2:$G$201,0,0,))</f>
        <v/>
      </c>
      <c r="G156" s="69" t="str">
        <f t="array" ref="G156">IF('Results and Rankings'!$A156="","",XLOOKUP('Results and Rankings'!$A156,'Robot Game Scores'!$B$2:$B$201,'Robot Game Scores'!$H$2:$H$201,0,0,))</f>
        <v/>
      </c>
      <c r="H156" s="69" t="str">
        <f>IF('Results and Rankings'!$A156="","",IF(ISNA(LARGE('Results and Rankings'!$C156:$G156,1)+0.0001*LARGE('Results and Rankings'!$C156:$G156,2)+0.0000001*LARGE('Results and Rankings'!$C156:$G156,3)+1E-11*LARGE('Results and Rankings'!$C156:$G156,4)+1E-14*LARGE('Results and Rankings'!$C156:$G156,5)),0,LARGE('Results and Rankings'!$C156:$G156,1)+0.0001*LARGE('Results and Rankings'!$C156:$G156,2)+0.0000001*LARGE('Results and Rankings'!$C156:$G156,3)+1E-11*LARGE('Results and Rankings'!$C156:$G156,4)+1E-14*LARGE('Results and Rankings'!$C156:$G156,5)))</f>
        <v/>
      </c>
      <c r="I156" s="69" t="str">
        <f>IF('Results and Rankings'!$A156="","",_xlfn.RANK.EQ('Results and Rankings'!$H156,'Results and Rankings'!$H$3:$H$202))</f>
        <v/>
      </c>
      <c r="J156" s="69" t="str">
        <f t="array" ref="J156">IF('Results and Rankings'!$A156="","",XLOOKUP('Results and Rankings'!$A156,'Core Values Input'!$A$2:$A$201,'Core Values Input'!$V$2:$V$201,NumberOfTeams+1,0,))</f>
        <v/>
      </c>
      <c r="K156" s="69" t="str">
        <f t="array" ref="K156">IF('Results and Rankings'!$A156="","",XLOOKUP('Results and Rankings'!$A156,'Innovation Project Input'!$A$2:$A$201,'Innovation Project Input'!$N$2:$N$201,NumberOfTeams+1,0,))</f>
        <v/>
      </c>
      <c r="L156" s="69" t="str">
        <f t="array" ref="L156">IF('Results and Rankings'!$A156="","",XLOOKUP('Results and Rankings'!$A156,'Robot Design Input'!$A$2:$A$201,'Robot Design Input'!$N$2:$N$201,NumberOfTeams+1,0,))</f>
        <v/>
      </c>
      <c r="M156" s="69" t="str">
        <f> IF('Results and Rankings'!$A156="","",IF('Results and Rankings'!$J156="",NumberOfTeams+1,'Results and Rankings'!$J156) + IF('Results and Rankings'!$K156="",NumberOfTeams+1,'Results and Rankings'!$K156) + IF('Results and Rankings'!$L156="",NumberOfTeams+1,'Results and Rankings'!$L156) + 'Results and Rankings'!$I156)</f>
        <v/>
      </c>
      <c r="N156" s="70" t="str">
        <f>IF('Results and Rankings'!$A156="","",IF(M156,RANK(M156,M$3:M$202,1)-COUNTIF(M$3:M$202,0),NumberOfTeams+1))</f>
        <v/>
      </c>
      <c r="O156" s="72" t="str">
        <f t="array" ref="O156">XLOOKUP('Results and Rankings'!$A156,'Core Values Input'!$A$2:$A$201,'Core Values Input'!$W$2:$W$201,0,0,)</f>
        <v>#VALUE!</v>
      </c>
      <c r="P156" s="72" t="str">
        <f t="array" ref="P156">XLOOKUP('Results and Rankings'!$A156,'Core Values Input'!$A$2:$A$201,'Core Values Input'!$X$2:$X$201,0,0,)</f>
        <v>#VALUE!</v>
      </c>
      <c r="Q156" s="72" t="str">
        <f t="array" ref="Q156">XLOOKUP('Results and Rankings'!$A156,'Core Values Input'!$A$2:$A$201,'Core Values Input'!$Y$2:$Y$201,0,0,)</f>
        <v>#VALUE!</v>
      </c>
      <c r="R156" s="38"/>
      <c r="S156" s="38"/>
      <c r="T156" s="72"/>
      <c r="U156" s="69" t="str">
        <f t="array" ref="U156">XLOOKUP('Results and Rankings'!$A156,'Core Values Input'!$A$2:$A$201,'Core Values Input'!$U$2:$U$201,0,0,)</f>
        <v>#VALUE!</v>
      </c>
      <c r="V156" s="69" t="str">
        <f t="array" ref="V156">XLOOKUP('Results and Rankings'!$A156,'Innovation Project Input'!$A$2:$A$201,'Innovation Project Input'!$M$2:$M$201,0,0,)</f>
        <v>#VALUE!</v>
      </c>
      <c r="W156" s="69" t="str">
        <f t="array" ref="W156">XLOOKUP('Results and Rankings'!$A156,'Robot Design Input'!$A$2:$A$201,'Robot Design Input'!$M$2:$M$201,0,0,)</f>
        <v>#VALUE!</v>
      </c>
      <c r="X156" s="73">
        <f>IF(ISERR(GEOMEAN('Results and Rankings'!$H156,'Results and Rankings'!$U156,'Results and Rankings'!$V156,'Results and Rankings'!$W156)),0,GEOMEAN('Results and Rankings'!$H156,'Results and Rankings'!$U156,'Results and Rankings'!$V156,'Results and Rankings'!$W156))</f>
        <v>0</v>
      </c>
      <c r="Y156" s="38">
        <f>IF(X156,_xlfn.RANK.EQ(X156,X$3:X$110,0),NumberOfTeams)</f>
        <v>0</v>
      </c>
      <c r="Z156" s="38"/>
    </row>
    <row r="157" ht="21.0" customHeight="1">
      <c r="A157" s="67" t="str">
        <f t="array" ref="A157">XLOOKUP(155,'Team and Program Information'!$B$3:$B$202,'Team and Program Information'!$C$3:$C$202,"ERROR",0)</f>
        <v/>
      </c>
      <c r="B157" s="68" t="str">
        <f t="array" ref="B157">XLOOKUP('Results and Rankings'!$A157,'Team and Program Information'!$C$3:$C$202,'Team and Program Information'!$D$3:$D$202,"",0,)</f>
        <v>#VALUE!</v>
      </c>
      <c r="C157" s="69" t="str">
        <f t="array" ref="C157">IF('Results and Rankings'!$A157="","",XLOOKUP('Results and Rankings'!$A157,'Robot Game Scores'!$B$2:$B$201,'Robot Game Scores'!$D$2:$D$201,0,0,))</f>
        <v/>
      </c>
      <c r="D157" s="69" t="str">
        <f t="array" ref="D157">IF('Results and Rankings'!$A157="","",XLOOKUP('Results and Rankings'!$A157,'Robot Game Scores'!$B$2:$B$201,'Robot Game Scores'!$E$2:$E$201,0,0,))</f>
        <v/>
      </c>
      <c r="E157" s="69" t="str">
        <f t="array" ref="E157">IF('Results and Rankings'!$A157="","",XLOOKUP('Results and Rankings'!$A157,'Robot Game Scores'!$B$2:$B$201,'Robot Game Scores'!$F$2:$F$201,0,0,))</f>
        <v/>
      </c>
      <c r="F157" s="69" t="str">
        <f t="array" ref="F157">IF('Results and Rankings'!$A157="","",XLOOKUP('Results and Rankings'!$A157,'Robot Game Scores'!$B$2:$B$201,'Robot Game Scores'!$G$2:$G$201,0,0,))</f>
        <v/>
      </c>
      <c r="G157" s="69" t="str">
        <f t="array" ref="G157">IF('Results and Rankings'!$A157="","",XLOOKUP('Results and Rankings'!$A157,'Robot Game Scores'!$B$2:$B$201,'Robot Game Scores'!$H$2:$H$201,0,0,))</f>
        <v/>
      </c>
      <c r="H157" s="69" t="str">
        <f>IF('Results and Rankings'!$A157="","",IF(ISNA(LARGE('Results and Rankings'!$C157:$G157,1)+0.0001*LARGE('Results and Rankings'!$C157:$G157,2)+0.0000001*LARGE('Results and Rankings'!$C157:$G157,3)+1E-11*LARGE('Results and Rankings'!$C157:$G157,4)+1E-14*LARGE('Results and Rankings'!$C157:$G157,5)),0,LARGE('Results and Rankings'!$C157:$G157,1)+0.0001*LARGE('Results and Rankings'!$C157:$G157,2)+0.0000001*LARGE('Results and Rankings'!$C157:$G157,3)+1E-11*LARGE('Results and Rankings'!$C157:$G157,4)+1E-14*LARGE('Results and Rankings'!$C157:$G157,5)))</f>
        <v/>
      </c>
      <c r="I157" s="69" t="str">
        <f>IF('Results and Rankings'!$A157="","",_xlfn.RANK.EQ('Results and Rankings'!$H157,'Results and Rankings'!$H$3:$H$202))</f>
        <v/>
      </c>
      <c r="J157" s="69" t="str">
        <f t="array" ref="J157">IF('Results and Rankings'!$A157="","",XLOOKUP('Results and Rankings'!$A157,'Core Values Input'!$A$2:$A$201,'Core Values Input'!$V$2:$V$201,NumberOfTeams+1,0,))</f>
        <v/>
      </c>
      <c r="K157" s="69" t="str">
        <f t="array" ref="K157">IF('Results and Rankings'!$A157="","",XLOOKUP('Results and Rankings'!$A157,'Innovation Project Input'!$A$2:$A$201,'Innovation Project Input'!$N$2:$N$201,NumberOfTeams+1,0,))</f>
        <v/>
      </c>
      <c r="L157" s="69" t="str">
        <f t="array" ref="L157">IF('Results and Rankings'!$A157="","",XLOOKUP('Results and Rankings'!$A157,'Robot Design Input'!$A$2:$A$201,'Robot Design Input'!$N$2:$N$201,NumberOfTeams+1,0,))</f>
        <v/>
      </c>
      <c r="M157" s="69" t="str">
        <f> IF('Results and Rankings'!$A157="","",IF('Results and Rankings'!$J157="",NumberOfTeams+1,'Results and Rankings'!$J157) + IF('Results and Rankings'!$K157="",NumberOfTeams+1,'Results and Rankings'!$K157) + IF('Results and Rankings'!$L157="",NumberOfTeams+1,'Results and Rankings'!$L157) + 'Results and Rankings'!$I157)</f>
        <v/>
      </c>
      <c r="N157" s="70" t="str">
        <f>IF('Results and Rankings'!$A157="","",IF(M157,RANK(M157,M$3:M$202,1)-COUNTIF(M$3:M$202,0),NumberOfTeams+1))</f>
        <v/>
      </c>
      <c r="O157" s="72" t="str">
        <f t="array" ref="O157">XLOOKUP('Results and Rankings'!$A157,'Core Values Input'!$A$2:$A$201,'Core Values Input'!$W$2:$W$201,0,0,)</f>
        <v>#VALUE!</v>
      </c>
      <c r="P157" s="72" t="str">
        <f t="array" ref="P157">XLOOKUP('Results and Rankings'!$A157,'Core Values Input'!$A$2:$A$201,'Core Values Input'!$X$2:$X$201,0,0,)</f>
        <v>#VALUE!</v>
      </c>
      <c r="Q157" s="72" t="str">
        <f t="array" ref="Q157">XLOOKUP('Results and Rankings'!$A157,'Core Values Input'!$A$2:$A$201,'Core Values Input'!$Y$2:$Y$201,0,0,)</f>
        <v>#VALUE!</v>
      </c>
      <c r="R157" s="38"/>
      <c r="S157" s="38"/>
      <c r="T157" s="72"/>
      <c r="U157" s="69" t="str">
        <f t="array" ref="U157">XLOOKUP('Results and Rankings'!$A157,'Core Values Input'!$A$2:$A$201,'Core Values Input'!$U$2:$U$201,0,0,)</f>
        <v>#VALUE!</v>
      </c>
      <c r="V157" s="69" t="str">
        <f t="array" ref="V157">XLOOKUP('Results and Rankings'!$A157,'Innovation Project Input'!$A$2:$A$201,'Innovation Project Input'!$M$2:$M$201,0,0,)</f>
        <v>#VALUE!</v>
      </c>
      <c r="W157" s="69" t="str">
        <f t="array" ref="W157">XLOOKUP('Results and Rankings'!$A157,'Robot Design Input'!$A$2:$A$201,'Robot Design Input'!$M$2:$M$201,0,0,)</f>
        <v>#VALUE!</v>
      </c>
      <c r="X157" s="73">
        <f>IF(ISERR(GEOMEAN('Results and Rankings'!$H157,'Results and Rankings'!$U157,'Results and Rankings'!$V157,'Results and Rankings'!$W157)),0,GEOMEAN('Results and Rankings'!$H157,'Results and Rankings'!$U157,'Results and Rankings'!$V157,'Results and Rankings'!$W157))</f>
        <v>0</v>
      </c>
      <c r="Y157" s="38">
        <f>IF(X157,_xlfn.RANK.EQ(X157,X$3:X$110,0),NumberOfTeams)</f>
        <v>0</v>
      </c>
      <c r="Z157" s="38"/>
    </row>
    <row r="158" ht="21.0" customHeight="1">
      <c r="A158" s="67" t="str">
        <f t="array" ref="A158">XLOOKUP(156,'Team and Program Information'!$B$3:$B$202,'Team and Program Information'!$C$3:$C$202,"ERROR",0)</f>
        <v/>
      </c>
      <c r="B158" s="68" t="str">
        <f t="array" ref="B158">XLOOKUP('Results and Rankings'!$A158,'Team and Program Information'!$C$3:$C$202,'Team and Program Information'!$D$3:$D$202,"",0,)</f>
        <v>#VALUE!</v>
      </c>
      <c r="C158" s="69" t="str">
        <f t="array" ref="C158">IF('Results and Rankings'!$A158="","",XLOOKUP('Results and Rankings'!$A158,'Robot Game Scores'!$B$2:$B$201,'Robot Game Scores'!$D$2:$D$201,0,0,))</f>
        <v/>
      </c>
      <c r="D158" s="69" t="str">
        <f t="array" ref="D158">IF('Results and Rankings'!$A158="","",XLOOKUP('Results and Rankings'!$A158,'Robot Game Scores'!$B$2:$B$201,'Robot Game Scores'!$E$2:$E$201,0,0,))</f>
        <v/>
      </c>
      <c r="E158" s="69" t="str">
        <f t="array" ref="E158">IF('Results and Rankings'!$A158="","",XLOOKUP('Results and Rankings'!$A158,'Robot Game Scores'!$B$2:$B$201,'Robot Game Scores'!$F$2:$F$201,0,0,))</f>
        <v/>
      </c>
      <c r="F158" s="69" t="str">
        <f t="array" ref="F158">IF('Results and Rankings'!$A158="","",XLOOKUP('Results and Rankings'!$A158,'Robot Game Scores'!$B$2:$B$201,'Robot Game Scores'!$G$2:$G$201,0,0,))</f>
        <v/>
      </c>
      <c r="G158" s="69" t="str">
        <f t="array" ref="G158">IF('Results and Rankings'!$A158="","",XLOOKUP('Results and Rankings'!$A158,'Robot Game Scores'!$B$2:$B$201,'Robot Game Scores'!$H$2:$H$201,0,0,))</f>
        <v/>
      </c>
      <c r="H158" s="69" t="str">
        <f>IF('Results and Rankings'!$A158="","",IF(ISNA(LARGE('Results and Rankings'!$C158:$G158,1)+0.0001*LARGE('Results and Rankings'!$C158:$G158,2)+0.0000001*LARGE('Results and Rankings'!$C158:$G158,3)+1E-11*LARGE('Results and Rankings'!$C158:$G158,4)+1E-14*LARGE('Results and Rankings'!$C158:$G158,5)),0,LARGE('Results and Rankings'!$C158:$G158,1)+0.0001*LARGE('Results and Rankings'!$C158:$G158,2)+0.0000001*LARGE('Results and Rankings'!$C158:$G158,3)+1E-11*LARGE('Results and Rankings'!$C158:$G158,4)+1E-14*LARGE('Results and Rankings'!$C158:$G158,5)))</f>
        <v/>
      </c>
      <c r="I158" s="69" t="str">
        <f>IF('Results and Rankings'!$A158="","",_xlfn.RANK.EQ('Results and Rankings'!$H158,'Results and Rankings'!$H$3:$H$202))</f>
        <v/>
      </c>
      <c r="J158" s="69" t="str">
        <f t="array" ref="J158">IF('Results and Rankings'!$A158="","",XLOOKUP('Results and Rankings'!$A158,'Core Values Input'!$A$2:$A$201,'Core Values Input'!$V$2:$V$201,NumberOfTeams+1,0,))</f>
        <v/>
      </c>
      <c r="K158" s="69" t="str">
        <f t="array" ref="K158">IF('Results and Rankings'!$A158="","",XLOOKUP('Results and Rankings'!$A158,'Innovation Project Input'!$A$2:$A$201,'Innovation Project Input'!$N$2:$N$201,NumberOfTeams+1,0,))</f>
        <v/>
      </c>
      <c r="L158" s="69" t="str">
        <f t="array" ref="L158">IF('Results and Rankings'!$A158="","",XLOOKUP('Results and Rankings'!$A158,'Robot Design Input'!$A$2:$A$201,'Robot Design Input'!$N$2:$N$201,NumberOfTeams+1,0,))</f>
        <v/>
      </c>
      <c r="M158" s="69" t="str">
        <f> IF('Results and Rankings'!$A158="","",IF('Results and Rankings'!$J158="",NumberOfTeams+1,'Results and Rankings'!$J158) + IF('Results and Rankings'!$K158="",NumberOfTeams+1,'Results and Rankings'!$K158) + IF('Results and Rankings'!$L158="",NumberOfTeams+1,'Results and Rankings'!$L158) + 'Results and Rankings'!$I158)</f>
        <v/>
      </c>
      <c r="N158" s="70" t="str">
        <f>IF('Results and Rankings'!$A158="","",IF(M158,RANK(M158,M$3:M$202,1)-COUNTIF(M$3:M$202,0),NumberOfTeams+1))</f>
        <v/>
      </c>
      <c r="O158" s="72" t="str">
        <f t="array" ref="O158">XLOOKUP('Results and Rankings'!$A158,'Core Values Input'!$A$2:$A$201,'Core Values Input'!$W$2:$W$201,0,0,)</f>
        <v>#VALUE!</v>
      </c>
      <c r="P158" s="72" t="str">
        <f t="array" ref="P158">XLOOKUP('Results and Rankings'!$A158,'Core Values Input'!$A$2:$A$201,'Core Values Input'!$X$2:$X$201,0,0,)</f>
        <v>#VALUE!</v>
      </c>
      <c r="Q158" s="72" t="str">
        <f t="array" ref="Q158">XLOOKUP('Results and Rankings'!$A158,'Core Values Input'!$A$2:$A$201,'Core Values Input'!$Y$2:$Y$201,0,0,)</f>
        <v>#VALUE!</v>
      </c>
      <c r="R158" s="38"/>
      <c r="S158" s="38"/>
      <c r="T158" s="72"/>
      <c r="U158" s="69" t="str">
        <f t="array" ref="U158">XLOOKUP('Results and Rankings'!$A158,'Core Values Input'!$A$2:$A$201,'Core Values Input'!$U$2:$U$201,0,0,)</f>
        <v>#VALUE!</v>
      </c>
      <c r="V158" s="69" t="str">
        <f t="array" ref="V158">XLOOKUP('Results and Rankings'!$A158,'Innovation Project Input'!$A$2:$A$201,'Innovation Project Input'!$M$2:$M$201,0,0,)</f>
        <v>#VALUE!</v>
      </c>
      <c r="W158" s="69" t="str">
        <f t="array" ref="W158">XLOOKUP('Results and Rankings'!$A158,'Robot Design Input'!$A$2:$A$201,'Robot Design Input'!$M$2:$M$201,0,0,)</f>
        <v>#VALUE!</v>
      </c>
      <c r="X158" s="73">
        <f>IF(ISERR(GEOMEAN('Results and Rankings'!$H158,'Results and Rankings'!$U158,'Results and Rankings'!$V158,'Results and Rankings'!$W158)),0,GEOMEAN('Results and Rankings'!$H158,'Results and Rankings'!$U158,'Results and Rankings'!$V158,'Results and Rankings'!$W158))</f>
        <v>0</v>
      </c>
      <c r="Y158" s="38">
        <f>IF(X158,_xlfn.RANK.EQ(X158,X$3:X$110,0),NumberOfTeams)</f>
        <v>0</v>
      </c>
      <c r="Z158" s="38"/>
    </row>
    <row r="159" ht="21.0" customHeight="1">
      <c r="A159" s="67" t="str">
        <f t="array" ref="A159">XLOOKUP(157,'Team and Program Information'!$B$3:$B$202,'Team and Program Information'!$C$3:$C$202,"ERROR",0)</f>
        <v/>
      </c>
      <c r="B159" s="68" t="str">
        <f t="array" ref="B159">XLOOKUP('Results and Rankings'!$A159,'Team and Program Information'!$C$3:$C$202,'Team and Program Information'!$D$3:$D$202,"",0,)</f>
        <v>#VALUE!</v>
      </c>
      <c r="C159" s="69" t="str">
        <f t="array" ref="C159">IF('Results and Rankings'!$A159="","",XLOOKUP('Results and Rankings'!$A159,'Robot Game Scores'!$B$2:$B$201,'Robot Game Scores'!$D$2:$D$201,0,0,))</f>
        <v/>
      </c>
      <c r="D159" s="69" t="str">
        <f t="array" ref="D159">IF('Results and Rankings'!$A159="","",XLOOKUP('Results and Rankings'!$A159,'Robot Game Scores'!$B$2:$B$201,'Robot Game Scores'!$E$2:$E$201,0,0,))</f>
        <v/>
      </c>
      <c r="E159" s="69" t="str">
        <f t="array" ref="E159">IF('Results and Rankings'!$A159="","",XLOOKUP('Results and Rankings'!$A159,'Robot Game Scores'!$B$2:$B$201,'Robot Game Scores'!$F$2:$F$201,0,0,))</f>
        <v/>
      </c>
      <c r="F159" s="69" t="str">
        <f t="array" ref="F159">IF('Results and Rankings'!$A159="","",XLOOKUP('Results and Rankings'!$A159,'Robot Game Scores'!$B$2:$B$201,'Robot Game Scores'!$G$2:$G$201,0,0,))</f>
        <v/>
      </c>
      <c r="G159" s="69" t="str">
        <f t="array" ref="G159">IF('Results and Rankings'!$A159="","",XLOOKUP('Results and Rankings'!$A159,'Robot Game Scores'!$B$2:$B$201,'Robot Game Scores'!$H$2:$H$201,0,0,))</f>
        <v/>
      </c>
      <c r="H159" s="69" t="str">
        <f>IF('Results and Rankings'!$A159="","",IF(ISNA(LARGE('Results and Rankings'!$C159:$G159,1)+0.0001*LARGE('Results and Rankings'!$C159:$G159,2)+0.0000001*LARGE('Results and Rankings'!$C159:$G159,3)+1E-11*LARGE('Results and Rankings'!$C159:$G159,4)+1E-14*LARGE('Results and Rankings'!$C159:$G159,5)),0,LARGE('Results and Rankings'!$C159:$G159,1)+0.0001*LARGE('Results and Rankings'!$C159:$G159,2)+0.0000001*LARGE('Results and Rankings'!$C159:$G159,3)+1E-11*LARGE('Results and Rankings'!$C159:$G159,4)+1E-14*LARGE('Results and Rankings'!$C159:$G159,5)))</f>
        <v/>
      </c>
      <c r="I159" s="69" t="str">
        <f>IF('Results and Rankings'!$A159="","",_xlfn.RANK.EQ('Results and Rankings'!$H159,'Results and Rankings'!$H$3:$H$202))</f>
        <v/>
      </c>
      <c r="J159" s="69" t="str">
        <f t="array" ref="J159">IF('Results and Rankings'!$A159="","",XLOOKUP('Results and Rankings'!$A159,'Core Values Input'!$A$2:$A$201,'Core Values Input'!$V$2:$V$201,NumberOfTeams+1,0,))</f>
        <v/>
      </c>
      <c r="K159" s="69" t="str">
        <f t="array" ref="K159">IF('Results and Rankings'!$A159="","",XLOOKUP('Results and Rankings'!$A159,'Innovation Project Input'!$A$2:$A$201,'Innovation Project Input'!$N$2:$N$201,NumberOfTeams+1,0,))</f>
        <v/>
      </c>
      <c r="L159" s="69" t="str">
        <f t="array" ref="L159">IF('Results and Rankings'!$A159="","",XLOOKUP('Results and Rankings'!$A159,'Robot Design Input'!$A$2:$A$201,'Robot Design Input'!$N$2:$N$201,NumberOfTeams+1,0,))</f>
        <v/>
      </c>
      <c r="M159" s="69" t="str">
        <f> IF('Results and Rankings'!$A159="","",IF('Results and Rankings'!$J159="",NumberOfTeams+1,'Results and Rankings'!$J159) + IF('Results and Rankings'!$K159="",NumberOfTeams+1,'Results and Rankings'!$K159) + IF('Results and Rankings'!$L159="",NumberOfTeams+1,'Results and Rankings'!$L159) + 'Results and Rankings'!$I159)</f>
        <v/>
      </c>
      <c r="N159" s="70" t="str">
        <f>IF('Results and Rankings'!$A159="","",IF(M159,RANK(M159,M$3:M$202,1)-COUNTIF(M$3:M$202,0),NumberOfTeams+1))</f>
        <v/>
      </c>
      <c r="O159" s="72" t="str">
        <f t="array" ref="O159">XLOOKUP('Results and Rankings'!$A159,'Core Values Input'!$A$2:$A$201,'Core Values Input'!$W$2:$W$201,0,0,)</f>
        <v>#VALUE!</v>
      </c>
      <c r="P159" s="72" t="str">
        <f t="array" ref="P159">XLOOKUP('Results and Rankings'!$A159,'Core Values Input'!$A$2:$A$201,'Core Values Input'!$X$2:$X$201,0,0,)</f>
        <v>#VALUE!</v>
      </c>
      <c r="Q159" s="72" t="str">
        <f t="array" ref="Q159">XLOOKUP('Results and Rankings'!$A159,'Core Values Input'!$A$2:$A$201,'Core Values Input'!$Y$2:$Y$201,0,0,)</f>
        <v>#VALUE!</v>
      </c>
      <c r="R159" s="38"/>
      <c r="S159" s="38"/>
      <c r="T159" s="72"/>
      <c r="U159" s="69" t="str">
        <f t="array" ref="U159">XLOOKUP('Results and Rankings'!$A159,'Core Values Input'!$A$2:$A$201,'Core Values Input'!$U$2:$U$201,0,0,)</f>
        <v>#VALUE!</v>
      </c>
      <c r="V159" s="69" t="str">
        <f t="array" ref="V159">XLOOKUP('Results and Rankings'!$A159,'Innovation Project Input'!$A$2:$A$201,'Innovation Project Input'!$M$2:$M$201,0,0,)</f>
        <v>#VALUE!</v>
      </c>
      <c r="W159" s="69" t="str">
        <f t="array" ref="W159">XLOOKUP('Results and Rankings'!$A159,'Robot Design Input'!$A$2:$A$201,'Robot Design Input'!$M$2:$M$201,0,0,)</f>
        <v>#VALUE!</v>
      </c>
      <c r="X159" s="73">
        <f>IF(ISERR(GEOMEAN('Results and Rankings'!$H159,'Results and Rankings'!$U159,'Results and Rankings'!$V159,'Results and Rankings'!$W159)),0,GEOMEAN('Results and Rankings'!$H159,'Results and Rankings'!$U159,'Results and Rankings'!$V159,'Results and Rankings'!$W159))</f>
        <v>0</v>
      </c>
      <c r="Y159" s="38">
        <f>IF(X159,_xlfn.RANK.EQ(X159,X$3:X$110,0),NumberOfTeams)</f>
        <v>0</v>
      </c>
      <c r="Z159" s="38"/>
    </row>
    <row r="160" ht="21.0" customHeight="1">
      <c r="A160" s="67" t="str">
        <f t="array" ref="A160">XLOOKUP(158,'Team and Program Information'!$B$3:$B$202,'Team and Program Information'!$C$3:$C$202,"ERROR",0)</f>
        <v/>
      </c>
      <c r="B160" s="68" t="str">
        <f t="array" ref="B160">XLOOKUP('Results and Rankings'!$A160,'Team and Program Information'!$C$3:$C$202,'Team and Program Information'!$D$3:$D$202,"",0,)</f>
        <v>#VALUE!</v>
      </c>
      <c r="C160" s="69" t="str">
        <f t="array" ref="C160">IF('Results and Rankings'!$A160="","",XLOOKUP('Results and Rankings'!$A160,'Robot Game Scores'!$B$2:$B$201,'Robot Game Scores'!$D$2:$D$201,0,0,))</f>
        <v/>
      </c>
      <c r="D160" s="69" t="str">
        <f t="array" ref="D160">IF('Results and Rankings'!$A160="","",XLOOKUP('Results and Rankings'!$A160,'Robot Game Scores'!$B$2:$B$201,'Robot Game Scores'!$E$2:$E$201,0,0,))</f>
        <v/>
      </c>
      <c r="E160" s="69" t="str">
        <f t="array" ref="E160">IF('Results and Rankings'!$A160="","",XLOOKUP('Results and Rankings'!$A160,'Robot Game Scores'!$B$2:$B$201,'Robot Game Scores'!$F$2:$F$201,0,0,))</f>
        <v/>
      </c>
      <c r="F160" s="69" t="str">
        <f t="array" ref="F160">IF('Results and Rankings'!$A160="","",XLOOKUP('Results and Rankings'!$A160,'Robot Game Scores'!$B$2:$B$201,'Robot Game Scores'!$G$2:$G$201,0,0,))</f>
        <v/>
      </c>
      <c r="G160" s="69" t="str">
        <f t="array" ref="G160">IF('Results and Rankings'!$A160="","",XLOOKUP('Results and Rankings'!$A160,'Robot Game Scores'!$B$2:$B$201,'Robot Game Scores'!$H$2:$H$201,0,0,))</f>
        <v/>
      </c>
      <c r="H160" s="69" t="str">
        <f>IF('Results and Rankings'!$A160="","",IF(ISNA(LARGE('Results and Rankings'!$C160:$G160,1)+0.0001*LARGE('Results and Rankings'!$C160:$G160,2)+0.0000001*LARGE('Results and Rankings'!$C160:$G160,3)+1E-11*LARGE('Results and Rankings'!$C160:$G160,4)+1E-14*LARGE('Results and Rankings'!$C160:$G160,5)),0,LARGE('Results and Rankings'!$C160:$G160,1)+0.0001*LARGE('Results and Rankings'!$C160:$G160,2)+0.0000001*LARGE('Results and Rankings'!$C160:$G160,3)+1E-11*LARGE('Results and Rankings'!$C160:$G160,4)+1E-14*LARGE('Results and Rankings'!$C160:$G160,5)))</f>
        <v/>
      </c>
      <c r="I160" s="69" t="str">
        <f>IF('Results and Rankings'!$A160="","",_xlfn.RANK.EQ('Results and Rankings'!$H160,'Results and Rankings'!$H$3:$H$202))</f>
        <v/>
      </c>
      <c r="J160" s="69" t="str">
        <f t="array" ref="J160">IF('Results and Rankings'!$A160="","",XLOOKUP('Results and Rankings'!$A160,'Core Values Input'!$A$2:$A$201,'Core Values Input'!$V$2:$V$201,NumberOfTeams+1,0,))</f>
        <v/>
      </c>
      <c r="K160" s="69" t="str">
        <f t="array" ref="K160">IF('Results and Rankings'!$A160="","",XLOOKUP('Results and Rankings'!$A160,'Innovation Project Input'!$A$2:$A$201,'Innovation Project Input'!$N$2:$N$201,NumberOfTeams+1,0,))</f>
        <v/>
      </c>
      <c r="L160" s="69" t="str">
        <f t="array" ref="L160">IF('Results and Rankings'!$A160="","",XLOOKUP('Results and Rankings'!$A160,'Robot Design Input'!$A$2:$A$201,'Robot Design Input'!$N$2:$N$201,NumberOfTeams+1,0,))</f>
        <v/>
      </c>
      <c r="M160" s="69" t="str">
        <f> IF('Results and Rankings'!$A160="","",IF('Results and Rankings'!$J160="",NumberOfTeams+1,'Results and Rankings'!$J160) + IF('Results and Rankings'!$K160="",NumberOfTeams+1,'Results and Rankings'!$K160) + IF('Results and Rankings'!$L160="",NumberOfTeams+1,'Results and Rankings'!$L160) + 'Results and Rankings'!$I160)</f>
        <v/>
      </c>
      <c r="N160" s="70" t="str">
        <f>IF('Results and Rankings'!$A160="","",IF(M160,RANK(M160,M$3:M$202,1)-COUNTIF(M$3:M$202,0),NumberOfTeams+1))</f>
        <v/>
      </c>
      <c r="O160" s="72" t="str">
        <f t="array" ref="O160">XLOOKUP('Results and Rankings'!$A160,'Core Values Input'!$A$2:$A$201,'Core Values Input'!$W$2:$W$201,0,0,)</f>
        <v>#VALUE!</v>
      </c>
      <c r="P160" s="72" t="str">
        <f t="array" ref="P160">XLOOKUP('Results and Rankings'!$A160,'Core Values Input'!$A$2:$A$201,'Core Values Input'!$X$2:$X$201,0,0,)</f>
        <v>#VALUE!</v>
      </c>
      <c r="Q160" s="72" t="str">
        <f t="array" ref="Q160">XLOOKUP('Results and Rankings'!$A160,'Core Values Input'!$A$2:$A$201,'Core Values Input'!$Y$2:$Y$201,0,0,)</f>
        <v>#VALUE!</v>
      </c>
      <c r="R160" s="38"/>
      <c r="S160" s="38"/>
      <c r="T160" s="72"/>
      <c r="U160" s="69" t="str">
        <f t="array" ref="U160">XLOOKUP('Results and Rankings'!$A160,'Core Values Input'!$A$2:$A$201,'Core Values Input'!$U$2:$U$201,0,0,)</f>
        <v>#VALUE!</v>
      </c>
      <c r="V160" s="69" t="str">
        <f t="array" ref="V160">XLOOKUP('Results and Rankings'!$A160,'Innovation Project Input'!$A$2:$A$201,'Innovation Project Input'!$M$2:$M$201,0,0,)</f>
        <v>#VALUE!</v>
      </c>
      <c r="W160" s="69" t="str">
        <f t="array" ref="W160">XLOOKUP('Results and Rankings'!$A160,'Robot Design Input'!$A$2:$A$201,'Robot Design Input'!$M$2:$M$201,0,0,)</f>
        <v>#VALUE!</v>
      </c>
      <c r="X160" s="73">
        <f>IF(ISERR(GEOMEAN('Results and Rankings'!$H160,'Results and Rankings'!$U160,'Results and Rankings'!$V160,'Results and Rankings'!$W160)),0,GEOMEAN('Results and Rankings'!$H160,'Results and Rankings'!$U160,'Results and Rankings'!$V160,'Results and Rankings'!$W160))</f>
        <v>0</v>
      </c>
      <c r="Y160" s="38">
        <f>IF(X160,_xlfn.RANK.EQ(X160,X$3:X$110,0),NumberOfTeams)</f>
        <v>0</v>
      </c>
      <c r="Z160" s="38"/>
    </row>
    <row r="161" ht="21.0" customHeight="1">
      <c r="A161" s="67" t="str">
        <f t="array" ref="A161">XLOOKUP(159,'Team and Program Information'!$B$3:$B$202,'Team and Program Information'!$C$3:$C$202,"ERROR",0)</f>
        <v/>
      </c>
      <c r="B161" s="68" t="str">
        <f t="array" ref="B161">XLOOKUP('Results and Rankings'!$A161,'Team and Program Information'!$C$3:$C$202,'Team and Program Information'!$D$3:$D$202,"",0,)</f>
        <v>#VALUE!</v>
      </c>
      <c r="C161" s="69" t="str">
        <f t="array" ref="C161">IF('Results and Rankings'!$A161="","",XLOOKUP('Results and Rankings'!$A161,'Robot Game Scores'!$B$2:$B$201,'Robot Game Scores'!$D$2:$D$201,0,0,))</f>
        <v/>
      </c>
      <c r="D161" s="69" t="str">
        <f t="array" ref="D161">IF('Results and Rankings'!$A161="","",XLOOKUP('Results and Rankings'!$A161,'Robot Game Scores'!$B$2:$B$201,'Robot Game Scores'!$E$2:$E$201,0,0,))</f>
        <v/>
      </c>
      <c r="E161" s="69" t="str">
        <f t="array" ref="E161">IF('Results and Rankings'!$A161="","",XLOOKUP('Results and Rankings'!$A161,'Robot Game Scores'!$B$2:$B$201,'Robot Game Scores'!$F$2:$F$201,0,0,))</f>
        <v/>
      </c>
      <c r="F161" s="69" t="str">
        <f t="array" ref="F161">IF('Results and Rankings'!$A161="","",XLOOKUP('Results and Rankings'!$A161,'Robot Game Scores'!$B$2:$B$201,'Robot Game Scores'!$G$2:$G$201,0,0,))</f>
        <v/>
      </c>
      <c r="G161" s="69" t="str">
        <f t="array" ref="G161">IF('Results and Rankings'!$A161="","",XLOOKUP('Results and Rankings'!$A161,'Robot Game Scores'!$B$2:$B$201,'Robot Game Scores'!$H$2:$H$201,0,0,))</f>
        <v/>
      </c>
      <c r="H161" s="69" t="str">
        <f>IF('Results and Rankings'!$A161="","",IF(ISNA(LARGE('Results and Rankings'!$C161:$G161,1)+0.0001*LARGE('Results and Rankings'!$C161:$G161,2)+0.0000001*LARGE('Results and Rankings'!$C161:$G161,3)+1E-11*LARGE('Results and Rankings'!$C161:$G161,4)+1E-14*LARGE('Results and Rankings'!$C161:$G161,5)),0,LARGE('Results and Rankings'!$C161:$G161,1)+0.0001*LARGE('Results and Rankings'!$C161:$G161,2)+0.0000001*LARGE('Results and Rankings'!$C161:$G161,3)+1E-11*LARGE('Results and Rankings'!$C161:$G161,4)+1E-14*LARGE('Results and Rankings'!$C161:$G161,5)))</f>
        <v/>
      </c>
      <c r="I161" s="69" t="str">
        <f>IF('Results and Rankings'!$A161="","",_xlfn.RANK.EQ('Results and Rankings'!$H161,'Results and Rankings'!$H$3:$H$202))</f>
        <v/>
      </c>
      <c r="J161" s="69" t="str">
        <f t="array" ref="J161">IF('Results and Rankings'!$A161="","",XLOOKUP('Results and Rankings'!$A161,'Core Values Input'!$A$2:$A$201,'Core Values Input'!$V$2:$V$201,NumberOfTeams+1,0,))</f>
        <v/>
      </c>
      <c r="K161" s="69" t="str">
        <f t="array" ref="K161">IF('Results and Rankings'!$A161="","",XLOOKUP('Results and Rankings'!$A161,'Innovation Project Input'!$A$2:$A$201,'Innovation Project Input'!$N$2:$N$201,NumberOfTeams+1,0,))</f>
        <v/>
      </c>
      <c r="L161" s="69" t="str">
        <f t="array" ref="L161">IF('Results and Rankings'!$A161="","",XLOOKUP('Results and Rankings'!$A161,'Robot Design Input'!$A$2:$A$201,'Robot Design Input'!$N$2:$N$201,NumberOfTeams+1,0,))</f>
        <v/>
      </c>
      <c r="M161" s="69" t="str">
        <f> IF('Results and Rankings'!$A161="","",IF('Results and Rankings'!$J161="",NumberOfTeams+1,'Results and Rankings'!$J161) + IF('Results and Rankings'!$K161="",NumberOfTeams+1,'Results and Rankings'!$K161) + IF('Results and Rankings'!$L161="",NumberOfTeams+1,'Results and Rankings'!$L161) + 'Results and Rankings'!$I161)</f>
        <v/>
      </c>
      <c r="N161" s="70" t="str">
        <f>IF('Results and Rankings'!$A161="","",IF(M161,RANK(M161,M$3:M$202,1)-COUNTIF(M$3:M$202,0),NumberOfTeams+1))</f>
        <v/>
      </c>
      <c r="O161" s="72" t="str">
        <f t="array" ref="O161">XLOOKUP('Results and Rankings'!$A161,'Core Values Input'!$A$2:$A$201,'Core Values Input'!$W$2:$W$201,0,0,)</f>
        <v>#VALUE!</v>
      </c>
      <c r="P161" s="72" t="str">
        <f t="array" ref="P161">XLOOKUP('Results and Rankings'!$A161,'Core Values Input'!$A$2:$A$201,'Core Values Input'!$X$2:$X$201,0,0,)</f>
        <v>#VALUE!</v>
      </c>
      <c r="Q161" s="72" t="str">
        <f t="array" ref="Q161">XLOOKUP('Results and Rankings'!$A161,'Core Values Input'!$A$2:$A$201,'Core Values Input'!$Y$2:$Y$201,0,0,)</f>
        <v>#VALUE!</v>
      </c>
      <c r="R161" s="38"/>
      <c r="S161" s="38"/>
      <c r="T161" s="72"/>
      <c r="U161" s="69" t="str">
        <f t="array" ref="U161">XLOOKUP('Results and Rankings'!$A161,'Core Values Input'!$A$2:$A$201,'Core Values Input'!$U$2:$U$201,0,0,)</f>
        <v>#VALUE!</v>
      </c>
      <c r="V161" s="69" t="str">
        <f t="array" ref="V161">XLOOKUP('Results and Rankings'!$A161,'Innovation Project Input'!$A$2:$A$201,'Innovation Project Input'!$M$2:$M$201,0,0,)</f>
        <v>#VALUE!</v>
      </c>
      <c r="W161" s="69" t="str">
        <f t="array" ref="W161">XLOOKUP('Results and Rankings'!$A161,'Robot Design Input'!$A$2:$A$201,'Robot Design Input'!$M$2:$M$201,0,0,)</f>
        <v>#VALUE!</v>
      </c>
      <c r="X161" s="73">
        <f>IF(ISERR(GEOMEAN('Results and Rankings'!$H161,'Results and Rankings'!$U161,'Results and Rankings'!$V161,'Results and Rankings'!$W161)),0,GEOMEAN('Results and Rankings'!$H161,'Results and Rankings'!$U161,'Results and Rankings'!$V161,'Results and Rankings'!$W161))</f>
        <v>0</v>
      </c>
      <c r="Y161" s="38">
        <f>IF(X161,_xlfn.RANK.EQ(X161,X$3:X$110,0),NumberOfTeams)</f>
        <v>0</v>
      </c>
      <c r="Z161" s="38"/>
    </row>
    <row r="162" ht="21.0" customHeight="1">
      <c r="A162" s="67" t="str">
        <f t="array" ref="A162">XLOOKUP(160,'Team and Program Information'!$B$3:$B$202,'Team and Program Information'!$C$3:$C$202,"ERROR",0)</f>
        <v/>
      </c>
      <c r="B162" s="68" t="str">
        <f t="array" ref="B162">XLOOKUP('Results and Rankings'!$A162,'Team and Program Information'!$C$3:$C$202,'Team and Program Information'!$D$3:$D$202,"",0,)</f>
        <v>#VALUE!</v>
      </c>
      <c r="C162" s="69" t="str">
        <f t="array" ref="C162">IF('Results and Rankings'!$A162="","",XLOOKUP('Results and Rankings'!$A162,'Robot Game Scores'!$B$2:$B$201,'Robot Game Scores'!$D$2:$D$201,0,0,))</f>
        <v/>
      </c>
      <c r="D162" s="69" t="str">
        <f t="array" ref="D162">IF('Results and Rankings'!$A162="","",XLOOKUP('Results and Rankings'!$A162,'Robot Game Scores'!$B$2:$B$201,'Robot Game Scores'!$E$2:$E$201,0,0,))</f>
        <v/>
      </c>
      <c r="E162" s="69" t="str">
        <f t="array" ref="E162">IF('Results and Rankings'!$A162="","",XLOOKUP('Results and Rankings'!$A162,'Robot Game Scores'!$B$2:$B$201,'Robot Game Scores'!$F$2:$F$201,0,0,))</f>
        <v/>
      </c>
      <c r="F162" s="69" t="str">
        <f t="array" ref="F162">IF('Results and Rankings'!$A162="","",XLOOKUP('Results and Rankings'!$A162,'Robot Game Scores'!$B$2:$B$201,'Robot Game Scores'!$G$2:$G$201,0,0,))</f>
        <v/>
      </c>
      <c r="G162" s="69" t="str">
        <f t="array" ref="G162">IF('Results and Rankings'!$A162="","",XLOOKUP('Results and Rankings'!$A162,'Robot Game Scores'!$B$2:$B$201,'Robot Game Scores'!$H$2:$H$201,0,0,))</f>
        <v/>
      </c>
      <c r="H162" s="69" t="str">
        <f>IF('Results and Rankings'!$A162="","",IF(ISNA(LARGE('Results and Rankings'!$C162:$G162,1)+0.0001*LARGE('Results and Rankings'!$C162:$G162,2)+0.0000001*LARGE('Results and Rankings'!$C162:$G162,3)+1E-11*LARGE('Results and Rankings'!$C162:$G162,4)+1E-14*LARGE('Results and Rankings'!$C162:$G162,5)),0,LARGE('Results and Rankings'!$C162:$G162,1)+0.0001*LARGE('Results and Rankings'!$C162:$G162,2)+0.0000001*LARGE('Results and Rankings'!$C162:$G162,3)+1E-11*LARGE('Results and Rankings'!$C162:$G162,4)+1E-14*LARGE('Results and Rankings'!$C162:$G162,5)))</f>
        <v/>
      </c>
      <c r="I162" s="69" t="str">
        <f>IF('Results and Rankings'!$A162="","",_xlfn.RANK.EQ('Results and Rankings'!$H162,'Results and Rankings'!$H$3:$H$202))</f>
        <v/>
      </c>
      <c r="J162" s="69" t="str">
        <f t="array" ref="J162">IF('Results and Rankings'!$A162="","",XLOOKUP('Results and Rankings'!$A162,'Core Values Input'!$A$2:$A$201,'Core Values Input'!$V$2:$V$201,NumberOfTeams+1,0,))</f>
        <v/>
      </c>
      <c r="K162" s="69" t="str">
        <f t="array" ref="K162">IF('Results and Rankings'!$A162="","",XLOOKUP('Results and Rankings'!$A162,'Innovation Project Input'!$A$2:$A$201,'Innovation Project Input'!$N$2:$N$201,NumberOfTeams+1,0,))</f>
        <v/>
      </c>
      <c r="L162" s="69" t="str">
        <f t="array" ref="L162">IF('Results and Rankings'!$A162="","",XLOOKUP('Results and Rankings'!$A162,'Robot Design Input'!$A$2:$A$201,'Robot Design Input'!$N$2:$N$201,NumberOfTeams+1,0,))</f>
        <v/>
      </c>
      <c r="M162" s="69" t="str">
        <f> IF('Results and Rankings'!$A162="","",IF('Results and Rankings'!$J162="",NumberOfTeams+1,'Results and Rankings'!$J162) + IF('Results and Rankings'!$K162="",NumberOfTeams+1,'Results and Rankings'!$K162) + IF('Results and Rankings'!$L162="",NumberOfTeams+1,'Results and Rankings'!$L162) + 'Results and Rankings'!$I162)</f>
        <v/>
      </c>
      <c r="N162" s="70" t="str">
        <f>IF('Results and Rankings'!$A162="","",IF(M162,RANK(M162,M$3:M$202,1)-COUNTIF(M$3:M$202,0),NumberOfTeams+1))</f>
        <v/>
      </c>
      <c r="O162" s="72" t="str">
        <f t="array" ref="O162">XLOOKUP('Results and Rankings'!$A162,'Core Values Input'!$A$2:$A$201,'Core Values Input'!$W$2:$W$201,0,0,)</f>
        <v>#VALUE!</v>
      </c>
      <c r="P162" s="72" t="str">
        <f t="array" ref="P162">XLOOKUP('Results and Rankings'!$A162,'Core Values Input'!$A$2:$A$201,'Core Values Input'!$X$2:$X$201,0,0,)</f>
        <v>#VALUE!</v>
      </c>
      <c r="Q162" s="72" t="str">
        <f t="array" ref="Q162">XLOOKUP('Results and Rankings'!$A162,'Core Values Input'!$A$2:$A$201,'Core Values Input'!$Y$2:$Y$201,0,0,)</f>
        <v>#VALUE!</v>
      </c>
      <c r="R162" s="38"/>
      <c r="S162" s="38"/>
      <c r="T162" s="72"/>
      <c r="U162" s="69" t="str">
        <f t="array" ref="U162">XLOOKUP('Results and Rankings'!$A162,'Core Values Input'!$A$2:$A$201,'Core Values Input'!$U$2:$U$201,0,0,)</f>
        <v>#VALUE!</v>
      </c>
      <c r="V162" s="69" t="str">
        <f t="array" ref="V162">XLOOKUP('Results and Rankings'!$A162,'Innovation Project Input'!$A$2:$A$201,'Innovation Project Input'!$M$2:$M$201,0,0,)</f>
        <v>#VALUE!</v>
      </c>
      <c r="W162" s="69" t="str">
        <f t="array" ref="W162">XLOOKUP('Results and Rankings'!$A162,'Robot Design Input'!$A$2:$A$201,'Robot Design Input'!$M$2:$M$201,0,0,)</f>
        <v>#VALUE!</v>
      </c>
      <c r="X162" s="73">
        <f>IF(ISERR(GEOMEAN('Results and Rankings'!$H162,'Results and Rankings'!$U162,'Results and Rankings'!$V162,'Results and Rankings'!$W162)),0,GEOMEAN('Results and Rankings'!$H162,'Results and Rankings'!$U162,'Results and Rankings'!$V162,'Results and Rankings'!$W162))</f>
        <v>0</v>
      </c>
      <c r="Y162" s="38">
        <f>IF(X162,_xlfn.RANK.EQ(X162,X$3:X$110,0),NumberOfTeams)</f>
        <v>0</v>
      </c>
      <c r="Z162" s="38"/>
    </row>
    <row r="163" ht="21.0" customHeight="1">
      <c r="A163" s="67" t="str">
        <f t="array" ref="A163">XLOOKUP(161,'Team and Program Information'!$B$3:$B$202,'Team and Program Information'!$C$3:$C$202,"ERROR",0)</f>
        <v/>
      </c>
      <c r="B163" s="68" t="str">
        <f t="array" ref="B163">XLOOKUP('Results and Rankings'!$A163,'Team and Program Information'!$C$3:$C$202,'Team and Program Information'!$D$3:$D$202,"",0,)</f>
        <v>#VALUE!</v>
      </c>
      <c r="C163" s="69" t="str">
        <f t="array" ref="C163">IF('Results and Rankings'!$A163="","",XLOOKUP('Results and Rankings'!$A163,'Robot Game Scores'!$B$2:$B$201,'Robot Game Scores'!$D$2:$D$201,0,0,))</f>
        <v/>
      </c>
      <c r="D163" s="69" t="str">
        <f t="array" ref="D163">IF('Results and Rankings'!$A163="","",XLOOKUP('Results and Rankings'!$A163,'Robot Game Scores'!$B$2:$B$201,'Robot Game Scores'!$E$2:$E$201,0,0,))</f>
        <v/>
      </c>
      <c r="E163" s="69" t="str">
        <f t="array" ref="E163">IF('Results and Rankings'!$A163="","",XLOOKUP('Results and Rankings'!$A163,'Robot Game Scores'!$B$2:$B$201,'Robot Game Scores'!$F$2:$F$201,0,0,))</f>
        <v/>
      </c>
      <c r="F163" s="69" t="str">
        <f t="array" ref="F163">IF('Results and Rankings'!$A163="","",XLOOKUP('Results and Rankings'!$A163,'Robot Game Scores'!$B$2:$B$201,'Robot Game Scores'!$G$2:$G$201,0,0,))</f>
        <v/>
      </c>
      <c r="G163" s="69" t="str">
        <f t="array" ref="G163">IF('Results and Rankings'!$A163="","",XLOOKUP('Results and Rankings'!$A163,'Robot Game Scores'!$B$2:$B$201,'Robot Game Scores'!$H$2:$H$201,0,0,))</f>
        <v/>
      </c>
      <c r="H163" s="69" t="str">
        <f>IF('Results and Rankings'!$A163="","",IF(ISNA(LARGE('Results and Rankings'!$C163:$G163,1)+0.0001*LARGE('Results and Rankings'!$C163:$G163,2)+0.0000001*LARGE('Results and Rankings'!$C163:$G163,3)+1E-11*LARGE('Results and Rankings'!$C163:$G163,4)+1E-14*LARGE('Results and Rankings'!$C163:$G163,5)),0,LARGE('Results and Rankings'!$C163:$G163,1)+0.0001*LARGE('Results and Rankings'!$C163:$G163,2)+0.0000001*LARGE('Results and Rankings'!$C163:$G163,3)+1E-11*LARGE('Results and Rankings'!$C163:$G163,4)+1E-14*LARGE('Results and Rankings'!$C163:$G163,5)))</f>
        <v/>
      </c>
      <c r="I163" s="69" t="str">
        <f>IF('Results and Rankings'!$A163="","",_xlfn.RANK.EQ('Results and Rankings'!$H163,'Results and Rankings'!$H$3:$H$202))</f>
        <v/>
      </c>
      <c r="J163" s="69" t="str">
        <f t="array" ref="J163">IF('Results and Rankings'!$A163="","",XLOOKUP('Results and Rankings'!$A163,'Core Values Input'!$A$2:$A$201,'Core Values Input'!$V$2:$V$201,NumberOfTeams+1,0,))</f>
        <v/>
      </c>
      <c r="K163" s="69" t="str">
        <f t="array" ref="K163">IF('Results and Rankings'!$A163="","",XLOOKUP('Results and Rankings'!$A163,'Innovation Project Input'!$A$2:$A$201,'Innovation Project Input'!$N$2:$N$201,NumberOfTeams+1,0,))</f>
        <v/>
      </c>
      <c r="L163" s="69" t="str">
        <f t="array" ref="L163">IF('Results and Rankings'!$A163="","",XLOOKUP('Results and Rankings'!$A163,'Robot Design Input'!$A$2:$A$201,'Robot Design Input'!$N$2:$N$201,NumberOfTeams+1,0,))</f>
        <v/>
      </c>
      <c r="M163" s="69" t="str">
        <f> IF('Results and Rankings'!$A163="","",IF('Results and Rankings'!$J163="",NumberOfTeams+1,'Results and Rankings'!$J163) + IF('Results and Rankings'!$K163="",NumberOfTeams+1,'Results and Rankings'!$K163) + IF('Results and Rankings'!$L163="",NumberOfTeams+1,'Results and Rankings'!$L163) + 'Results and Rankings'!$I163)</f>
        <v/>
      </c>
      <c r="N163" s="70" t="str">
        <f>IF('Results and Rankings'!$A163="","",IF(M163,RANK(M163,M$3:M$202,1)-COUNTIF(M$3:M$202,0),NumberOfTeams+1))</f>
        <v/>
      </c>
      <c r="O163" s="72" t="str">
        <f t="array" ref="O163">XLOOKUP('Results and Rankings'!$A163,'Core Values Input'!$A$2:$A$201,'Core Values Input'!$W$2:$W$201,0,0,)</f>
        <v>#VALUE!</v>
      </c>
      <c r="P163" s="72" t="str">
        <f t="array" ref="P163">XLOOKUP('Results and Rankings'!$A163,'Core Values Input'!$A$2:$A$201,'Core Values Input'!$X$2:$X$201,0,0,)</f>
        <v>#VALUE!</v>
      </c>
      <c r="Q163" s="72" t="str">
        <f t="array" ref="Q163">XLOOKUP('Results and Rankings'!$A163,'Core Values Input'!$A$2:$A$201,'Core Values Input'!$Y$2:$Y$201,0,0,)</f>
        <v>#VALUE!</v>
      </c>
      <c r="R163" s="38"/>
      <c r="S163" s="38"/>
      <c r="T163" s="72"/>
      <c r="U163" s="69" t="str">
        <f t="array" ref="U163">XLOOKUP('Results and Rankings'!$A163,'Core Values Input'!$A$2:$A$201,'Core Values Input'!$U$2:$U$201,0,0,)</f>
        <v>#VALUE!</v>
      </c>
      <c r="V163" s="69" t="str">
        <f t="array" ref="V163">XLOOKUP('Results and Rankings'!$A163,'Innovation Project Input'!$A$2:$A$201,'Innovation Project Input'!$M$2:$M$201,0,0,)</f>
        <v>#VALUE!</v>
      </c>
      <c r="W163" s="69" t="str">
        <f t="array" ref="W163">XLOOKUP('Results and Rankings'!$A163,'Robot Design Input'!$A$2:$A$201,'Robot Design Input'!$M$2:$M$201,0,0,)</f>
        <v>#VALUE!</v>
      </c>
      <c r="X163" s="73">
        <f>IF(ISERR(GEOMEAN('Results and Rankings'!$H163,'Results and Rankings'!$U163,'Results and Rankings'!$V163,'Results and Rankings'!$W163)),0,GEOMEAN('Results and Rankings'!$H163,'Results and Rankings'!$U163,'Results and Rankings'!$V163,'Results and Rankings'!$W163))</f>
        <v>0</v>
      </c>
      <c r="Y163" s="38">
        <f>IF(X163,_xlfn.RANK.EQ(X163,X$3:X$110,0),NumberOfTeams)</f>
        <v>0</v>
      </c>
      <c r="Z163" s="38"/>
    </row>
    <row r="164" ht="21.0" customHeight="1">
      <c r="A164" s="67" t="str">
        <f t="array" ref="A164">XLOOKUP(162,'Team and Program Information'!$B$3:$B$202,'Team and Program Information'!$C$3:$C$202,"ERROR",0)</f>
        <v/>
      </c>
      <c r="B164" s="68" t="str">
        <f t="array" ref="B164">XLOOKUP('Results and Rankings'!$A164,'Team and Program Information'!$C$3:$C$202,'Team and Program Information'!$D$3:$D$202,"",0,)</f>
        <v>#VALUE!</v>
      </c>
      <c r="C164" s="69" t="str">
        <f t="array" ref="C164">IF('Results and Rankings'!$A164="","",XLOOKUP('Results and Rankings'!$A164,'Robot Game Scores'!$B$2:$B$201,'Robot Game Scores'!$D$2:$D$201,0,0,))</f>
        <v/>
      </c>
      <c r="D164" s="69" t="str">
        <f t="array" ref="D164">IF('Results and Rankings'!$A164="","",XLOOKUP('Results and Rankings'!$A164,'Robot Game Scores'!$B$2:$B$201,'Robot Game Scores'!$E$2:$E$201,0,0,))</f>
        <v/>
      </c>
      <c r="E164" s="69" t="str">
        <f t="array" ref="E164">IF('Results and Rankings'!$A164="","",XLOOKUP('Results and Rankings'!$A164,'Robot Game Scores'!$B$2:$B$201,'Robot Game Scores'!$F$2:$F$201,0,0,))</f>
        <v/>
      </c>
      <c r="F164" s="69" t="str">
        <f t="array" ref="F164">IF('Results and Rankings'!$A164="","",XLOOKUP('Results and Rankings'!$A164,'Robot Game Scores'!$B$2:$B$201,'Robot Game Scores'!$G$2:$G$201,0,0,))</f>
        <v/>
      </c>
      <c r="G164" s="69" t="str">
        <f t="array" ref="G164">IF('Results and Rankings'!$A164="","",XLOOKUP('Results and Rankings'!$A164,'Robot Game Scores'!$B$2:$B$201,'Robot Game Scores'!$H$2:$H$201,0,0,))</f>
        <v/>
      </c>
      <c r="H164" s="69" t="str">
        <f>IF('Results and Rankings'!$A164="","",IF(ISNA(LARGE('Results and Rankings'!$C164:$G164,1)+0.0001*LARGE('Results and Rankings'!$C164:$G164,2)+0.0000001*LARGE('Results and Rankings'!$C164:$G164,3)+1E-11*LARGE('Results and Rankings'!$C164:$G164,4)+1E-14*LARGE('Results and Rankings'!$C164:$G164,5)),0,LARGE('Results and Rankings'!$C164:$G164,1)+0.0001*LARGE('Results and Rankings'!$C164:$G164,2)+0.0000001*LARGE('Results and Rankings'!$C164:$G164,3)+1E-11*LARGE('Results and Rankings'!$C164:$G164,4)+1E-14*LARGE('Results and Rankings'!$C164:$G164,5)))</f>
        <v/>
      </c>
      <c r="I164" s="69" t="str">
        <f>IF('Results and Rankings'!$A164="","",_xlfn.RANK.EQ('Results and Rankings'!$H164,'Results and Rankings'!$H$3:$H$202))</f>
        <v/>
      </c>
      <c r="J164" s="69" t="str">
        <f t="array" ref="J164">IF('Results and Rankings'!$A164="","",XLOOKUP('Results and Rankings'!$A164,'Core Values Input'!$A$2:$A$201,'Core Values Input'!$V$2:$V$201,NumberOfTeams+1,0,))</f>
        <v/>
      </c>
      <c r="K164" s="69" t="str">
        <f t="array" ref="K164">IF('Results and Rankings'!$A164="","",XLOOKUP('Results and Rankings'!$A164,'Innovation Project Input'!$A$2:$A$201,'Innovation Project Input'!$N$2:$N$201,NumberOfTeams+1,0,))</f>
        <v/>
      </c>
      <c r="L164" s="69" t="str">
        <f t="array" ref="L164">IF('Results and Rankings'!$A164="","",XLOOKUP('Results and Rankings'!$A164,'Robot Design Input'!$A$2:$A$201,'Robot Design Input'!$N$2:$N$201,NumberOfTeams+1,0,))</f>
        <v/>
      </c>
      <c r="M164" s="69" t="str">
        <f> IF('Results and Rankings'!$A164="","",IF('Results and Rankings'!$J164="",NumberOfTeams+1,'Results and Rankings'!$J164) + IF('Results and Rankings'!$K164="",NumberOfTeams+1,'Results and Rankings'!$K164) + IF('Results and Rankings'!$L164="",NumberOfTeams+1,'Results and Rankings'!$L164) + 'Results and Rankings'!$I164)</f>
        <v/>
      </c>
      <c r="N164" s="70" t="str">
        <f>IF('Results and Rankings'!$A164="","",IF(M164,RANK(M164,M$3:M$202,1)-COUNTIF(M$3:M$202,0),NumberOfTeams+1))</f>
        <v/>
      </c>
      <c r="O164" s="72" t="str">
        <f t="array" ref="O164">XLOOKUP('Results and Rankings'!$A164,'Core Values Input'!$A$2:$A$201,'Core Values Input'!$W$2:$W$201,0,0,)</f>
        <v>#VALUE!</v>
      </c>
      <c r="P164" s="72" t="str">
        <f t="array" ref="P164">XLOOKUP('Results and Rankings'!$A164,'Core Values Input'!$A$2:$A$201,'Core Values Input'!$X$2:$X$201,0,0,)</f>
        <v>#VALUE!</v>
      </c>
      <c r="Q164" s="72" t="str">
        <f t="array" ref="Q164">XLOOKUP('Results and Rankings'!$A164,'Core Values Input'!$A$2:$A$201,'Core Values Input'!$Y$2:$Y$201,0,0,)</f>
        <v>#VALUE!</v>
      </c>
      <c r="R164" s="38"/>
      <c r="S164" s="38"/>
      <c r="T164" s="72"/>
      <c r="U164" s="69" t="str">
        <f t="array" ref="U164">XLOOKUP('Results and Rankings'!$A164,'Core Values Input'!$A$2:$A$201,'Core Values Input'!$U$2:$U$201,0,0,)</f>
        <v>#VALUE!</v>
      </c>
      <c r="V164" s="69" t="str">
        <f t="array" ref="V164">XLOOKUP('Results and Rankings'!$A164,'Innovation Project Input'!$A$2:$A$201,'Innovation Project Input'!$M$2:$M$201,0,0,)</f>
        <v>#VALUE!</v>
      </c>
      <c r="W164" s="69" t="str">
        <f t="array" ref="W164">XLOOKUP('Results and Rankings'!$A164,'Robot Design Input'!$A$2:$A$201,'Robot Design Input'!$M$2:$M$201,0,0,)</f>
        <v>#VALUE!</v>
      </c>
      <c r="X164" s="73">
        <f>IF(ISERR(GEOMEAN('Results and Rankings'!$H164,'Results and Rankings'!$U164,'Results and Rankings'!$V164,'Results and Rankings'!$W164)),0,GEOMEAN('Results and Rankings'!$H164,'Results and Rankings'!$U164,'Results and Rankings'!$V164,'Results and Rankings'!$W164))</f>
        <v>0</v>
      </c>
      <c r="Y164" s="38">
        <f>IF(X164,_xlfn.RANK.EQ(X164,X$3:X$110,0),NumberOfTeams)</f>
        <v>0</v>
      </c>
      <c r="Z164" s="38"/>
    </row>
    <row r="165" ht="21.0" customHeight="1">
      <c r="A165" s="67" t="str">
        <f t="array" ref="A165">XLOOKUP(163,'Team and Program Information'!$B$3:$B$202,'Team and Program Information'!$C$3:$C$202,"ERROR",0)</f>
        <v/>
      </c>
      <c r="B165" s="68" t="str">
        <f t="array" ref="B165">XLOOKUP('Results and Rankings'!$A165,'Team and Program Information'!$C$3:$C$202,'Team and Program Information'!$D$3:$D$202,"",0,)</f>
        <v>#VALUE!</v>
      </c>
      <c r="C165" s="69" t="str">
        <f t="array" ref="C165">IF('Results and Rankings'!$A165="","",XLOOKUP('Results and Rankings'!$A165,'Robot Game Scores'!$B$2:$B$201,'Robot Game Scores'!$D$2:$D$201,0,0,))</f>
        <v/>
      </c>
      <c r="D165" s="69" t="str">
        <f t="array" ref="D165">IF('Results and Rankings'!$A165="","",XLOOKUP('Results and Rankings'!$A165,'Robot Game Scores'!$B$2:$B$201,'Robot Game Scores'!$E$2:$E$201,0,0,))</f>
        <v/>
      </c>
      <c r="E165" s="69" t="str">
        <f t="array" ref="E165">IF('Results and Rankings'!$A165="","",XLOOKUP('Results and Rankings'!$A165,'Robot Game Scores'!$B$2:$B$201,'Robot Game Scores'!$F$2:$F$201,0,0,))</f>
        <v/>
      </c>
      <c r="F165" s="69" t="str">
        <f t="array" ref="F165">IF('Results and Rankings'!$A165="","",XLOOKUP('Results and Rankings'!$A165,'Robot Game Scores'!$B$2:$B$201,'Robot Game Scores'!$G$2:$G$201,0,0,))</f>
        <v/>
      </c>
      <c r="G165" s="69" t="str">
        <f t="array" ref="G165">IF('Results and Rankings'!$A165="","",XLOOKUP('Results and Rankings'!$A165,'Robot Game Scores'!$B$2:$B$201,'Robot Game Scores'!$H$2:$H$201,0,0,))</f>
        <v/>
      </c>
      <c r="H165" s="69" t="str">
        <f>IF('Results and Rankings'!$A165="","",IF(ISNA(LARGE('Results and Rankings'!$C165:$G165,1)+0.0001*LARGE('Results and Rankings'!$C165:$G165,2)+0.0000001*LARGE('Results and Rankings'!$C165:$G165,3)+1E-11*LARGE('Results and Rankings'!$C165:$G165,4)+1E-14*LARGE('Results and Rankings'!$C165:$G165,5)),0,LARGE('Results and Rankings'!$C165:$G165,1)+0.0001*LARGE('Results and Rankings'!$C165:$G165,2)+0.0000001*LARGE('Results and Rankings'!$C165:$G165,3)+1E-11*LARGE('Results and Rankings'!$C165:$G165,4)+1E-14*LARGE('Results and Rankings'!$C165:$G165,5)))</f>
        <v/>
      </c>
      <c r="I165" s="69" t="str">
        <f>IF('Results and Rankings'!$A165="","",_xlfn.RANK.EQ('Results and Rankings'!$H165,'Results and Rankings'!$H$3:$H$202))</f>
        <v/>
      </c>
      <c r="J165" s="69" t="str">
        <f t="array" ref="J165">IF('Results and Rankings'!$A165="","",XLOOKUP('Results and Rankings'!$A165,'Core Values Input'!$A$2:$A$201,'Core Values Input'!$V$2:$V$201,NumberOfTeams+1,0,))</f>
        <v/>
      </c>
      <c r="K165" s="69" t="str">
        <f t="array" ref="K165">IF('Results and Rankings'!$A165="","",XLOOKUP('Results and Rankings'!$A165,'Innovation Project Input'!$A$2:$A$201,'Innovation Project Input'!$N$2:$N$201,NumberOfTeams+1,0,))</f>
        <v/>
      </c>
      <c r="L165" s="69" t="str">
        <f t="array" ref="L165">IF('Results and Rankings'!$A165="","",XLOOKUP('Results and Rankings'!$A165,'Robot Design Input'!$A$2:$A$201,'Robot Design Input'!$N$2:$N$201,NumberOfTeams+1,0,))</f>
        <v/>
      </c>
      <c r="M165" s="69" t="str">
        <f> IF('Results and Rankings'!$A165="","",IF('Results and Rankings'!$J165="",NumberOfTeams+1,'Results and Rankings'!$J165) + IF('Results and Rankings'!$K165="",NumberOfTeams+1,'Results and Rankings'!$K165) + IF('Results and Rankings'!$L165="",NumberOfTeams+1,'Results and Rankings'!$L165) + 'Results and Rankings'!$I165)</f>
        <v/>
      </c>
      <c r="N165" s="70" t="str">
        <f>IF('Results and Rankings'!$A165="","",IF(M165,RANK(M165,M$3:M$202,1)-COUNTIF(M$3:M$202,0),NumberOfTeams+1))</f>
        <v/>
      </c>
      <c r="O165" s="72" t="str">
        <f t="array" ref="O165">XLOOKUP('Results and Rankings'!$A165,'Core Values Input'!$A$2:$A$201,'Core Values Input'!$W$2:$W$201,0,0,)</f>
        <v>#VALUE!</v>
      </c>
      <c r="P165" s="72" t="str">
        <f t="array" ref="P165">XLOOKUP('Results and Rankings'!$A165,'Core Values Input'!$A$2:$A$201,'Core Values Input'!$X$2:$X$201,0,0,)</f>
        <v>#VALUE!</v>
      </c>
      <c r="Q165" s="72" t="str">
        <f t="array" ref="Q165">XLOOKUP('Results and Rankings'!$A165,'Core Values Input'!$A$2:$A$201,'Core Values Input'!$Y$2:$Y$201,0,0,)</f>
        <v>#VALUE!</v>
      </c>
      <c r="R165" s="38"/>
      <c r="S165" s="38"/>
      <c r="T165" s="72"/>
      <c r="U165" s="69" t="str">
        <f t="array" ref="U165">XLOOKUP('Results and Rankings'!$A165,'Core Values Input'!$A$2:$A$201,'Core Values Input'!$U$2:$U$201,0,0,)</f>
        <v>#VALUE!</v>
      </c>
      <c r="V165" s="69" t="str">
        <f t="array" ref="V165">XLOOKUP('Results and Rankings'!$A165,'Innovation Project Input'!$A$2:$A$201,'Innovation Project Input'!$M$2:$M$201,0,0,)</f>
        <v>#VALUE!</v>
      </c>
      <c r="W165" s="69" t="str">
        <f t="array" ref="W165">XLOOKUP('Results and Rankings'!$A165,'Robot Design Input'!$A$2:$A$201,'Robot Design Input'!$M$2:$M$201,0,0,)</f>
        <v>#VALUE!</v>
      </c>
      <c r="X165" s="73">
        <f>IF(ISERR(GEOMEAN('Results and Rankings'!$H165,'Results and Rankings'!$U165,'Results and Rankings'!$V165,'Results and Rankings'!$W165)),0,GEOMEAN('Results and Rankings'!$H165,'Results and Rankings'!$U165,'Results and Rankings'!$V165,'Results and Rankings'!$W165))</f>
        <v>0</v>
      </c>
      <c r="Y165" s="38">
        <f>IF(X165,_xlfn.RANK.EQ(X165,X$3:X$110,0),NumberOfTeams)</f>
        <v>0</v>
      </c>
      <c r="Z165" s="38"/>
    </row>
    <row r="166" ht="21.0" customHeight="1">
      <c r="A166" s="67" t="str">
        <f t="array" ref="A166">XLOOKUP(164,'Team and Program Information'!$B$3:$B$202,'Team and Program Information'!$C$3:$C$202,"ERROR",0)</f>
        <v/>
      </c>
      <c r="B166" s="68" t="str">
        <f t="array" ref="B166">XLOOKUP('Results and Rankings'!$A166,'Team and Program Information'!$C$3:$C$202,'Team and Program Information'!$D$3:$D$202,"",0,)</f>
        <v>#VALUE!</v>
      </c>
      <c r="C166" s="69" t="str">
        <f t="array" ref="C166">IF('Results and Rankings'!$A166="","",XLOOKUP('Results and Rankings'!$A166,'Robot Game Scores'!$B$2:$B$201,'Robot Game Scores'!$D$2:$D$201,0,0,))</f>
        <v/>
      </c>
      <c r="D166" s="69" t="str">
        <f t="array" ref="D166">IF('Results and Rankings'!$A166="","",XLOOKUP('Results and Rankings'!$A166,'Robot Game Scores'!$B$2:$B$201,'Robot Game Scores'!$E$2:$E$201,0,0,))</f>
        <v/>
      </c>
      <c r="E166" s="69" t="str">
        <f t="array" ref="E166">IF('Results and Rankings'!$A166="","",XLOOKUP('Results and Rankings'!$A166,'Robot Game Scores'!$B$2:$B$201,'Robot Game Scores'!$F$2:$F$201,0,0,))</f>
        <v/>
      </c>
      <c r="F166" s="69" t="str">
        <f t="array" ref="F166">IF('Results and Rankings'!$A166="","",XLOOKUP('Results and Rankings'!$A166,'Robot Game Scores'!$B$2:$B$201,'Robot Game Scores'!$G$2:$G$201,0,0,))</f>
        <v/>
      </c>
      <c r="G166" s="69" t="str">
        <f t="array" ref="G166">IF('Results and Rankings'!$A166="","",XLOOKUP('Results and Rankings'!$A166,'Robot Game Scores'!$B$2:$B$201,'Robot Game Scores'!$H$2:$H$201,0,0,))</f>
        <v/>
      </c>
      <c r="H166" s="69" t="str">
        <f>IF('Results and Rankings'!$A166="","",IF(ISNA(LARGE('Results and Rankings'!$C166:$G166,1)+0.0001*LARGE('Results and Rankings'!$C166:$G166,2)+0.0000001*LARGE('Results and Rankings'!$C166:$G166,3)+1E-11*LARGE('Results and Rankings'!$C166:$G166,4)+1E-14*LARGE('Results and Rankings'!$C166:$G166,5)),0,LARGE('Results and Rankings'!$C166:$G166,1)+0.0001*LARGE('Results and Rankings'!$C166:$G166,2)+0.0000001*LARGE('Results and Rankings'!$C166:$G166,3)+1E-11*LARGE('Results and Rankings'!$C166:$G166,4)+1E-14*LARGE('Results and Rankings'!$C166:$G166,5)))</f>
        <v/>
      </c>
      <c r="I166" s="69" t="str">
        <f>IF('Results and Rankings'!$A166="","",_xlfn.RANK.EQ('Results and Rankings'!$H166,'Results and Rankings'!$H$3:$H$202))</f>
        <v/>
      </c>
      <c r="J166" s="69" t="str">
        <f t="array" ref="J166">IF('Results and Rankings'!$A166="","",XLOOKUP('Results and Rankings'!$A166,'Core Values Input'!$A$2:$A$201,'Core Values Input'!$V$2:$V$201,NumberOfTeams+1,0,))</f>
        <v/>
      </c>
      <c r="K166" s="69" t="str">
        <f t="array" ref="K166">IF('Results and Rankings'!$A166="","",XLOOKUP('Results and Rankings'!$A166,'Innovation Project Input'!$A$2:$A$201,'Innovation Project Input'!$N$2:$N$201,NumberOfTeams+1,0,))</f>
        <v/>
      </c>
      <c r="L166" s="69" t="str">
        <f t="array" ref="L166">IF('Results and Rankings'!$A166="","",XLOOKUP('Results and Rankings'!$A166,'Robot Design Input'!$A$2:$A$201,'Robot Design Input'!$N$2:$N$201,NumberOfTeams+1,0,))</f>
        <v/>
      </c>
      <c r="M166" s="69" t="str">
        <f> IF('Results and Rankings'!$A166="","",IF('Results and Rankings'!$J166="",NumberOfTeams+1,'Results and Rankings'!$J166) + IF('Results and Rankings'!$K166="",NumberOfTeams+1,'Results and Rankings'!$K166) + IF('Results and Rankings'!$L166="",NumberOfTeams+1,'Results and Rankings'!$L166) + 'Results and Rankings'!$I166)</f>
        <v/>
      </c>
      <c r="N166" s="70" t="str">
        <f>IF('Results and Rankings'!$A166="","",IF(M166,RANK(M166,M$3:M$202,1)-COUNTIF(M$3:M$202,0),NumberOfTeams+1))</f>
        <v/>
      </c>
      <c r="O166" s="72" t="str">
        <f t="array" ref="O166">XLOOKUP('Results and Rankings'!$A166,'Core Values Input'!$A$2:$A$201,'Core Values Input'!$W$2:$W$201,0,0,)</f>
        <v>#VALUE!</v>
      </c>
      <c r="P166" s="72" t="str">
        <f t="array" ref="P166">XLOOKUP('Results and Rankings'!$A166,'Core Values Input'!$A$2:$A$201,'Core Values Input'!$X$2:$X$201,0,0,)</f>
        <v>#VALUE!</v>
      </c>
      <c r="Q166" s="72" t="str">
        <f t="array" ref="Q166">XLOOKUP('Results and Rankings'!$A166,'Core Values Input'!$A$2:$A$201,'Core Values Input'!$Y$2:$Y$201,0,0,)</f>
        <v>#VALUE!</v>
      </c>
      <c r="R166" s="38"/>
      <c r="S166" s="38"/>
      <c r="T166" s="72"/>
      <c r="U166" s="69" t="str">
        <f t="array" ref="U166">XLOOKUP('Results and Rankings'!$A166,'Core Values Input'!$A$2:$A$201,'Core Values Input'!$U$2:$U$201,0,0,)</f>
        <v>#VALUE!</v>
      </c>
      <c r="V166" s="69" t="str">
        <f t="array" ref="V166">XLOOKUP('Results and Rankings'!$A166,'Innovation Project Input'!$A$2:$A$201,'Innovation Project Input'!$M$2:$M$201,0,0,)</f>
        <v>#VALUE!</v>
      </c>
      <c r="W166" s="69" t="str">
        <f t="array" ref="W166">XLOOKUP('Results and Rankings'!$A166,'Robot Design Input'!$A$2:$A$201,'Robot Design Input'!$M$2:$M$201,0,0,)</f>
        <v>#VALUE!</v>
      </c>
      <c r="X166" s="73">
        <f>IF(ISERR(GEOMEAN('Results and Rankings'!$H166,'Results and Rankings'!$U166,'Results and Rankings'!$V166,'Results and Rankings'!$W166)),0,GEOMEAN('Results and Rankings'!$H166,'Results and Rankings'!$U166,'Results and Rankings'!$V166,'Results and Rankings'!$W166))</f>
        <v>0</v>
      </c>
      <c r="Y166" s="38">
        <f>IF(X166,_xlfn.RANK.EQ(X166,X$3:X$110,0),NumberOfTeams)</f>
        <v>0</v>
      </c>
      <c r="Z166" s="38"/>
    </row>
    <row r="167" ht="21.0" customHeight="1">
      <c r="A167" s="67" t="str">
        <f t="array" ref="A167">XLOOKUP(165,'Team and Program Information'!$B$3:$B$202,'Team and Program Information'!$C$3:$C$202,"ERROR",0)</f>
        <v/>
      </c>
      <c r="B167" s="68" t="str">
        <f t="array" ref="B167">XLOOKUP('Results and Rankings'!$A167,'Team and Program Information'!$C$3:$C$202,'Team and Program Information'!$D$3:$D$202,"",0,)</f>
        <v>#VALUE!</v>
      </c>
      <c r="C167" s="69" t="str">
        <f t="array" ref="C167">IF('Results and Rankings'!$A167="","",XLOOKUP('Results and Rankings'!$A167,'Robot Game Scores'!$B$2:$B$201,'Robot Game Scores'!$D$2:$D$201,0,0,))</f>
        <v/>
      </c>
      <c r="D167" s="69" t="str">
        <f t="array" ref="D167">IF('Results and Rankings'!$A167="","",XLOOKUP('Results and Rankings'!$A167,'Robot Game Scores'!$B$2:$B$201,'Robot Game Scores'!$E$2:$E$201,0,0,))</f>
        <v/>
      </c>
      <c r="E167" s="69" t="str">
        <f t="array" ref="E167">IF('Results and Rankings'!$A167="","",XLOOKUP('Results and Rankings'!$A167,'Robot Game Scores'!$B$2:$B$201,'Robot Game Scores'!$F$2:$F$201,0,0,))</f>
        <v/>
      </c>
      <c r="F167" s="69" t="str">
        <f t="array" ref="F167">IF('Results and Rankings'!$A167="","",XLOOKUP('Results and Rankings'!$A167,'Robot Game Scores'!$B$2:$B$201,'Robot Game Scores'!$G$2:$G$201,0,0,))</f>
        <v/>
      </c>
      <c r="G167" s="69" t="str">
        <f t="array" ref="G167">IF('Results and Rankings'!$A167="","",XLOOKUP('Results and Rankings'!$A167,'Robot Game Scores'!$B$2:$B$201,'Robot Game Scores'!$H$2:$H$201,0,0,))</f>
        <v/>
      </c>
      <c r="H167" s="69" t="str">
        <f>IF('Results and Rankings'!$A167="","",IF(ISNA(LARGE('Results and Rankings'!$C167:$G167,1)+0.0001*LARGE('Results and Rankings'!$C167:$G167,2)+0.0000001*LARGE('Results and Rankings'!$C167:$G167,3)+1E-11*LARGE('Results and Rankings'!$C167:$G167,4)+1E-14*LARGE('Results and Rankings'!$C167:$G167,5)),0,LARGE('Results and Rankings'!$C167:$G167,1)+0.0001*LARGE('Results and Rankings'!$C167:$G167,2)+0.0000001*LARGE('Results and Rankings'!$C167:$G167,3)+1E-11*LARGE('Results and Rankings'!$C167:$G167,4)+1E-14*LARGE('Results and Rankings'!$C167:$G167,5)))</f>
        <v/>
      </c>
      <c r="I167" s="69" t="str">
        <f>IF('Results and Rankings'!$A167="","",_xlfn.RANK.EQ('Results and Rankings'!$H167,'Results and Rankings'!$H$3:$H$202))</f>
        <v/>
      </c>
      <c r="J167" s="69" t="str">
        <f t="array" ref="J167">IF('Results and Rankings'!$A167="","",XLOOKUP('Results and Rankings'!$A167,'Core Values Input'!$A$2:$A$201,'Core Values Input'!$V$2:$V$201,NumberOfTeams+1,0,))</f>
        <v/>
      </c>
      <c r="K167" s="69" t="str">
        <f t="array" ref="K167">IF('Results and Rankings'!$A167="","",XLOOKUP('Results and Rankings'!$A167,'Innovation Project Input'!$A$2:$A$201,'Innovation Project Input'!$N$2:$N$201,NumberOfTeams+1,0,))</f>
        <v/>
      </c>
      <c r="L167" s="69" t="str">
        <f t="array" ref="L167">IF('Results and Rankings'!$A167="","",XLOOKUP('Results and Rankings'!$A167,'Robot Design Input'!$A$2:$A$201,'Robot Design Input'!$N$2:$N$201,NumberOfTeams+1,0,))</f>
        <v/>
      </c>
      <c r="M167" s="69" t="str">
        <f> IF('Results and Rankings'!$A167="","",IF('Results and Rankings'!$J167="",NumberOfTeams+1,'Results and Rankings'!$J167) + IF('Results and Rankings'!$K167="",NumberOfTeams+1,'Results and Rankings'!$K167) + IF('Results and Rankings'!$L167="",NumberOfTeams+1,'Results and Rankings'!$L167) + 'Results and Rankings'!$I167)</f>
        <v/>
      </c>
      <c r="N167" s="70" t="str">
        <f>IF('Results and Rankings'!$A167="","",IF(M167,RANK(M167,M$3:M$202,1)-COUNTIF(M$3:M$202,0),NumberOfTeams+1))</f>
        <v/>
      </c>
      <c r="O167" s="72" t="str">
        <f t="array" ref="O167">XLOOKUP('Results and Rankings'!$A167,'Core Values Input'!$A$2:$A$201,'Core Values Input'!$W$2:$W$201,0,0,)</f>
        <v>#VALUE!</v>
      </c>
      <c r="P167" s="72" t="str">
        <f t="array" ref="P167">XLOOKUP('Results and Rankings'!$A167,'Core Values Input'!$A$2:$A$201,'Core Values Input'!$X$2:$X$201,0,0,)</f>
        <v>#VALUE!</v>
      </c>
      <c r="Q167" s="72" t="str">
        <f t="array" ref="Q167">XLOOKUP('Results and Rankings'!$A167,'Core Values Input'!$A$2:$A$201,'Core Values Input'!$Y$2:$Y$201,0,0,)</f>
        <v>#VALUE!</v>
      </c>
      <c r="R167" s="38"/>
      <c r="S167" s="38"/>
      <c r="T167" s="72"/>
      <c r="U167" s="69" t="str">
        <f t="array" ref="U167">XLOOKUP('Results and Rankings'!$A167,'Core Values Input'!$A$2:$A$201,'Core Values Input'!$U$2:$U$201,0,0,)</f>
        <v>#VALUE!</v>
      </c>
      <c r="V167" s="69" t="str">
        <f t="array" ref="V167">XLOOKUP('Results and Rankings'!$A167,'Innovation Project Input'!$A$2:$A$201,'Innovation Project Input'!$M$2:$M$201,0,0,)</f>
        <v>#VALUE!</v>
      </c>
      <c r="W167" s="69" t="str">
        <f t="array" ref="W167">XLOOKUP('Results and Rankings'!$A167,'Robot Design Input'!$A$2:$A$201,'Robot Design Input'!$M$2:$M$201,0,0,)</f>
        <v>#VALUE!</v>
      </c>
      <c r="X167" s="73">
        <f>IF(ISERR(GEOMEAN('Results and Rankings'!$H167,'Results and Rankings'!$U167,'Results and Rankings'!$V167,'Results and Rankings'!$W167)),0,GEOMEAN('Results and Rankings'!$H167,'Results and Rankings'!$U167,'Results and Rankings'!$V167,'Results and Rankings'!$W167))</f>
        <v>0</v>
      </c>
      <c r="Y167" s="38">
        <f>IF(X167,_xlfn.RANK.EQ(X167,X$3:X$110,0),NumberOfTeams)</f>
        <v>0</v>
      </c>
      <c r="Z167" s="38"/>
    </row>
    <row r="168" ht="21.0" customHeight="1">
      <c r="A168" s="67" t="str">
        <f t="array" ref="A168">XLOOKUP(166,'Team and Program Information'!$B$3:$B$202,'Team and Program Information'!$C$3:$C$202,"ERROR",0)</f>
        <v/>
      </c>
      <c r="B168" s="68" t="str">
        <f t="array" ref="B168">XLOOKUP('Results and Rankings'!$A168,'Team and Program Information'!$C$3:$C$202,'Team and Program Information'!$D$3:$D$202,"",0,)</f>
        <v>#VALUE!</v>
      </c>
      <c r="C168" s="69" t="str">
        <f t="array" ref="C168">IF('Results and Rankings'!$A168="","",XLOOKUP('Results and Rankings'!$A168,'Robot Game Scores'!$B$2:$B$201,'Robot Game Scores'!$D$2:$D$201,0,0,))</f>
        <v/>
      </c>
      <c r="D168" s="69" t="str">
        <f t="array" ref="D168">IF('Results and Rankings'!$A168="","",XLOOKUP('Results and Rankings'!$A168,'Robot Game Scores'!$B$2:$B$201,'Robot Game Scores'!$E$2:$E$201,0,0,))</f>
        <v/>
      </c>
      <c r="E168" s="69" t="str">
        <f t="array" ref="E168">IF('Results and Rankings'!$A168="","",XLOOKUP('Results and Rankings'!$A168,'Robot Game Scores'!$B$2:$B$201,'Robot Game Scores'!$F$2:$F$201,0,0,))</f>
        <v/>
      </c>
      <c r="F168" s="69" t="str">
        <f t="array" ref="F168">IF('Results and Rankings'!$A168="","",XLOOKUP('Results and Rankings'!$A168,'Robot Game Scores'!$B$2:$B$201,'Robot Game Scores'!$G$2:$G$201,0,0,))</f>
        <v/>
      </c>
      <c r="G168" s="69" t="str">
        <f t="array" ref="G168">IF('Results and Rankings'!$A168="","",XLOOKUP('Results and Rankings'!$A168,'Robot Game Scores'!$B$2:$B$201,'Robot Game Scores'!$H$2:$H$201,0,0,))</f>
        <v/>
      </c>
      <c r="H168" s="69" t="str">
        <f>IF('Results and Rankings'!$A168="","",IF(ISNA(LARGE('Results and Rankings'!$C168:$G168,1)+0.0001*LARGE('Results and Rankings'!$C168:$G168,2)+0.0000001*LARGE('Results and Rankings'!$C168:$G168,3)+1E-11*LARGE('Results and Rankings'!$C168:$G168,4)+1E-14*LARGE('Results and Rankings'!$C168:$G168,5)),0,LARGE('Results and Rankings'!$C168:$G168,1)+0.0001*LARGE('Results and Rankings'!$C168:$G168,2)+0.0000001*LARGE('Results and Rankings'!$C168:$G168,3)+1E-11*LARGE('Results and Rankings'!$C168:$G168,4)+1E-14*LARGE('Results and Rankings'!$C168:$G168,5)))</f>
        <v/>
      </c>
      <c r="I168" s="69" t="str">
        <f>IF('Results and Rankings'!$A168="","",_xlfn.RANK.EQ('Results and Rankings'!$H168,'Results and Rankings'!$H$3:$H$202))</f>
        <v/>
      </c>
      <c r="J168" s="69" t="str">
        <f t="array" ref="J168">IF('Results and Rankings'!$A168="","",XLOOKUP('Results and Rankings'!$A168,'Core Values Input'!$A$2:$A$201,'Core Values Input'!$V$2:$V$201,NumberOfTeams+1,0,))</f>
        <v/>
      </c>
      <c r="K168" s="69" t="str">
        <f t="array" ref="K168">IF('Results and Rankings'!$A168="","",XLOOKUP('Results and Rankings'!$A168,'Innovation Project Input'!$A$2:$A$201,'Innovation Project Input'!$N$2:$N$201,NumberOfTeams+1,0,))</f>
        <v/>
      </c>
      <c r="L168" s="69" t="str">
        <f t="array" ref="L168">IF('Results and Rankings'!$A168="","",XLOOKUP('Results and Rankings'!$A168,'Robot Design Input'!$A$2:$A$201,'Robot Design Input'!$N$2:$N$201,NumberOfTeams+1,0,))</f>
        <v/>
      </c>
      <c r="M168" s="69" t="str">
        <f> IF('Results and Rankings'!$A168="","",IF('Results and Rankings'!$J168="",NumberOfTeams+1,'Results and Rankings'!$J168) + IF('Results and Rankings'!$K168="",NumberOfTeams+1,'Results and Rankings'!$K168) + IF('Results and Rankings'!$L168="",NumberOfTeams+1,'Results and Rankings'!$L168) + 'Results and Rankings'!$I168)</f>
        <v/>
      </c>
      <c r="N168" s="70" t="str">
        <f>IF('Results and Rankings'!$A168="","",IF(M168,RANK(M168,M$3:M$202,1)-COUNTIF(M$3:M$202,0),NumberOfTeams+1))</f>
        <v/>
      </c>
      <c r="O168" s="72" t="str">
        <f t="array" ref="O168">XLOOKUP('Results and Rankings'!$A168,'Core Values Input'!$A$2:$A$201,'Core Values Input'!$W$2:$W$201,0,0,)</f>
        <v>#VALUE!</v>
      </c>
      <c r="P168" s="72" t="str">
        <f t="array" ref="P168">XLOOKUP('Results and Rankings'!$A168,'Core Values Input'!$A$2:$A$201,'Core Values Input'!$X$2:$X$201,0,0,)</f>
        <v>#VALUE!</v>
      </c>
      <c r="Q168" s="72" t="str">
        <f t="array" ref="Q168">XLOOKUP('Results and Rankings'!$A168,'Core Values Input'!$A$2:$A$201,'Core Values Input'!$Y$2:$Y$201,0,0,)</f>
        <v>#VALUE!</v>
      </c>
      <c r="R168" s="38"/>
      <c r="S168" s="38"/>
      <c r="T168" s="72"/>
      <c r="U168" s="69" t="str">
        <f t="array" ref="U168">XLOOKUP('Results and Rankings'!$A168,'Core Values Input'!$A$2:$A$201,'Core Values Input'!$U$2:$U$201,0,0,)</f>
        <v>#VALUE!</v>
      </c>
      <c r="V168" s="69" t="str">
        <f t="array" ref="V168">XLOOKUP('Results and Rankings'!$A168,'Innovation Project Input'!$A$2:$A$201,'Innovation Project Input'!$M$2:$M$201,0,0,)</f>
        <v>#VALUE!</v>
      </c>
      <c r="W168" s="69" t="str">
        <f t="array" ref="W168">XLOOKUP('Results and Rankings'!$A168,'Robot Design Input'!$A$2:$A$201,'Robot Design Input'!$M$2:$M$201,0,0,)</f>
        <v>#VALUE!</v>
      </c>
      <c r="X168" s="73">
        <f>IF(ISERR(GEOMEAN('Results and Rankings'!$H168,'Results and Rankings'!$U168,'Results and Rankings'!$V168,'Results and Rankings'!$W168)),0,GEOMEAN('Results and Rankings'!$H168,'Results and Rankings'!$U168,'Results and Rankings'!$V168,'Results and Rankings'!$W168))</f>
        <v>0</v>
      </c>
      <c r="Y168" s="38">
        <f>IF(X168,_xlfn.RANK.EQ(X168,X$3:X$110,0),NumberOfTeams)</f>
        <v>0</v>
      </c>
      <c r="Z168" s="38"/>
    </row>
    <row r="169" ht="21.0" customHeight="1">
      <c r="A169" s="67" t="str">
        <f t="array" ref="A169">XLOOKUP(167,'Team and Program Information'!$B$3:$B$202,'Team and Program Information'!$C$3:$C$202,"ERROR",0)</f>
        <v/>
      </c>
      <c r="B169" s="68" t="str">
        <f t="array" ref="B169">XLOOKUP('Results and Rankings'!$A169,'Team and Program Information'!$C$3:$C$202,'Team and Program Information'!$D$3:$D$202,"",0,)</f>
        <v>#VALUE!</v>
      </c>
      <c r="C169" s="69" t="str">
        <f t="array" ref="C169">IF('Results and Rankings'!$A169="","",XLOOKUP('Results and Rankings'!$A169,'Robot Game Scores'!$B$2:$B$201,'Robot Game Scores'!$D$2:$D$201,0,0,))</f>
        <v/>
      </c>
      <c r="D169" s="69" t="str">
        <f t="array" ref="D169">IF('Results and Rankings'!$A169="","",XLOOKUP('Results and Rankings'!$A169,'Robot Game Scores'!$B$2:$B$201,'Robot Game Scores'!$E$2:$E$201,0,0,))</f>
        <v/>
      </c>
      <c r="E169" s="69" t="str">
        <f t="array" ref="E169">IF('Results and Rankings'!$A169="","",XLOOKUP('Results and Rankings'!$A169,'Robot Game Scores'!$B$2:$B$201,'Robot Game Scores'!$F$2:$F$201,0,0,))</f>
        <v/>
      </c>
      <c r="F169" s="69" t="str">
        <f t="array" ref="F169">IF('Results and Rankings'!$A169="","",XLOOKUP('Results and Rankings'!$A169,'Robot Game Scores'!$B$2:$B$201,'Robot Game Scores'!$G$2:$G$201,0,0,))</f>
        <v/>
      </c>
      <c r="G169" s="69" t="str">
        <f t="array" ref="G169">IF('Results and Rankings'!$A169="","",XLOOKUP('Results and Rankings'!$A169,'Robot Game Scores'!$B$2:$B$201,'Robot Game Scores'!$H$2:$H$201,0,0,))</f>
        <v/>
      </c>
      <c r="H169" s="69" t="str">
        <f>IF('Results and Rankings'!$A169="","",IF(ISNA(LARGE('Results and Rankings'!$C169:$G169,1)+0.0001*LARGE('Results and Rankings'!$C169:$G169,2)+0.0000001*LARGE('Results and Rankings'!$C169:$G169,3)+1E-11*LARGE('Results and Rankings'!$C169:$G169,4)+1E-14*LARGE('Results and Rankings'!$C169:$G169,5)),0,LARGE('Results and Rankings'!$C169:$G169,1)+0.0001*LARGE('Results and Rankings'!$C169:$G169,2)+0.0000001*LARGE('Results and Rankings'!$C169:$G169,3)+1E-11*LARGE('Results and Rankings'!$C169:$G169,4)+1E-14*LARGE('Results and Rankings'!$C169:$G169,5)))</f>
        <v/>
      </c>
      <c r="I169" s="69" t="str">
        <f>IF('Results and Rankings'!$A169="","",_xlfn.RANK.EQ('Results and Rankings'!$H169,'Results and Rankings'!$H$3:$H$202))</f>
        <v/>
      </c>
      <c r="J169" s="69" t="str">
        <f t="array" ref="J169">IF('Results and Rankings'!$A169="","",XLOOKUP('Results and Rankings'!$A169,'Core Values Input'!$A$2:$A$201,'Core Values Input'!$V$2:$V$201,NumberOfTeams+1,0,))</f>
        <v/>
      </c>
      <c r="K169" s="69" t="str">
        <f t="array" ref="K169">IF('Results and Rankings'!$A169="","",XLOOKUP('Results and Rankings'!$A169,'Innovation Project Input'!$A$2:$A$201,'Innovation Project Input'!$N$2:$N$201,NumberOfTeams+1,0,))</f>
        <v/>
      </c>
      <c r="L169" s="69" t="str">
        <f t="array" ref="L169">IF('Results and Rankings'!$A169="","",XLOOKUP('Results and Rankings'!$A169,'Robot Design Input'!$A$2:$A$201,'Robot Design Input'!$N$2:$N$201,NumberOfTeams+1,0,))</f>
        <v/>
      </c>
      <c r="M169" s="69" t="str">
        <f> IF('Results and Rankings'!$A169="","",IF('Results and Rankings'!$J169="",NumberOfTeams+1,'Results and Rankings'!$J169) + IF('Results and Rankings'!$K169="",NumberOfTeams+1,'Results and Rankings'!$K169) + IF('Results and Rankings'!$L169="",NumberOfTeams+1,'Results and Rankings'!$L169) + 'Results and Rankings'!$I169)</f>
        <v/>
      </c>
      <c r="N169" s="70" t="str">
        <f>IF('Results and Rankings'!$A169="","",IF(M169,RANK(M169,M$3:M$202,1)-COUNTIF(M$3:M$202,0),NumberOfTeams+1))</f>
        <v/>
      </c>
      <c r="O169" s="72" t="str">
        <f t="array" ref="O169">XLOOKUP('Results and Rankings'!$A169,'Core Values Input'!$A$2:$A$201,'Core Values Input'!$W$2:$W$201,0,0,)</f>
        <v>#VALUE!</v>
      </c>
      <c r="P169" s="72" t="str">
        <f t="array" ref="P169">XLOOKUP('Results and Rankings'!$A169,'Core Values Input'!$A$2:$A$201,'Core Values Input'!$X$2:$X$201,0,0,)</f>
        <v>#VALUE!</v>
      </c>
      <c r="Q169" s="72" t="str">
        <f t="array" ref="Q169">XLOOKUP('Results and Rankings'!$A169,'Core Values Input'!$A$2:$A$201,'Core Values Input'!$Y$2:$Y$201,0,0,)</f>
        <v>#VALUE!</v>
      </c>
      <c r="R169" s="38"/>
      <c r="S169" s="38"/>
      <c r="T169" s="72"/>
      <c r="U169" s="69" t="str">
        <f t="array" ref="U169">XLOOKUP('Results and Rankings'!$A169,'Core Values Input'!$A$2:$A$201,'Core Values Input'!$U$2:$U$201,0,0,)</f>
        <v>#VALUE!</v>
      </c>
      <c r="V169" s="69" t="str">
        <f t="array" ref="V169">XLOOKUP('Results and Rankings'!$A169,'Innovation Project Input'!$A$2:$A$201,'Innovation Project Input'!$M$2:$M$201,0,0,)</f>
        <v>#VALUE!</v>
      </c>
      <c r="W169" s="69" t="str">
        <f t="array" ref="W169">XLOOKUP('Results and Rankings'!$A169,'Robot Design Input'!$A$2:$A$201,'Robot Design Input'!$M$2:$M$201,0,0,)</f>
        <v>#VALUE!</v>
      </c>
      <c r="X169" s="73">
        <f>IF(ISERR(GEOMEAN('Results and Rankings'!$H169,'Results and Rankings'!$U169,'Results and Rankings'!$V169,'Results and Rankings'!$W169)),0,GEOMEAN('Results and Rankings'!$H169,'Results and Rankings'!$U169,'Results and Rankings'!$V169,'Results and Rankings'!$W169))</f>
        <v>0</v>
      </c>
      <c r="Y169" s="38">
        <f>IF(X169,_xlfn.RANK.EQ(X169,X$3:X$110,0),NumberOfTeams)</f>
        <v>0</v>
      </c>
      <c r="Z169" s="38"/>
    </row>
    <row r="170" ht="21.0" customHeight="1">
      <c r="A170" s="67" t="str">
        <f t="array" ref="A170">XLOOKUP(168,'Team and Program Information'!$B$3:$B$202,'Team and Program Information'!$C$3:$C$202,"ERROR",0)</f>
        <v/>
      </c>
      <c r="B170" s="68" t="str">
        <f t="array" ref="B170">XLOOKUP('Results and Rankings'!$A170,'Team and Program Information'!$C$3:$C$202,'Team and Program Information'!$D$3:$D$202,"",0,)</f>
        <v>#VALUE!</v>
      </c>
      <c r="C170" s="69" t="str">
        <f t="array" ref="C170">IF('Results and Rankings'!$A170="","",XLOOKUP('Results and Rankings'!$A170,'Robot Game Scores'!$B$2:$B$201,'Robot Game Scores'!$D$2:$D$201,0,0,))</f>
        <v/>
      </c>
      <c r="D170" s="69" t="str">
        <f t="array" ref="D170">IF('Results and Rankings'!$A170="","",XLOOKUP('Results and Rankings'!$A170,'Robot Game Scores'!$B$2:$B$201,'Robot Game Scores'!$E$2:$E$201,0,0,))</f>
        <v/>
      </c>
      <c r="E170" s="69" t="str">
        <f t="array" ref="E170">IF('Results and Rankings'!$A170="","",XLOOKUP('Results and Rankings'!$A170,'Robot Game Scores'!$B$2:$B$201,'Robot Game Scores'!$F$2:$F$201,0,0,))</f>
        <v/>
      </c>
      <c r="F170" s="69" t="str">
        <f t="array" ref="F170">IF('Results and Rankings'!$A170="","",XLOOKUP('Results and Rankings'!$A170,'Robot Game Scores'!$B$2:$B$201,'Robot Game Scores'!$G$2:$G$201,0,0,))</f>
        <v/>
      </c>
      <c r="G170" s="69" t="str">
        <f t="array" ref="G170">IF('Results and Rankings'!$A170="","",XLOOKUP('Results and Rankings'!$A170,'Robot Game Scores'!$B$2:$B$201,'Robot Game Scores'!$H$2:$H$201,0,0,))</f>
        <v/>
      </c>
      <c r="H170" s="69" t="str">
        <f>IF('Results and Rankings'!$A170="","",IF(ISNA(LARGE('Results and Rankings'!$C170:$G170,1)+0.0001*LARGE('Results and Rankings'!$C170:$G170,2)+0.0000001*LARGE('Results and Rankings'!$C170:$G170,3)+1E-11*LARGE('Results and Rankings'!$C170:$G170,4)+1E-14*LARGE('Results and Rankings'!$C170:$G170,5)),0,LARGE('Results and Rankings'!$C170:$G170,1)+0.0001*LARGE('Results and Rankings'!$C170:$G170,2)+0.0000001*LARGE('Results and Rankings'!$C170:$G170,3)+1E-11*LARGE('Results and Rankings'!$C170:$G170,4)+1E-14*LARGE('Results and Rankings'!$C170:$G170,5)))</f>
        <v/>
      </c>
      <c r="I170" s="69" t="str">
        <f>IF('Results and Rankings'!$A170="","",_xlfn.RANK.EQ('Results and Rankings'!$H170,'Results and Rankings'!$H$3:$H$202))</f>
        <v/>
      </c>
      <c r="J170" s="69" t="str">
        <f t="array" ref="J170">IF('Results and Rankings'!$A170="","",XLOOKUP('Results and Rankings'!$A170,'Core Values Input'!$A$2:$A$201,'Core Values Input'!$V$2:$V$201,NumberOfTeams+1,0,))</f>
        <v/>
      </c>
      <c r="K170" s="69" t="str">
        <f t="array" ref="K170">IF('Results and Rankings'!$A170="","",XLOOKUP('Results and Rankings'!$A170,'Innovation Project Input'!$A$2:$A$201,'Innovation Project Input'!$N$2:$N$201,NumberOfTeams+1,0,))</f>
        <v/>
      </c>
      <c r="L170" s="69" t="str">
        <f t="array" ref="L170">IF('Results and Rankings'!$A170="","",XLOOKUP('Results and Rankings'!$A170,'Robot Design Input'!$A$2:$A$201,'Robot Design Input'!$N$2:$N$201,NumberOfTeams+1,0,))</f>
        <v/>
      </c>
      <c r="M170" s="69" t="str">
        <f> IF('Results and Rankings'!$A170="","",IF('Results and Rankings'!$J170="",NumberOfTeams+1,'Results and Rankings'!$J170) + IF('Results and Rankings'!$K170="",NumberOfTeams+1,'Results and Rankings'!$K170) + IF('Results and Rankings'!$L170="",NumberOfTeams+1,'Results and Rankings'!$L170) + 'Results and Rankings'!$I170)</f>
        <v/>
      </c>
      <c r="N170" s="70" t="str">
        <f>IF('Results and Rankings'!$A170="","",IF(M170,RANK(M170,M$3:M$202,1)-COUNTIF(M$3:M$202,0),NumberOfTeams+1))</f>
        <v/>
      </c>
      <c r="O170" s="72" t="str">
        <f t="array" ref="O170">XLOOKUP('Results and Rankings'!$A170,'Core Values Input'!$A$2:$A$201,'Core Values Input'!$W$2:$W$201,0,0,)</f>
        <v>#VALUE!</v>
      </c>
      <c r="P170" s="72" t="str">
        <f t="array" ref="P170">XLOOKUP('Results and Rankings'!$A170,'Core Values Input'!$A$2:$A$201,'Core Values Input'!$X$2:$X$201,0,0,)</f>
        <v>#VALUE!</v>
      </c>
      <c r="Q170" s="72" t="str">
        <f t="array" ref="Q170">XLOOKUP('Results and Rankings'!$A170,'Core Values Input'!$A$2:$A$201,'Core Values Input'!$Y$2:$Y$201,0,0,)</f>
        <v>#VALUE!</v>
      </c>
      <c r="R170" s="38"/>
      <c r="S170" s="38"/>
      <c r="T170" s="72"/>
      <c r="U170" s="69" t="str">
        <f t="array" ref="U170">XLOOKUP('Results and Rankings'!$A170,'Core Values Input'!$A$2:$A$201,'Core Values Input'!$U$2:$U$201,0,0,)</f>
        <v>#VALUE!</v>
      </c>
      <c r="V170" s="69" t="str">
        <f t="array" ref="V170">XLOOKUP('Results and Rankings'!$A170,'Innovation Project Input'!$A$2:$A$201,'Innovation Project Input'!$M$2:$M$201,0,0,)</f>
        <v>#VALUE!</v>
      </c>
      <c r="W170" s="69" t="str">
        <f t="array" ref="W170">XLOOKUP('Results and Rankings'!$A170,'Robot Design Input'!$A$2:$A$201,'Robot Design Input'!$M$2:$M$201,0,0,)</f>
        <v>#VALUE!</v>
      </c>
      <c r="X170" s="73">
        <f>IF(ISERR(GEOMEAN('Results and Rankings'!$H170,'Results and Rankings'!$U170,'Results and Rankings'!$V170,'Results and Rankings'!$W170)),0,GEOMEAN('Results and Rankings'!$H170,'Results and Rankings'!$U170,'Results and Rankings'!$V170,'Results and Rankings'!$W170))</f>
        <v>0</v>
      </c>
      <c r="Y170" s="38">
        <f>IF(X170,_xlfn.RANK.EQ(X170,X$3:X$110,0),NumberOfTeams)</f>
        <v>0</v>
      </c>
      <c r="Z170" s="38"/>
    </row>
    <row r="171" ht="21.0" customHeight="1">
      <c r="A171" s="67" t="str">
        <f t="array" ref="A171">XLOOKUP(169,'Team and Program Information'!$B$3:$B$202,'Team and Program Information'!$C$3:$C$202,"ERROR",0)</f>
        <v/>
      </c>
      <c r="B171" s="68" t="str">
        <f t="array" ref="B171">XLOOKUP('Results and Rankings'!$A171,'Team and Program Information'!$C$3:$C$202,'Team and Program Information'!$D$3:$D$202,"",0,)</f>
        <v>#VALUE!</v>
      </c>
      <c r="C171" s="69" t="str">
        <f t="array" ref="C171">IF('Results and Rankings'!$A171="","",XLOOKUP('Results and Rankings'!$A171,'Robot Game Scores'!$B$2:$B$201,'Robot Game Scores'!$D$2:$D$201,0,0,))</f>
        <v/>
      </c>
      <c r="D171" s="69" t="str">
        <f t="array" ref="D171">IF('Results and Rankings'!$A171="","",XLOOKUP('Results and Rankings'!$A171,'Robot Game Scores'!$B$2:$B$201,'Robot Game Scores'!$E$2:$E$201,0,0,))</f>
        <v/>
      </c>
      <c r="E171" s="69" t="str">
        <f t="array" ref="E171">IF('Results and Rankings'!$A171="","",XLOOKUP('Results and Rankings'!$A171,'Robot Game Scores'!$B$2:$B$201,'Robot Game Scores'!$F$2:$F$201,0,0,))</f>
        <v/>
      </c>
      <c r="F171" s="69" t="str">
        <f t="array" ref="F171">IF('Results and Rankings'!$A171="","",XLOOKUP('Results and Rankings'!$A171,'Robot Game Scores'!$B$2:$B$201,'Robot Game Scores'!$G$2:$G$201,0,0,))</f>
        <v/>
      </c>
      <c r="G171" s="69" t="str">
        <f t="array" ref="G171">IF('Results and Rankings'!$A171="","",XLOOKUP('Results and Rankings'!$A171,'Robot Game Scores'!$B$2:$B$201,'Robot Game Scores'!$H$2:$H$201,0,0,))</f>
        <v/>
      </c>
      <c r="H171" s="69" t="str">
        <f>IF('Results and Rankings'!$A171="","",IF(ISNA(LARGE('Results and Rankings'!$C171:$G171,1)+0.0001*LARGE('Results and Rankings'!$C171:$G171,2)+0.0000001*LARGE('Results and Rankings'!$C171:$G171,3)+1E-11*LARGE('Results and Rankings'!$C171:$G171,4)+1E-14*LARGE('Results and Rankings'!$C171:$G171,5)),0,LARGE('Results and Rankings'!$C171:$G171,1)+0.0001*LARGE('Results and Rankings'!$C171:$G171,2)+0.0000001*LARGE('Results and Rankings'!$C171:$G171,3)+1E-11*LARGE('Results and Rankings'!$C171:$G171,4)+1E-14*LARGE('Results and Rankings'!$C171:$G171,5)))</f>
        <v/>
      </c>
      <c r="I171" s="69" t="str">
        <f>IF('Results and Rankings'!$A171="","",_xlfn.RANK.EQ('Results and Rankings'!$H171,'Results and Rankings'!$H$3:$H$202))</f>
        <v/>
      </c>
      <c r="J171" s="69" t="str">
        <f t="array" ref="J171">IF('Results and Rankings'!$A171="","",XLOOKUP('Results and Rankings'!$A171,'Core Values Input'!$A$2:$A$201,'Core Values Input'!$V$2:$V$201,NumberOfTeams+1,0,))</f>
        <v/>
      </c>
      <c r="K171" s="69" t="str">
        <f t="array" ref="K171">IF('Results and Rankings'!$A171="","",XLOOKUP('Results and Rankings'!$A171,'Innovation Project Input'!$A$2:$A$201,'Innovation Project Input'!$N$2:$N$201,NumberOfTeams+1,0,))</f>
        <v/>
      </c>
      <c r="L171" s="69" t="str">
        <f t="array" ref="L171">IF('Results and Rankings'!$A171="","",XLOOKUP('Results and Rankings'!$A171,'Robot Design Input'!$A$2:$A$201,'Robot Design Input'!$N$2:$N$201,NumberOfTeams+1,0,))</f>
        <v/>
      </c>
      <c r="M171" s="69" t="str">
        <f> IF('Results and Rankings'!$A171="","",IF('Results and Rankings'!$J171="",NumberOfTeams+1,'Results and Rankings'!$J171) + IF('Results and Rankings'!$K171="",NumberOfTeams+1,'Results and Rankings'!$K171) + IF('Results and Rankings'!$L171="",NumberOfTeams+1,'Results and Rankings'!$L171) + 'Results and Rankings'!$I171)</f>
        <v/>
      </c>
      <c r="N171" s="70" t="str">
        <f>IF('Results and Rankings'!$A171="","",IF(M171,RANK(M171,M$3:M$202,1)-COUNTIF(M$3:M$202,0),NumberOfTeams+1))</f>
        <v/>
      </c>
      <c r="O171" s="72" t="str">
        <f t="array" ref="O171">XLOOKUP('Results and Rankings'!$A171,'Core Values Input'!$A$2:$A$201,'Core Values Input'!$W$2:$W$201,0,0,)</f>
        <v>#VALUE!</v>
      </c>
      <c r="P171" s="72" t="str">
        <f t="array" ref="P171">XLOOKUP('Results and Rankings'!$A171,'Core Values Input'!$A$2:$A$201,'Core Values Input'!$X$2:$X$201,0,0,)</f>
        <v>#VALUE!</v>
      </c>
      <c r="Q171" s="72" t="str">
        <f t="array" ref="Q171">XLOOKUP('Results and Rankings'!$A171,'Core Values Input'!$A$2:$A$201,'Core Values Input'!$Y$2:$Y$201,0,0,)</f>
        <v>#VALUE!</v>
      </c>
      <c r="R171" s="38"/>
      <c r="S171" s="38"/>
      <c r="T171" s="72"/>
      <c r="U171" s="69" t="str">
        <f t="array" ref="U171">XLOOKUP('Results and Rankings'!$A171,'Core Values Input'!$A$2:$A$201,'Core Values Input'!$U$2:$U$201,0,0,)</f>
        <v>#VALUE!</v>
      </c>
      <c r="V171" s="69" t="str">
        <f t="array" ref="V171">XLOOKUP('Results and Rankings'!$A171,'Innovation Project Input'!$A$2:$A$201,'Innovation Project Input'!$M$2:$M$201,0,0,)</f>
        <v>#VALUE!</v>
      </c>
      <c r="W171" s="69" t="str">
        <f t="array" ref="W171">XLOOKUP('Results and Rankings'!$A171,'Robot Design Input'!$A$2:$A$201,'Robot Design Input'!$M$2:$M$201,0,0,)</f>
        <v>#VALUE!</v>
      </c>
      <c r="X171" s="73">
        <f>IF(ISERR(GEOMEAN('Results and Rankings'!$H171,'Results and Rankings'!$U171,'Results and Rankings'!$V171,'Results and Rankings'!$W171)),0,GEOMEAN('Results and Rankings'!$H171,'Results and Rankings'!$U171,'Results and Rankings'!$V171,'Results and Rankings'!$W171))</f>
        <v>0</v>
      </c>
      <c r="Y171" s="38">
        <f>IF(X171,_xlfn.RANK.EQ(X171,X$3:X$110,0),NumberOfTeams)</f>
        <v>0</v>
      </c>
      <c r="Z171" s="38"/>
    </row>
    <row r="172" ht="21.0" customHeight="1">
      <c r="A172" s="67" t="str">
        <f t="array" ref="A172">XLOOKUP(170,'Team and Program Information'!$B$3:$B$202,'Team and Program Information'!$C$3:$C$202,"ERROR",0)</f>
        <v/>
      </c>
      <c r="B172" s="68" t="str">
        <f t="array" ref="B172">XLOOKUP('Results and Rankings'!$A172,'Team and Program Information'!$C$3:$C$202,'Team and Program Information'!$D$3:$D$202,"",0,)</f>
        <v>#VALUE!</v>
      </c>
      <c r="C172" s="69" t="str">
        <f t="array" ref="C172">IF('Results and Rankings'!$A172="","",XLOOKUP('Results and Rankings'!$A172,'Robot Game Scores'!$B$2:$B$201,'Robot Game Scores'!$D$2:$D$201,0,0,))</f>
        <v/>
      </c>
      <c r="D172" s="69" t="str">
        <f t="array" ref="D172">IF('Results and Rankings'!$A172="","",XLOOKUP('Results and Rankings'!$A172,'Robot Game Scores'!$B$2:$B$201,'Robot Game Scores'!$E$2:$E$201,0,0,))</f>
        <v/>
      </c>
      <c r="E172" s="69" t="str">
        <f t="array" ref="E172">IF('Results and Rankings'!$A172="","",XLOOKUP('Results and Rankings'!$A172,'Robot Game Scores'!$B$2:$B$201,'Robot Game Scores'!$F$2:$F$201,0,0,))</f>
        <v/>
      </c>
      <c r="F172" s="69" t="str">
        <f t="array" ref="F172">IF('Results and Rankings'!$A172="","",XLOOKUP('Results and Rankings'!$A172,'Robot Game Scores'!$B$2:$B$201,'Robot Game Scores'!$G$2:$G$201,0,0,))</f>
        <v/>
      </c>
      <c r="G172" s="69" t="str">
        <f t="array" ref="G172">IF('Results and Rankings'!$A172="","",XLOOKUP('Results and Rankings'!$A172,'Robot Game Scores'!$B$2:$B$201,'Robot Game Scores'!$H$2:$H$201,0,0,))</f>
        <v/>
      </c>
      <c r="H172" s="69" t="str">
        <f>IF('Results and Rankings'!$A172="","",IF(ISNA(LARGE('Results and Rankings'!$C172:$G172,1)+0.0001*LARGE('Results and Rankings'!$C172:$G172,2)+0.0000001*LARGE('Results and Rankings'!$C172:$G172,3)+1E-11*LARGE('Results and Rankings'!$C172:$G172,4)+1E-14*LARGE('Results and Rankings'!$C172:$G172,5)),0,LARGE('Results and Rankings'!$C172:$G172,1)+0.0001*LARGE('Results and Rankings'!$C172:$G172,2)+0.0000001*LARGE('Results and Rankings'!$C172:$G172,3)+1E-11*LARGE('Results and Rankings'!$C172:$G172,4)+1E-14*LARGE('Results and Rankings'!$C172:$G172,5)))</f>
        <v/>
      </c>
      <c r="I172" s="69" t="str">
        <f>IF('Results and Rankings'!$A172="","",_xlfn.RANK.EQ('Results and Rankings'!$H172,'Results and Rankings'!$H$3:$H$202))</f>
        <v/>
      </c>
      <c r="J172" s="69" t="str">
        <f t="array" ref="J172">IF('Results and Rankings'!$A172="","",XLOOKUP('Results and Rankings'!$A172,'Core Values Input'!$A$2:$A$201,'Core Values Input'!$V$2:$V$201,NumberOfTeams+1,0,))</f>
        <v/>
      </c>
      <c r="K172" s="69" t="str">
        <f t="array" ref="K172">IF('Results and Rankings'!$A172="","",XLOOKUP('Results and Rankings'!$A172,'Innovation Project Input'!$A$2:$A$201,'Innovation Project Input'!$N$2:$N$201,NumberOfTeams+1,0,))</f>
        <v/>
      </c>
      <c r="L172" s="69" t="str">
        <f t="array" ref="L172">IF('Results and Rankings'!$A172="","",XLOOKUP('Results and Rankings'!$A172,'Robot Design Input'!$A$2:$A$201,'Robot Design Input'!$N$2:$N$201,NumberOfTeams+1,0,))</f>
        <v/>
      </c>
      <c r="M172" s="69" t="str">
        <f> IF('Results and Rankings'!$A172="","",IF('Results and Rankings'!$J172="",NumberOfTeams+1,'Results and Rankings'!$J172) + IF('Results and Rankings'!$K172="",NumberOfTeams+1,'Results and Rankings'!$K172) + IF('Results and Rankings'!$L172="",NumberOfTeams+1,'Results and Rankings'!$L172) + 'Results and Rankings'!$I172)</f>
        <v/>
      </c>
      <c r="N172" s="70" t="str">
        <f>IF('Results and Rankings'!$A172="","",IF(M172,RANK(M172,M$3:M$202,1)-COUNTIF(M$3:M$202,0),NumberOfTeams+1))</f>
        <v/>
      </c>
      <c r="O172" s="72" t="str">
        <f t="array" ref="O172">XLOOKUP('Results and Rankings'!$A172,'Core Values Input'!$A$2:$A$201,'Core Values Input'!$W$2:$W$201,0,0,)</f>
        <v>#VALUE!</v>
      </c>
      <c r="P172" s="72" t="str">
        <f t="array" ref="P172">XLOOKUP('Results and Rankings'!$A172,'Core Values Input'!$A$2:$A$201,'Core Values Input'!$X$2:$X$201,0,0,)</f>
        <v>#VALUE!</v>
      </c>
      <c r="Q172" s="72" t="str">
        <f t="array" ref="Q172">XLOOKUP('Results and Rankings'!$A172,'Core Values Input'!$A$2:$A$201,'Core Values Input'!$Y$2:$Y$201,0,0,)</f>
        <v>#VALUE!</v>
      </c>
      <c r="R172" s="38"/>
      <c r="S172" s="38"/>
      <c r="T172" s="72"/>
      <c r="U172" s="69" t="str">
        <f t="array" ref="U172">XLOOKUP('Results and Rankings'!$A172,'Core Values Input'!$A$2:$A$201,'Core Values Input'!$U$2:$U$201,0,0,)</f>
        <v>#VALUE!</v>
      </c>
      <c r="V172" s="69" t="str">
        <f t="array" ref="V172">XLOOKUP('Results and Rankings'!$A172,'Innovation Project Input'!$A$2:$A$201,'Innovation Project Input'!$M$2:$M$201,0,0,)</f>
        <v>#VALUE!</v>
      </c>
      <c r="W172" s="69" t="str">
        <f t="array" ref="W172">XLOOKUP('Results and Rankings'!$A172,'Robot Design Input'!$A$2:$A$201,'Robot Design Input'!$M$2:$M$201,0,0,)</f>
        <v>#VALUE!</v>
      </c>
      <c r="X172" s="73">
        <f>IF(ISERR(GEOMEAN('Results and Rankings'!$H172,'Results and Rankings'!$U172,'Results and Rankings'!$V172,'Results and Rankings'!$W172)),0,GEOMEAN('Results and Rankings'!$H172,'Results and Rankings'!$U172,'Results and Rankings'!$V172,'Results and Rankings'!$W172))</f>
        <v>0</v>
      </c>
      <c r="Y172" s="38">
        <f>IF(X172,_xlfn.RANK.EQ(X172,X$3:X$110,0),NumberOfTeams)</f>
        <v>0</v>
      </c>
      <c r="Z172" s="38"/>
    </row>
    <row r="173" ht="21.0" customHeight="1">
      <c r="A173" s="67" t="str">
        <f t="array" ref="A173">XLOOKUP(171,'Team and Program Information'!$B$3:$B$202,'Team and Program Information'!$C$3:$C$202,"ERROR",0)</f>
        <v/>
      </c>
      <c r="B173" s="68" t="str">
        <f t="array" ref="B173">XLOOKUP('Results and Rankings'!$A173,'Team and Program Information'!$C$3:$C$202,'Team and Program Information'!$D$3:$D$202,"",0,)</f>
        <v>#VALUE!</v>
      </c>
      <c r="C173" s="69" t="str">
        <f t="array" ref="C173">IF('Results and Rankings'!$A173="","",XLOOKUP('Results and Rankings'!$A173,'Robot Game Scores'!$B$2:$B$201,'Robot Game Scores'!$D$2:$D$201,0,0,))</f>
        <v/>
      </c>
      <c r="D173" s="69" t="str">
        <f t="array" ref="D173">IF('Results and Rankings'!$A173="","",XLOOKUP('Results and Rankings'!$A173,'Robot Game Scores'!$B$2:$B$201,'Robot Game Scores'!$E$2:$E$201,0,0,))</f>
        <v/>
      </c>
      <c r="E173" s="69" t="str">
        <f t="array" ref="E173">IF('Results and Rankings'!$A173="","",XLOOKUP('Results and Rankings'!$A173,'Robot Game Scores'!$B$2:$B$201,'Robot Game Scores'!$F$2:$F$201,0,0,))</f>
        <v/>
      </c>
      <c r="F173" s="69" t="str">
        <f t="array" ref="F173">IF('Results and Rankings'!$A173="","",XLOOKUP('Results and Rankings'!$A173,'Robot Game Scores'!$B$2:$B$201,'Robot Game Scores'!$G$2:$G$201,0,0,))</f>
        <v/>
      </c>
      <c r="G173" s="69" t="str">
        <f t="array" ref="G173">IF('Results and Rankings'!$A173="","",XLOOKUP('Results and Rankings'!$A173,'Robot Game Scores'!$B$2:$B$201,'Robot Game Scores'!$H$2:$H$201,0,0,))</f>
        <v/>
      </c>
      <c r="H173" s="69" t="str">
        <f>IF('Results and Rankings'!$A173="","",IF(ISNA(LARGE('Results and Rankings'!$C173:$G173,1)+0.0001*LARGE('Results and Rankings'!$C173:$G173,2)+0.0000001*LARGE('Results and Rankings'!$C173:$G173,3)+1E-11*LARGE('Results and Rankings'!$C173:$G173,4)+1E-14*LARGE('Results and Rankings'!$C173:$G173,5)),0,LARGE('Results and Rankings'!$C173:$G173,1)+0.0001*LARGE('Results and Rankings'!$C173:$G173,2)+0.0000001*LARGE('Results and Rankings'!$C173:$G173,3)+1E-11*LARGE('Results and Rankings'!$C173:$G173,4)+1E-14*LARGE('Results and Rankings'!$C173:$G173,5)))</f>
        <v/>
      </c>
      <c r="I173" s="69" t="str">
        <f>IF('Results and Rankings'!$A173="","",_xlfn.RANK.EQ('Results and Rankings'!$H173,'Results and Rankings'!$H$3:$H$202))</f>
        <v/>
      </c>
      <c r="J173" s="69" t="str">
        <f t="array" ref="J173">IF('Results and Rankings'!$A173="","",XLOOKUP('Results and Rankings'!$A173,'Core Values Input'!$A$2:$A$201,'Core Values Input'!$V$2:$V$201,NumberOfTeams+1,0,))</f>
        <v/>
      </c>
      <c r="K173" s="69" t="str">
        <f t="array" ref="K173">IF('Results and Rankings'!$A173="","",XLOOKUP('Results and Rankings'!$A173,'Innovation Project Input'!$A$2:$A$201,'Innovation Project Input'!$N$2:$N$201,NumberOfTeams+1,0,))</f>
        <v/>
      </c>
      <c r="L173" s="69" t="str">
        <f t="array" ref="L173">IF('Results and Rankings'!$A173="","",XLOOKUP('Results and Rankings'!$A173,'Robot Design Input'!$A$2:$A$201,'Robot Design Input'!$N$2:$N$201,NumberOfTeams+1,0,))</f>
        <v/>
      </c>
      <c r="M173" s="69" t="str">
        <f> IF('Results and Rankings'!$A173="","",IF('Results and Rankings'!$J173="",NumberOfTeams+1,'Results and Rankings'!$J173) + IF('Results and Rankings'!$K173="",NumberOfTeams+1,'Results and Rankings'!$K173) + IF('Results and Rankings'!$L173="",NumberOfTeams+1,'Results and Rankings'!$L173) + 'Results and Rankings'!$I173)</f>
        <v/>
      </c>
      <c r="N173" s="70" t="str">
        <f>IF('Results and Rankings'!$A173="","",IF(M173,RANK(M173,M$3:M$202,1)-COUNTIF(M$3:M$202,0),NumberOfTeams+1))</f>
        <v/>
      </c>
      <c r="O173" s="72" t="str">
        <f t="array" ref="O173">XLOOKUP('Results and Rankings'!$A173,'Core Values Input'!$A$2:$A$201,'Core Values Input'!$W$2:$W$201,0,0,)</f>
        <v>#VALUE!</v>
      </c>
      <c r="P173" s="72" t="str">
        <f t="array" ref="P173">XLOOKUP('Results and Rankings'!$A173,'Core Values Input'!$A$2:$A$201,'Core Values Input'!$X$2:$X$201,0,0,)</f>
        <v>#VALUE!</v>
      </c>
      <c r="Q173" s="72" t="str">
        <f t="array" ref="Q173">XLOOKUP('Results and Rankings'!$A173,'Core Values Input'!$A$2:$A$201,'Core Values Input'!$Y$2:$Y$201,0,0,)</f>
        <v>#VALUE!</v>
      </c>
      <c r="R173" s="38"/>
      <c r="S173" s="38"/>
      <c r="T173" s="72"/>
      <c r="U173" s="69" t="str">
        <f t="array" ref="U173">XLOOKUP('Results and Rankings'!$A173,'Core Values Input'!$A$2:$A$201,'Core Values Input'!$U$2:$U$201,0,0,)</f>
        <v>#VALUE!</v>
      </c>
      <c r="V173" s="69" t="str">
        <f t="array" ref="V173">XLOOKUP('Results and Rankings'!$A173,'Innovation Project Input'!$A$2:$A$201,'Innovation Project Input'!$M$2:$M$201,0,0,)</f>
        <v>#VALUE!</v>
      </c>
      <c r="W173" s="69" t="str">
        <f t="array" ref="W173">XLOOKUP('Results and Rankings'!$A173,'Robot Design Input'!$A$2:$A$201,'Robot Design Input'!$M$2:$M$201,0,0,)</f>
        <v>#VALUE!</v>
      </c>
      <c r="X173" s="73">
        <f>IF(ISERR(GEOMEAN('Results and Rankings'!$H173,'Results and Rankings'!$U173,'Results and Rankings'!$V173,'Results and Rankings'!$W173)),0,GEOMEAN('Results and Rankings'!$H173,'Results and Rankings'!$U173,'Results and Rankings'!$V173,'Results and Rankings'!$W173))</f>
        <v>0</v>
      </c>
      <c r="Y173" s="38">
        <f>IF(X173,_xlfn.RANK.EQ(X173,X$3:X$110,0),NumberOfTeams)</f>
        <v>0</v>
      </c>
      <c r="Z173" s="38"/>
    </row>
    <row r="174" ht="21.0" customHeight="1">
      <c r="A174" s="67" t="str">
        <f t="array" ref="A174">XLOOKUP(172,'Team and Program Information'!$B$3:$B$202,'Team and Program Information'!$C$3:$C$202,"ERROR",0)</f>
        <v/>
      </c>
      <c r="B174" s="68" t="str">
        <f t="array" ref="B174">XLOOKUP('Results and Rankings'!$A174,'Team and Program Information'!$C$3:$C$202,'Team and Program Information'!$D$3:$D$202,"",0,)</f>
        <v>#VALUE!</v>
      </c>
      <c r="C174" s="69" t="str">
        <f t="array" ref="C174">IF('Results and Rankings'!$A174="","",XLOOKUP('Results and Rankings'!$A174,'Robot Game Scores'!$B$2:$B$201,'Robot Game Scores'!$D$2:$D$201,0,0,))</f>
        <v/>
      </c>
      <c r="D174" s="69" t="str">
        <f t="array" ref="D174">IF('Results and Rankings'!$A174="","",XLOOKUP('Results and Rankings'!$A174,'Robot Game Scores'!$B$2:$B$201,'Robot Game Scores'!$E$2:$E$201,0,0,))</f>
        <v/>
      </c>
      <c r="E174" s="69" t="str">
        <f t="array" ref="E174">IF('Results and Rankings'!$A174="","",XLOOKUP('Results and Rankings'!$A174,'Robot Game Scores'!$B$2:$B$201,'Robot Game Scores'!$F$2:$F$201,0,0,))</f>
        <v/>
      </c>
      <c r="F174" s="69" t="str">
        <f t="array" ref="F174">IF('Results and Rankings'!$A174="","",XLOOKUP('Results and Rankings'!$A174,'Robot Game Scores'!$B$2:$B$201,'Robot Game Scores'!$G$2:$G$201,0,0,))</f>
        <v/>
      </c>
      <c r="G174" s="69" t="str">
        <f t="array" ref="G174">IF('Results and Rankings'!$A174="","",XLOOKUP('Results and Rankings'!$A174,'Robot Game Scores'!$B$2:$B$201,'Robot Game Scores'!$H$2:$H$201,0,0,))</f>
        <v/>
      </c>
      <c r="H174" s="69" t="str">
        <f>IF('Results and Rankings'!$A174="","",IF(ISNA(LARGE('Results and Rankings'!$C174:$G174,1)+0.0001*LARGE('Results and Rankings'!$C174:$G174,2)+0.0000001*LARGE('Results and Rankings'!$C174:$G174,3)+1E-11*LARGE('Results and Rankings'!$C174:$G174,4)+1E-14*LARGE('Results and Rankings'!$C174:$G174,5)),0,LARGE('Results and Rankings'!$C174:$G174,1)+0.0001*LARGE('Results and Rankings'!$C174:$G174,2)+0.0000001*LARGE('Results and Rankings'!$C174:$G174,3)+1E-11*LARGE('Results and Rankings'!$C174:$G174,4)+1E-14*LARGE('Results and Rankings'!$C174:$G174,5)))</f>
        <v/>
      </c>
      <c r="I174" s="69" t="str">
        <f>IF('Results and Rankings'!$A174="","",_xlfn.RANK.EQ('Results and Rankings'!$H174,'Results and Rankings'!$H$3:$H$202))</f>
        <v/>
      </c>
      <c r="J174" s="69" t="str">
        <f t="array" ref="J174">IF('Results and Rankings'!$A174="","",XLOOKUP('Results and Rankings'!$A174,'Core Values Input'!$A$2:$A$201,'Core Values Input'!$V$2:$V$201,NumberOfTeams+1,0,))</f>
        <v/>
      </c>
      <c r="K174" s="69" t="str">
        <f t="array" ref="K174">IF('Results and Rankings'!$A174="","",XLOOKUP('Results and Rankings'!$A174,'Innovation Project Input'!$A$2:$A$201,'Innovation Project Input'!$N$2:$N$201,NumberOfTeams+1,0,))</f>
        <v/>
      </c>
      <c r="L174" s="69" t="str">
        <f t="array" ref="L174">IF('Results and Rankings'!$A174="","",XLOOKUP('Results and Rankings'!$A174,'Robot Design Input'!$A$2:$A$201,'Robot Design Input'!$N$2:$N$201,NumberOfTeams+1,0,))</f>
        <v/>
      </c>
      <c r="M174" s="69" t="str">
        <f> IF('Results and Rankings'!$A174="","",IF('Results and Rankings'!$J174="",NumberOfTeams+1,'Results and Rankings'!$J174) + IF('Results and Rankings'!$K174="",NumberOfTeams+1,'Results and Rankings'!$K174) + IF('Results and Rankings'!$L174="",NumberOfTeams+1,'Results and Rankings'!$L174) + 'Results and Rankings'!$I174)</f>
        <v/>
      </c>
      <c r="N174" s="70" t="str">
        <f>IF('Results and Rankings'!$A174="","",IF(M174,RANK(M174,M$3:M$202,1)-COUNTIF(M$3:M$202,0),NumberOfTeams+1))</f>
        <v/>
      </c>
      <c r="O174" s="72" t="str">
        <f t="array" ref="O174">XLOOKUP('Results and Rankings'!$A174,'Core Values Input'!$A$2:$A$201,'Core Values Input'!$W$2:$W$201,0,0,)</f>
        <v>#VALUE!</v>
      </c>
      <c r="P174" s="72" t="str">
        <f t="array" ref="P174">XLOOKUP('Results and Rankings'!$A174,'Core Values Input'!$A$2:$A$201,'Core Values Input'!$X$2:$X$201,0,0,)</f>
        <v>#VALUE!</v>
      </c>
      <c r="Q174" s="72" t="str">
        <f t="array" ref="Q174">XLOOKUP('Results and Rankings'!$A174,'Core Values Input'!$A$2:$A$201,'Core Values Input'!$Y$2:$Y$201,0,0,)</f>
        <v>#VALUE!</v>
      </c>
      <c r="R174" s="38"/>
      <c r="S174" s="38"/>
      <c r="T174" s="72"/>
      <c r="U174" s="69" t="str">
        <f t="array" ref="U174">XLOOKUP('Results and Rankings'!$A174,'Core Values Input'!$A$2:$A$201,'Core Values Input'!$U$2:$U$201,0,0,)</f>
        <v>#VALUE!</v>
      </c>
      <c r="V174" s="69" t="str">
        <f t="array" ref="V174">XLOOKUP('Results and Rankings'!$A174,'Innovation Project Input'!$A$2:$A$201,'Innovation Project Input'!$M$2:$M$201,0,0,)</f>
        <v>#VALUE!</v>
      </c>
      <c r="W174" s="69" t="str">
        <f t="array" ref="W174">XLOOKUP('Results and Rankings'!$A174,'Robot Design Input'!$A$2:$A$201,'Robot Design Input'!$M$2:$M$201,0,0,)</f>
        <v>#VALUE!</v>
      </c>
      <c r="X174" s="73">
        <f>IF(ISERR(GEOMEAN('Results and Rankings'!$H174,'Results and Rankings'!$U174,'Results and Rankings'!$V174,'Results and Rankings'!$W174)),0,GEOMEAN('Results and Rankings'!$H174,'Results and Rankings'!$U174,'Results and Rankings'!$V174,'Results and Rankings'!$W174))</f>
        <v>0</v>
      </c>
      <c r="Y174" s="38">
        <f>IF(X174,_xlfn.RANK.EQ(X174,X$3:X$110,0),NumberOfTeams)</f>
        <v>0</v>
      </c>
      <c r="Z174" s="38"/>
    </row>
    <row r="175" ht="21.0" customHeight="1">
      <c r="A175" s="67" t="str">
        <f t="array" ref="A175">XLOOKUP(173,'Team and Program Information'!$B$3:$B$202,'Team and Program Information'!$C$3:$C$202,"ERROR",0)</f>
        <v/>
      </c>
      <c r="B175" s="68" t="str">
        <f t="array" ref="B175">XLOOKUP('Results and Rankings'!$A175,'Team and Program Information'!$C$3:$C$202,'Team and Program Information'!$D$3:$D$202,"",0,)</f>
        <v>#VALUE!</v>
      </c>
      <c r="C175" s="69" t="str">
        <f t="array" ref="C175">IF('Results and Rankings'!$A175="","",XLOOKUP('Results and Rankings'!$A175,'Robot Game Scores'!$B$2:$B$201,'Robot Game Scores'!$D$2:$D$201,0,0,))</f>
        <v/>
      </c>
      <c r="D175" s="69" t="str">
        <f t="array" ref="D175">IF('Results and Rankings'!$A175="","",XLOOKUP('Results and Rankings'!$A175,'Robot Game Scores'!$B$2:$B$201,'Robot Game Scores'!$E$2:$E$201,0,0,))</f>
        <v/>
      </c>
      <c r="E175" s="69" t="str">
        <f t="array" ref="E175">IF('Results and Rankings'!$A175="","",XLOOKUP('Results and Rankings'!$A175,'Robot Game Scores'!$B$2:$B$201,'Robot Game Scores'!$F$2:$F$201,0,0,))</f>
        <v/>
      </c>
      <c r="F175" s="69" t="str">
        <f t="array" ref="F175">IF('Results and Rankings'!$A175="","",XLOOKUP('Results and Rankings'!$A175,'Robot Game Scores'!$B$2:$B$201,'Robot Game Scores'!$G$2:$G$201,0,0,))</f>
        <v/>
      </c>
      <c r="G175" s="69" t="str">
        <f t="array" ref="G175">IF('Results and Rankings'!$A175="","",XLOOKUP('Results and Rankings'!$A175,'Robot Game Scores'!$B$2:$B$201,'Robot Game Scores'!$H$2:$H$201,0,0,))</f>
        <v/>
      </c>
      <c r="H175" s="69" t="str">
        <f>IF('Results and Rankings'!$A175="","",IF(ISNA(LARGE('Results and Rankings'!$C175:$G175,1)+0.0001*LARGE('Results and Rankings'!$C175:$G175,2)+0.0000001*LARGE('Results and Rankings'!$C175:$G175,3)+1E-11*LARGE('Results and Rankings'!$C175:$G175,4)+1E-14*LARGE('Results and Rankings'!$C175:$G175,5)),0,LARGE('Results and Rankings'!$C175:$G175,1)+0.0001*LARGE('Results and Rankings'!$C175:$G175,2)+0.0000001*LARGE('Results and Rankings'!$C175:$G175,3)+1E-11*LARGE('Results and Rankings'!$C175:$G175,4)+1E-14*LARGE('Results and Rankings'!$C175:$G175,5)))</f>
        <v/>
      </c>
      <c r="I175" s="69" t="str">
        <f>IF('Results and Rankings'!$A175="","",_xlfn.RANK.EQ('Results and Rankings'!$H175,'Results and Rankings'!$H$3:$H$202))</f>
        <v/>
      </c>
      <c r="J175" s="69" t="str">
        <f t="array" ref="J175">IF('Results and Rankings'!$A175="","",XLOOKUP('Results and Rankings'!$A175,'Core Values Input'!$A$2:$A$201,'Core Values Input'!$V$2:$V$201,NumberOfTeams+1,0,))</f>
        <v/>
      </c>
      <c r="K175" s="69" t="str">
        <f t="array" ref="K175">IF('Results and Rankings'!$A175="","",XLOOKUP('Results and Rankings'!$A175,'Innovation Project Input'!$A$2:$A$201,'Innovation Project Input'!$N$2:$N$201,NumberOfTeams+1,0,))</f>
        <v/>
      </c>
      <c r="L175" s="69" t="str">
        <f t="array" ref="L175">IF('Results and Rankings'!$A175="","",XLOOKUP('Results and Rankings'!$A175,'Robot Design Input'!$A$2:$A$201,'Robot Design Input'!$N$2:$N$201,NumberOfTeams+1,0,))</f>
        <v/>
      </c>
      <c r="M175" s="69" t="str">
        <f> IF('Results and Rankings'!$A175="","",IF('Results and Rankings'!$J175="",NumberOfTeams+1,'Results and Rankings'!$J175) + IF('Results and Rankings'!$K175="",NumberOfTeams+1,'Results and Rankings'!$K175) + IF('Results and Rankings'!$L175="",NumberOfTeams+1,'Results and Rankings'!$L175) + 'Results and Rankings'!$I175)</f>
        <v/>
      </c>
      <c r="N175" s="70" t="str">
        <f>IF('Results and Rankings'!$A175="","",IF(M175,RANK(M175,M$3:M$202,1)-COUNTIF(M$3:M$202,0),NumberOfTeams+1))</f>
        <v/>
      </c>
      <c r="O175" s="72" t="str">
        <f t="array" ref="O175">XLOOKUP('Results and Rankings'!$A175,'Core Values Input'!$A$2:$A$201,'Core Values Input'!$W$2:$W$201,0,0,)</f>
        <v>#VALUE!</v>
      </c>
      <c r="P175" s="72" t="str">
        <f t="array" ref="P175">XLOOKUP('Results and Rankings'!$A175,'Core Values Input'!$A$2:$A$201,'Core Values Input'!$X$2:$X$201,0,0,)</f>
        <v>#VALUE!</v>
      </c>
      <c r="Q175" s="72" t="str">
        <f t="array" ref="Q175">XLOOKUP('Results and Rankings'!$A175,'Core Values Input'!$A$2:$A$201,'Core Values Input'!$Y$2:$Y$201,0,0,)</f>
        <v>#VALUE!</v>
      </c>
      <c r="R175" s="38"/>
      <c r="S175" s="38"/>
      <c r="T175" s="72"/>
      <c r="U175" s="69" t="str">
        <f t="array" ref="U175">XLOOKUP('Results and Rankings'!$A175,'Core Values Input'!$A$2:$A$201,'Core Values Input'!$U$2:$U$201,0,0,)</f>
        <v>#VALUE!</v>
      </c>
      <c r="V175" s="69" t="str">
        <f t="array" ref="V175">XLOOKUP('Results and Rankings'!$A175,'Innovation Project Input'!$A$2:$A$201,'Innovation Project Input'!$M$2:$M$201,0,0,)</f>
        <v>#VALUE!</v>
      </c>
      <c r="W175" s="69" t="str">
        <f t="array" ref="W175">XLOOKUP('Results and Rankings'!$A175,'Robot Design Input'!$A$2:$A$201,'Robot Design Input'!$M$2:$M$201,0,0,)</f>
        <v>#VALUE!</v>
      </c>
      <c r="X175" s="73">
        <f>IF(ISERR(GEOMEAN('Results and Rankings'!$H175,'Results and Rankings'!$U175,'Results and Rankings'!$V175,'Results and Rankings'!$W175)),0,GEOMEAN('Results and Rankings'!$H175,'Results and Rankings'!$U175,'Results and Rankings'!$V175,'Results and Rankings'!$W175))</f>
        <v>0</v>
      </c>
      <c r="Y175" s="38">
        <f>IF(X175,_xlfn.RANK.EQ(X175,X$3:X$110,0),NumberOfTeams)</f>
        <v>0</v>
      </c>
      <c r="Z175" s="38"/>
    </row>
    <row r="176" ht="21.0" customHeight="1">
      <c r="A176" s="67" t="str">
        <f t="array" ref="A176">XLOOKUP(174,'Team and Program Information'!$B$3:$B$202,'Team and Program Information'!$C$3:$C$202,"ERROR",0)</f>
        <v/>
      </c>
      <c r="B176" s="68" t="str">
        <f t="array" ref="B176">XLOOKUP('Results and Rankings'!$A176,'Team and Program Information'!$C$3:$C$202,'Team and Program Information'!$D$3:$D$202,"",0,)</f>
        <v>#VALUE!</v>
      </c>
      <c r="C176" s="69" t="str">
        <f t="array" ref="C176">IF('Results and Rankings'!$A176="","",XLOOKUP('Results and Rankings'!$A176,'Robot Game Scores'!$B$2:$B$201,'Robot Game Scores'!$D$2:$D$201,0,0,))</f>
        <v/>
      </c>
      <c r="D176" s="69" t="str">
        <f t="array" ref="D176">IF('Results and Rankings'!$A176="","",XLOOKUP('Results and Rankings'!$A176,'Robot Game Scores'!$B$2:$B$201,'Robot Game Scores'!$E$2:$E$201,0,0,))</f>
        <v/>
      </c>
      <c r="E176" s="69" t="str">
        <f t="array" ref="E176">IF('Results and Rankings'!$A176="","",XLOOKUP('Results and Rankings'!$A176,'Robot Game Scores'!$B$2:$B$201,'Robot Game Scores'!$F$2:$F$201,0,0,))</f>
        <v/>
      </c>
      <c r="F176" s="69" t="str">
        <f t="array" ref="F176">IF('Results and Rankings'!$A176="","",XLOOKUP('Results and Rankings'!$A176,'Robot Game Scores'!$B$2:$B$201,'Robot Game Scores'!$G$2:$G$201,0,0,))</f>
        <v/>
      </c>
      <c r="G176" s="69" t="str">
        <f t="array" ref="G176">IF('Results and Rankings'!$A176="","",XLOOKUP('Results and Rankings'!$A176,'Robot Game Scores'!$B$2:$B$201,'Robot Game Scores'!$H$2:$H$201,0,0,))</f>
        <v/>
      </c>
      <c r="H176" s="69" t="str">
        <f>IF('Results and Rankings'!$A176="","",IF(ISNA(LARGE('Results and Rankings'!$C176:$G176,1)+0.0001*LARGE('Results and Rankings'!$C176:$G176,2)+0.0000001*LARGE('Results and Rankings'!$C176:$G176,3)+1E-11*LARGE('Results and Rankings'!$C176:$G176,4)+1E-14*LARGE('Results and Rankings'!$C176:$G176,5)),0,LARGE('Results and Rankings'!$C176:$G176,1)+0.0001*LARGE('Results and Rankings'!$C176:$G176,2)+0.0000001*LARGE('Results and Rankings'!$C176:$G176,3)+1E-11*LARGE('Results and Rankings'!$C176:$G176,4)+1E-14*LARGE('Results and Rankings'!$C176:$G176,5)))</f>
        <v/>
      </c>
      <c r="I176" s="69" t="str">
        <f>IF('Results and Rankings'!$A176="","",_xlfn.RANK.EQ('Results and Rankings'!$H176,'Results and Rankings'!$H$3:$H$202))</f>
        <v/>
      </c>
      <c r="J176" s="69" t="str">
        <f t="array" ref="J176">IF('Results and Rankings'!$A176="","",XLOOKUP('Results and Rankings'!$A176,'Core Values Input'!$A$2:$A$201,'Core Values Input'!$V$2:$V$201,NumberOfTeams+1,0,))</f>
        <v/>
      </c>
      <c r="K176" s="69" t="str">
        <f t="array" ref="K176">IF('Results and Rankings'!$A176="","",XLOOKUP('Results and Rankings'!$A176,'Innovation Project Input'!$A$2:$A$201,'Innovation Project Input'!$N$2:$N$201,NumberOfTeams+1,0,))</f>
        <v/>
      </c>
      <c r="L176" s="69" t="str">
        <f t="array" ref="L176">IF('Results and Rankings'!$A176="","",XLOOKUP('Results and Rankings'!$A176,'Robot Design Input'!$A$2:$A$201,'Robot Design Input'!$N$2:$N$201,NumberOfTeams+1,0,))</f>
        <v/>
      </c>
      <c r="M176" s="69" t="str">
        <f> IF('Results and Rankings'!$A176="","",IF('Results and Rankings'!$J176="",NumberOfTeams+1,'Results and Rankings'!$J176) + IF('Results and Rankings'!$K176="",NumberOfTeams+1,'Results and Rankings'!$K176) + IF('Results and Rankings'!$L176="",NumberOfTeams+1,'Results and Rankings'!$L176) + 'Results and Rankings'!$I176)</f>
        <v/>
      </c>
      <c r="N176" s="70" t="str">
        <f>IF('Results and Rankings'!$A176="","",IF(M176,RANK(M176,M$3:M$202,1)-COUNTIF(M$3:M$202,0),NumberOfTeams+1))</f>
        <v/>
      </c>
      <c r="O176" s="72" t="str">
        <f t="array" ref="O176">XLOOKUP('Results and Rankings'!$A176,'Core Values Input'!$A$2:$A$201,'Core Values Input'!$W$2:$W$201,0,0,)</f>
        <v>#VALUE!</v>
      </c>
      <c r="P176" s="72" t="str">
        <f t="array" ref="P176">XLOOKUP('Results and Rankings'!$A176,'Core Values Input'!$A$2:$A$201,'Core Values Input'!$X$2:$X$201,0,0,)</f>
        <v>#VALUE!</v>
      </c>
      <c r="Q176" s="72" t="str">
        <f t="array" ref="Q176">XLOOKUP('Results and Rankings'!$A176,'Core Values Input'!$A$2:$A$201,'Core Values Input'!$Y$2:$Y$201,0,0,)</f>
        <v>#VALUE!</v>
      </c>
      <c r="R176" s="38"/>
      <c r="S176" s="38"/>
      <c r="T176" s="72"/>
      <c r="U176" s="69" t="str">
        <f t="array" ref="U176">XLOOKUP('Results and Rankings'!$A176,'Core Values Input'!$A$2:$A$201,'Core Values Input'!$U$2:$U$201,0,0,)</f>
        <v>#VALUE!</v>
      </c>
      <c r="V176" s="69" t="str">
        <f t="array" ref="V176">XLOOKUP('Results and Rankings'!$A176,'Innovation Project Input'!$A$2:$A$201,'Innovation Project Input'!$M$2:$M$201,0,0,)</f>
        <v>#VALUE!</v>
      </c>
      <c r="W176" s="69" t="str">
        <f t="array" ref="W176">XLOOKUP('Results and Rankings'!$A176,'Robot Design Input'!$A$2:$A$201,'Robot Design Input'!$M$2:$M$201,0,0,)</f>
        <v>#VALUE!</v>
      </c>
      <c r="X176" s="73">
        <f>IF(ISERR(GEOMEAN('Results and Rankings'!$H176,'Results and Rankings'!$U176,'Results and Rankings'!$V176,'Results and Rankings'!$W176)),0,GEOMEAN('Results and Rankings'!$H176,'Results and Rankings'!$U176,'Results and Rankings'!$V176,'Results and Rankings'!$W176))</f>
        <v>0</v>
      </c>
      <c r="Y176" s="38">
        <f>IF(X176,_xlfn.RANK.EQ(X176,X$3:X$110,0),NumberOfTeams)</f>
        <v>0</v>
      </c>
      <c r="Z176" s="38"/>
    </row>
    <row r="177" ht="21.0" customHeight="1">
      <c r="A177" s="67" t="str">
        <f t="array" ref="A177">XLOOKUP(175,'Team and Program Information'!$B$3:$B$202,'Team and Program Information'!$C$3:$C$202,"ERROR",0)</f>
        <v/>
      </c>
      <c r="B177" s="68" t="str">
        <f t="array" ref="B177">XLOOKUP('Results and Rankings'!$A177,'Team and Program Information'!$C$3:$C$202,'Team and Program Information'!$D$3:$D$202,"",0,)</f>
        <v>#VALUE!</v>
      </c>
      <c r="C177" s="69" t="str">
        <f t="array" ref="C177">IF('Results and Rankings'!$A177="","",XLOOKUP('Results and Rankings'!$A177,'Robot Game Scores'!$B$2:$B$201,'Robot Game Scores'!$D$2:$D$201,0,0,))</f>
        <v/>
      </c>
      <c r="D177" s="69" t="str">
        <f t="array" ref="D177">IF('Results and Rankings'!$A177="","",XLOOKUP('Results and Rankings'!$A177,'Robot Game Scores'!$B$2:$B$201,'Robot Game Scores'!$E$2:$E$201,0,0,))</f>
        <v/>
      </c>
      <c r="E177" s="69" t="str">
        <f t="array" ref="E177">IF('Results and Rankings'!$A177="","",XLOOKUP('Results and Rankings'!$A177,'Robot Game Scores'!$B$2:$B$201,'Robot Game Scores'!$F$2:$F$201,0,0,))</f>
        <v/>
      </c>
      <c r="F177" s="69" t="str">
        <f t="array" ref="F177">IF('Results and Rankings'!$A177="","",XLOOKUP('Results and Rankings'!$A177,'Robot Game Scores'!$B$2:$B$201,'Robot Game Scores'!$G$2:$G$201,0,0,))</f>
        <v/>
      </c>
      <c r="G177" s="69" t="str">
        <f t="array" ref="G177">IF('Results and Rankings'!$A177="","",XLOOKUP('Results and Rankings'!$A177,'Robot Game Scores'!$B$2:$B$201,'Robot Game Scores'!$H$2:$H$201,0,0,))</f>
        <v/>
      </c>
      <c r="H177" s="69" t="str">
        <f>IF('Results and Rankings'!$A177="","",IF(ISNA(LARGE('Results and Rankings'!$C177:$G177,1)+0.0001*LARGE('Results and Rankings'!$C177:$G177,2)+0.0000001*LARGE('Results and Rankings'!$C177:$G177,3)+1E-11*LARGE('Results and Rankings'!$C177:$G177,4)+1E-14*LARGE('Results and Rankings'!$C177:$G177,5)),0,LARGE('Results and Rankings'!$C177:$G177,1)+0.0001*LARGE('Results and Rankings'!$C177:$G177,2)+0.0000001*LARGE('Results and Rankings'!$C177:$G177,3)+1E-11*LARGE('Results and Rankings'!$C177:$G177,4)+1E-14*LARGE('Results and Rankings'!$C177:$G177,5)))</f>
        <v/>
      </c>
      <c r="I177" s="69" t="str">
        <f>IF('Results and Rankings'!$A177="","",_xlfn.RANK.EQ('Results and Rankings'!$H177,'Results and Rankings'!$H$3:$H$202))</f>
        <v/>
      </c>
      <c r="J177" s="69" t="str">
        <f t="array" ref="J177">IF('Results and Rankings'!$A177="","",XLOOKUP('Results and Rankings'!$A177,'Core Values Input'!$A$2:$A$201,'Core Values Input'!$V$2:$V$201,NumberOfTeams+1,0,))</f>
        <v/>
      </c>
      <c r="K177" s="69" t="str">
        <f t="array" ref="K177">IF('Results and Rankings'!$A177="","",XLOOKUP('Results and Rankings'!$A177,'Innovation Project Input'!$A$2:$A$201,'Innovation Project Input'!$N$2:$N$201,NumberOfTeams+1,0,))</f>
        <v/>
      </c>
      <c r="L177" s="69" t="str">
        <f t="array" ref="L177">IF('Results and Rankings'!$A177="","",XLOOKUP('Results and Rankings'!$A177,'Robot Design Input'!$A$2:$A$201,'Robot Design Input'!$N$2:$N$201,NumberOfTeams+1,0,))</f>
        <v/>
      </c>
      <c r="M177" s="69" t="str">
        <f> IF('Results and Rankings'!$A177="","",IF('Results and Rankings'!$J177="",NumberOfTeams+1,'Results and Rankings'!$J177) + IF('Results and Rankings'!$K177="",NumberOfTeams+1,'Results and Rankings'!$K177) + IF('Results and Rankings'!$L177="",NumberOfTeams+1,'Results and Rankings'!$L177) + 'Results and Rankings'!$I177)</f>
        <v/>
      </c>
      <c r="N177" s="70" t="str">
        <f>IF('Results and Rankings'!$A177="","",IF(M177,RANK(M177,M$3:M$202,1)-COUNTIF(M$3:M$202,0),NumberOfTeams+1))</f>
        <v/>
      </c>
      <c r="O177" s="72" t="str">
        <f t="array" ref="O177">XLOOKUP('Results and Rankings'!$A177,'Core Values Input'!$A$2:$A$201,'Core Values Input'!$W$2:$W$201,0,0,)</f>
        <v>#VALUE!</v>
      </c>
      <c r="P177" s="72" t="str">
        <f t="array" ref="P177">XLOOKUP('Results and Rankings'!$A177,'Core Values Input'!$A$2:$A$201,'Core Values Input'!$X$2:$X$201,0,0,)</f>
        <v>#VALUE!</v>
      </c>
      <c r="Q177" s="72" t="str">
        <f t="array" ref="Q177">XLOOKUP('Results and Rankings'!$A177,'Core Values Input'!$A$2:$A$201,'Core Values Input'!$Y$2:$Y$201,0,0,)</f>
        <v>#VALUE!</v>
      </c>
      <c r="R177" s="38"/>
      <c r="S177" s="38"/>
      <c r="T177" s="72"/>
      <c r="U177" s="69" t="str">
        <f t="array" ref="U177">XLOOKUP('Results and Rankings'!$A177,'Core Values Input'!$A$2:$A$201,'Core Values Input'!$U$2:$U$201,0,0,)</f>
        <v>#VALUE!</v>
      </c>
      <c r="V177" s="69" t="str">
        <f t="array" ref="V177">XLOOKUP('Results and Rankings'!$A177,'Innovation Project Input'!$A$2:$A$201,'Innovation Project Input'!$M$2:$M$201,0,0,)</f>
        <v>#VALUE!</v>
      </c>
      <c r="W177" s="69" t="str">
        <f t="array" ref="W177">XLOOKUP('Results and Rankings'!$A177,'Robot Design Input'!$A$2:$A$201,'Robot Design Input'!$M$2:$M$201,0,0,)</f>
        <v>#VALUE!</v>
      </c>
      <c r="X177" s="73">
        <f>IF(ISERR(GEOMEAN('Results and Rankings'!$H177,'Results and Rankings'!$U177,'Results and Rankings'!$V177,'Results and Rankings'!$W177)),0,GEOMEAN('Results and Rankings'!$H177,'Results and Rankings'!$U177,'Results and Rankings'!$V177,'Results and Rankings'!$W177))</f>
        <v>0</v>
      </c>
      <c r="Y177" s="38">
        <f>IF(X177,_xlfn.RANK.EQ(X177,X$3:X$110,0),NumberOfTeams)</f>
        <v>0</v>
      </c>
      <c r="Z177" s="38"/>
    </row>
    <row r="178" ht="21.0" customHeight="1">
      <c r="A178" s="67" t="str">
        <f t="array" ref="A178">XLOOKUP(176,'Team and Program Information'!$B$3:$B$202,'Team and Program Information'!$C$3:$C$202,"ERROR",0)</f>
        <v/>
      </c>
      <c r="B178" s="68" t="str">
        <f t="array" ref="B178">XLOOKUP('Results and Rankings'!$A178,'Team and Program Information'!$C$3:$C$202,'Team and Program Information'!$D$3:$D$202,"",0,)</f>
        <v>#VALUE!</v>
      </c>
      <c r="C178" s="69" t="str">
        <f t="array" ref="C178">IF('Results and Rankings'!$A178="","",XLOOKUP('Results and Rankings'!$A178,'Robot Game Scores'!$B$2:$B$201,'Robot Game Scores'!$D$2:$D$201,0,0,))</f>
        <v/>
      </c>
      <c r="D178" s="69" t="str">
        <f t="array" ref="D178">IF('Results and Rankings'!$A178="","",XLOOKUP('Results and Rankings'!$A178,'Robot Game Scores'!$B$2:$B$201,'Robot Game Scores'!$E$2:$E$201,0,0,))</f>
        <v/>
      </c>
      <c r="E178" s="69" t="str">
        <f t="array" ref="E178">IF('Results and Rankings'!$A178="","",XLOOKUP('Results and Rankings'!$A178,'Robot Game Scores'!$B$2:$B$201,'Robot Game Scores'!$F$2:$F$201,0,0,))</f>
        <v/>
      </c>
      <c r="F178" s="69" t="str">
        <f t="array" ref="F178">IF('Results and Rankings'!$A178="","",XLOOKUP('Results and Rankings'!$A178,'Robot Game Scores'!$B$2:$B$201,'Robot Game Scores'!$G$2:$G$201,0,0,))</f>
        <v/>
      </c>
      <c r="G178" s="69" t="str">
        <f t="array" ref="G178">IF('Results and Rankings'!$A178="","",XLOOKUP('Results and Rankings'!$A178,'Robot Game Scores'!$B$2:$B$201,'Robot Game Scores'!$H$2:$H$201,0,0,))</f>
        <v/>
      </c>
      <c r="H178" s="69" t="str">
        <f>IF('Results and Rankings'!$A178="","",IF(ISNA(LARGE('Results and Rankings'!$C178:$G178,1)+0.0001*LARGE('Results and Rankings'!$C178:$G178,2)+0.0000001*LARGE('Results and Rankings'!$C178:$G178,3)+1E-11*LARGE('Results and Rankings'!$C178:$G178,4)+1E-14*LARGE('Results and Rankings'!$C178:$G178,5)),0,LARGE('Results and Rankings'!$C178:$G178,1)+0.0001*LARGE('Results and Rankings'!$C178:$G178,2)+0.0000001*LARGE('Results and Rankings'!$C178:$G178,3)+1E-11*LARGE('Results and Rankings'!$C178:$G178,4)+1E-14*LARGE('Results and Rankings'!$C178:$G178,5)))</f>
        <v/>
      </c>
      <c r="I178" s="69" t="str">
        <f>IF('Results and Rankings'!$A178="","",_xlfn.RANK.EQ('Results and Rankings'!$H178,'Results and Rankings'!$H$3:$H$202))</f>
        <v/>
      </c>
      <c r="J178" s="69" t="str">
        <f t="array" ref="J178">IF('Results and Rankings'!$A178="","",XLOOKUP('Results and Rankings'!$A178,'Core Values Input'!$A$2:$A$201,'Core Values Input'!$V$2:$V$201,NumberOfTeams+1,0,))</f>
        <v/>
      </c>
      <c r="K178" s="69" t="str">
        <f t="array" ref="K178">IF('Results and Rankings'!$A178="","",XLOOKUP('Results and Rankings'!$A178,'Innovation Project Input'!$A$2:$A$201,'Innovation Project Input'!$N$2:$N$201,NumberOfTeams+1,0,))</f>
        <v/>
      </c>
      <c r="L178" s="69" t="str">
        <f t="array" ref="L178">IF('Results and Rankings'!$A178="","",XLOOKUP('Results and Rankings'!$A178,'Robot Design Input'!$A$2:$A$201,'Robot Design Input'!$N$2:$N$201,NumberOfTeams+1,0,))</f>
        <v/>
      </c>
      <c r="M178" s="69" t="str">
        <f> IF('Results and Rankings'!$A178="","",IF('Results and Rankings'!$J178="",NumberOfTeams+1,'Results and Rankings'!$J178) + IF('Results and Rankings'!$K178="",NumberOfTeams+1,'Results and Rankings'!$K178) + IF('Results and Rankings'!$L178="",NumberOfTeams+1,'Results and Rankings'!$L178) + 'Results and Rankings'!$I178)</f>
        <v/>
      </c>
      <c r="N178" s="70" t="str">
        <f>IF('Results and Rankings'!$A178="","",IF(M178,RANK(M178,M$3:M$202,1)-COUNTIF(M$3:M$202,0),NumberOfTeams+1))</f>
        <v/>
      </c>
      <c r="O178" s="72" t="str">
        <f t="array" ref="O178">XLOOKUP('Results and Rankings'!$A178,'Core Values Input'!$A$2:$A$201,'Core Values Input'!$W$2:$W$201,0,0,)</f>
        <v>#VALUE!</v>
      </c>
      <c r="P178" s="72" t="str">
        <f t="array" ref="P178">XLOOKUP('Results and Rankings'!$A178,'Core Values Input'!$A$2:$A$201,'Core Values Input'!$X$2:$X$201,0,0,)</f>
        <v>#VALUE!</v>
      </c>
      <c r="Q178" s="72" t="str">
        <f t="array" ref="Q178">XLOOKUP('Results and Rankings'!$A178,'Core Values Input'!$A$2:$A$201,'Core Values Input'!$Y$2:$Y$201,0,0,)</f>
        <v>#VALUE!</v>
      </c>
      <c r="R178" s="38"/>
      <c r="S178" s="38"/>
      <c r="T178" s="72"/>
      <c r="U178" s="69" t="str">
        <f t="array" ref="U178">XLOOKUP('Results and Rankings'!$A178,'Core Values Input'!$A$2:$A$201,'Core Values Input'!$U$2:$U$201,0,0,)</f>
        <v>#VALUE!</v>
      </c>
      <c r="V178" s="69" t="str">
        <f t="array" ref="V178">XLOOKUP('Results and Rankings'!$A178,'Innovation Project Input'!$A$2:$A$201,'Innovation Project Input'!$M$2:$M$201,0,0,)</f>
        <v>#VALUE!</v>
      </c>
      <c r="W178" s="69" t="str">
        <f t="array" ref="W178">XLOOKUP('Results and Rankings'!$A178,'Robot Design Input'!$A$2:$A$201,'Robot Design Input'!$M$2:$M$201,0,0,)</f>
        <v>#VALUE!</v>
      </c>
      <c r="X178" s="73">
        <f>IF(ISERR(GEOMEAN('Results and Rankings'!$H178,'Results and Rankings'!$U178,'Results and Rankings'!$V178,'Results and Rankings'!$W178)),0,GEOMEAN('Results and Rankings'!$H178,'Results and Rankings'!$U178,'Results and Rankings'!$V178,'Results and Rankings'!$W178))</f>
        <v>0</v>
      </c>
      <c r="Y178" s="38">
        <f>IF(X178,_xlfn.RANK.EQ(X178,X$3:X$110,0),NumberOfTeams)</f>
        <v>0</v>
      </c>
      <c r="Z178" s="38"/>
    </row>
    <row r="179" ht="21.0" customHeight="1">
      <c r="A179" s="67" t="str">
        <f t="array" ref="A179">XLOOKUP(177,'Team and Program Information'!$B$3:$B$202,'Team and Program Information'!$C$3:$C$202,"ERROR",0)</f>
        <v/>
      </c>
      <c r="B179" s="68" t="str">
        <f t="array" ref="B179">XLOOKUP('Results and Rankings'!$A179,'Team and Program Information'!$C$3:$C$202,'Team and Program Information'!$D$3:$D$202,"",0,)</f>
        <v>#VALUE!</v>
      </c>
      <c r="C179" s="69" t="str">
        <f t="array" ref="C179">IF('Results and Rankings'!$A179="","",XLOOKUP('Results and Rankings'!$A179,'Robot Game Scores'!$B$2:$B$201,'Robot Game Scores'!$D$2:$D$201,0,0,))</f>
        <v/>
      </c>
      <c r="D179" s="69" t="str">
        <f t="array" ref="D179">IF('Results and Rankings'!$A179="","",XLOOKUP('Results and Rankings'!$A179,'Robot Game Scores'!$B$2:$B$201,'Robot Game Scores'!$E$2:$E$201,0,0,))</f>
        <v/>
      </c>
      <c r="E179" s="69" t="str">
        <f t="array" ref="E179">IF('Results and Rankings'!$A179="","",XLOOKUP('Results and Rankings'!$A179,'Robot Game Scores'!$B$2:$B$201,'Robot Game Scores'!$F$2:$F$201,0,0,))</f>
        <v/>
      </c>
      <c r="F179" s="69" t="str">
        <f t="array" ref="F179">IF('Results and Rankings'!$A179="","",XLOOKUP('Results and Rankings'!$A179,'Robot Game Scores'!$B$2:$B$201,'Robot Game Scores'!$G$2:$G$201,0,0,))</f>
        <v/>
      </c>
      <c r="G179" s="69" t="str">
        <f t="array" ref="G179">IF('Results and Rankings'!$A179="","",XLOOKUP('Results and Rankings'!$A179,'Robot Game Scores'!$B$2:$B$201,'Robot Game Scores'!$H$2:$H$201,0,0,))</f>
        <v/>
      </c>
      <c r="H179" s="69" t="str">
        <f>IF('Results and Rankings'!$A179="","",IF(ISNA(LARGE('Results and Rankings'!$C179:$G179,1)+0.0001*LARGE('Results and Rankings'!$C179:$G179,2)+0.0000001*LARGE('Results and Rankings'!$C179:$G179,3)+1E-11*LARGE('Results and Rankings'!$C179:$G179,4)+1E-14*LARGE('Results and Rankings'!$C179:$G179,5)),0,LARGE('Results and Rankings'!$C179:$G179,1)+0.0001*LARGE('Results and Rankings'!$C179:$G179,2)+0.0000001*LARGE('Results and Rankings'!$C179:$G179,3)+1E-11*LARGE('Results and Rankings'!$C179:$G179,4)+1E-14*LARGE('Results and Rankings'!$C179:$G179,5)))</f>
        <v/>
      </c>
      <c r="I179" s="69" t="str">
        <f>IF('Results and Rankings'!$A179="","",_xlfn.RANK.EQ('Results and Rankings'!$H179,'Results and Rankings'!$H$3:$H$202))</f>
        <v/>
      </c>
      <c r="J179" s="69" t="str">
        <f t="array" ref="J179">IF('Results and Rankings'!$A179="","",XLOOKUP('Results and Rankings'!$A179,'Core Values Input'!$A$2:$A$201,'Core Values Input'!$V$2:$V$201,NumberOfTeams+1,0,))</f>
        <v/>
      </c>
      <c r="K179" s="69" t="str">
        <f t="array" ref="K179">IF('Results and Rankings'!$A179="","",XLOOKUP('Results and Rankings'!$A179,'Innovation Project Input'!$A$2:$A$201,'Innovation Project Input'!$N$2:$N$201,NumberOfTeams+1,0,))</f>
        <v/>
      </c>
      <c r="L179" s="69" t="str">
        <f t="array" ref="L179">IF('Results and Rankings'!$A179="","",XLOOKUP('Results and Rankings'!$A179,'Robot Design Input'!$A$2:$A$201,'Robot Design Input'!$N$2:$N$201,NumberOfTeams+1,0,))</f>
        <v/>
      </c>
      <c r="M179" s="69" t="str">
        <f> IF('Results and Rankings'!$A179="","",IF('Results and Rankings'!$J179="",NumberOfTeams+1,'Results and Rankings'!$J179) + IF('Results and Rankings'!$K179="",NumberOfTeams+1,'Results and Rankings'!$K179) + IF('Results and Rankings'!$L179="",NumberOfTeams+1,'Results and Rankings'!$L179) + 'Results and Rankings'!$I179)</f>
        <v/>
      </c>
      <c r="N179" s="70" t="str">
        <f>IF('Results and Rankings'!$A179="","",IF(M179,RANK(M179,M$3:M$202,1)-COUNTIF(M$3:M$202,0),NumberOfTeams+1))</f>
        <v/>
      </c>
      <c r="O179" s="72" t="str">
        <f t="array" ref="O179">XLOOKUP('Results and Rankings'!$A179,'Core Values Input'!$A$2:$A$201,'Core Values Input'!$W$2:$W$201,0,0,)</f>
        <v>#VALUE!</v>
      </c>
      <c r="P179" s="72" t="str">
        <f t="array" ref="P179">XLOOKUP('Results and Rankings'!$A179,'Core Values Input'!$A$2:$A$201,'Core Values Input'!$X$2:$X$201,0,0,)</f>
        <v>#VALUE!</v>
      </c>
      <c r="Q179" s="72" t="str">
        <f t="array" ref="Q179">XLOOKUP('Results and Rankings'!$A179,'Core Values Input'!$A$2:$A$201,'Core Values Input'!$Y$2:$Y$201,0,0,)</f>
        <v>#VALUE!</v>
      </c>
      <c r="R179" s="38"/>
      <c r="S179" s="38"/>
      <c r="T179" s="72"/>
      <c r="U179" s="69" t="str">
        <f t="array" ref="U179">XLOOKUP('Results and Rankings'!$A179,'Core Values Input'!$A$2:$A$201,'Core Values Input'!$U$2:$U$201,0,0,)</f>
        <v>#VALUE!</v>
      </c>
      <c r="V179" s="69" t="str">
        <f t="array" ref="V179">XLOOKUP('Results and Rankings'!$A179,'Innovation Project Input'!$A$2:$A$201,'Innovation Project Input'!$M$2:$M$201,0,0,)</f>
        <v>#VALUE!</v>
      </c>
      <c r="W179" s="69" t="str">
        <f t="array" ref="W179">XLOOKUP('Results and Rankings'!$A179,'Robot Design Input'!$A$2:$A$201,'Robot Design Input'!$M$2:$M$201,0,0,)</f>
        <v>#VALUE!</v>
      </c>
      <c r="X179" s="73">
        <f>IF(ISERR(GEOMEAN('Results and Rankings'!$H179,'Results and Rankings'!$U179,'Results and Rankings'!$V179,'Results and Rankings'!$W179)),0,GEOMEAN('Results and Rankings'!$H179,'Results and Rankings'!$U179,'Results and Rankings'!$V179,'Results and Rankings'!$W179))</f>
        <v>0</v>
      </c>
      <c r="Y179" s="38">
        <f>IF(X179,_xlfn.RANK.EQ(X179,X$3:X$110,0),NumberOfTeams)</f>
        <v>0</v>
      </c>
      <c r="Z179" s="38"/>
    </row>
    <row r="180" ht="21.0" customHeight="1">
      <c r="A180" s="67" t="str">
        <f t="array" ref="A180">XLOOKUP(178,'Team and Program Information'!$B$3:$B$202,'Team and Program Information'!$C$3:$C$202,"ERROR",0)</f>
        <v/>
      </c>
      <c r="B180" s="68" t="str">
        <f t="array" ref="B180">XLOOKUP('Results and Rankings'!$A180,'Team and Program Information'!$C$3:$C$202,'Team and Program Information'!$D$3:$D$202,"",0,)</f>
        <v>#VALUE!</v>
      </c>
      <c r="C180" s="69" t="str">
        <f t="array" ref="C180">IF('Results and Rankings'!$A180="","",XLOOKUP('Results and Rankings'!$A180,'Robot Game Scores'!$B$2:$B$201,'Robot Game Scores'!$D$2:$D$201,0,0,))</f>
        <v/>
      </c>
      <c r="D180" s="69" t="str">
        <f t="array" ref="D180">IF('Results and Rankings'!$A180="","",XLOOKUP('Results and Rankings'!$A180,'Robot Game Scores'!$B$2:$B$201,'Robot Game Scores'!$E$2:$E$201,0,0,))</f>
        <v/>
      </c>
      <c r="E180" s="69" t="str">
        <f t="array" ref="E180">IF('Results and Rankings'!$A180="","",XLOOKUP('Results and Rankings'!$A180,'Robot Game Scores'!$B$2:$B$201,'Robot Game Scores'!$F$2:$F$201,0,0,))</f>
        <v/>
      </c>
      <c r="F180" s="69" t="str">
        <f t="array" ref="F180">IF('Results and Rankings'!$A180="","",XLOOKUP('Results and Rankings'!$A180,'Robot Game Scores'!$B$2:$B$201,'Robot Game Scores'!$G$2:$G$201,0,0,))</f>
        <v/>
      </c>
      <c r="G180" s="69" t="str">
        <f t="array" ref="G180">IF('Results and Rankings'!$A180="","",XLOOKUP('Results and Rankings'!$A180,'Robot Game Scores'!$B$2:$B$201,'Robot Game Scores'!$H$2:$H$201,0,0,))</f>
        <v/>
      </c>
      <c r="H180" s="69" t="str">
        <f>IF('Results and Rankings'!$A180="","",IF(ISNA(LARGE('Results and Rankings'!$C180:$G180,1)+0.0001*LARGE('Results and Rankings'!$C180:$G180,2)+0.0000001*LARGE('Results and Rankings'!$C180:$G180,3)+1E-11*LARGE('Results and Rankings'!$C180:$G180,4)+1E-14*LARGE('Results and Rankings'!$C180:$G180,5)),0,LARGE('Results and Rankings'!$C180:$G180,1)+0.0001*LARGE('Results and Rankings'!$C180:$G180,2)+0.0000001*LARGE('Results and Rankings'!$C180:$G180,3)+1E-11*LARGE('Results and Rankings'!$C180:$G180,4)+1E-14*LARGE('Results and Rankings'!$C180:$G180,5)))</f>
        <v/>
      </c>
      <c r="I180" s="69" t="str">
        <f>IF('Results and Rankings'!$A180="","",_xlfn.RANK.EQ('Results and Rankings'!$H180,'Results and Rankings'!$H$3:$H$202))</f>
        <v/>
      </c>
      <c r="J180" s="69" t="str">
        <f t="array" ref="J180">IF('Results and Rankings'!$A180="","",XLOOKUP('Results and Rankings'!$A180,'Core Values Input'!$A$2:$A$201,'Core Values Input'!$V$2:$V$201,NumberOfTeams+1,0,))</f>
        <v/>
      </c>
      <c r="K180" s="69" t="str">
        <f t="array" ref="K180">IF('Results and Rankings'!$A180="","",XLOOKUP('Results and Rankings'!$A180,'Innovation Project Input'!$A$2:$A$201,'Innovation Project Input'!$N$2:$N$201,NumberOfTeams+1,0,))</f>
        <v/>
      </c>
      <c r="L180" s="69" t="str">
        <f t="array" ref="L180">IF('Results and Rankings'!$A180="","",XLOOKUP('Results and Rankings'!$A180,'Robot Design Input'!$A$2:$A$201,'Robot Design Input'!$N$2:$N$201,NumberOfTeams+1,0,))</f>
        <v/>
      </c>
      <c r="M180" s="69" t="str">
        <f> IF('Results and Rankings'!$A180="","",IF('Results and Rankings'!$J180="",NumberOfTeams+1,'Results and Rankings'!$J180) + IF('Results and Rankings'!$K180="",NumberOfTeams+1,'Results and Rankings'!$K180) + IF('Results and Rankings'!$L180="",NumberOfTeams+1,'Results and Rankings'!$L180) + 'Results and Rankings'!$I180)</f>
        <v/>
      </c>
      <c r="N180" s="70" t="str">
        <f>IF('Results and Rankings'!$A180="","",IF(M180,RANK(M180,M$3:M$202,1)-COUNTIF(M$3:M$202,0),NumberOfTeams+1))</f>
        <v/>
      </c>
      <c r="O180" s="72" t="str">
        <f t="array" ref="O180">XLOOKUP('Results and Rankings'!$A180,'Core Values Input'!$A$2:$A$201,'Core Values Input'!$W$2:$W$201,0,0,)</f>
        <v>#VALUE!</v>
      </c>
      <c r="P180" s="72" t="str">
        <f t="array" ref="P180">XLOOKUP('Results and Rankings'!$A180,'Core Values Input'!$A$2:$A$201,'Core Values Input'!$X$2:$X$201,0,0,)</f>
        <v>#VALUE!</v>
      </c>
      <c r="Q180" s="72" t="str">
        <f t="array" ref="Q180">XLOOKUP('Results and Rankings'!$A180,'Core Values Input'!$A$2:$A$201,'Core Values Input'!$Y$2:$Y$201,0,0,)</f>
        <v>#VALUE!</v>
      </c>
      <c r="R180" s="38"/>
      <c r="S180" s="38"/>
      <c r="T180" s="72"/>
      <c r="U180" s="69" t="str">
        <f t="array" ref="U180">XLOOKUP('Results and Rankings'!$A180,'Core Values Input'!$A$2:$A$201,'Core Values Input'!$U$2:$U$201,0,0,)</f>
        <v>#VALUE!</v>
      </c>
      <c r="V180" s="69" t="str">
        <f t="array" ref="V180">XLOOKUP('Results and Rankings'!$A180,'Innovation Project Input'!$A$2:$A$201,'Innovation Project Input'!$M$2:$M$201,0,0,)</f>
        <v>#VALUE!</v>
      </c>
      <c r="W180" s="69" t="str">
        <f t="array" ref="W180">XLOOKUP('Results and Rankings'!$A180,'Robot Design Input'!$A$2:$A$201,'Robot Design Input'!$M$2:$M$201,0,0,)</f>
        <v>#VALUE!</v>
      </c>
      <c r="X180" s="73">
        <f>IF(ISERR(GEOMEAN('Results and Rankings'!$H180,'Results and Rankings'!$U180,'Results and Rankings'!$V180,'Results and Rankings'!$W180)),0,GEOMEAN('Results and Rankings'!$H180,'Results and Rankings'!$U180,'Results and Rankings'!$V180,'Results and Rankings'!$W180))</f>
        <v>0</v>
      </c>
      <c r="Y180" s="38">
        <f>IF(X180,_xlfn.RANK.EQ(X180,X$3:X$110,0),NumberOfTeams)</f>
        <v>0</v>
      </c>
      <c r="Z180" s="38"/>
    </row>
    <row r="181" ht="21.0" customHeight="1">
      <c r="A181" s="67" t="str">
        <f t="array" ref="A181">XLOOKUP(179,'Team and Program Information'!$B$3:$B$202,'Team and Program Information'!$C$3:$C$202,"ERROR",0)</f>
        <v/>
      </c>
      <c r="B181" s="68" t="str">
        <f t="array" ref="B181">XLOOKUP('Results and Rankings'!$A181,'Team and Program Information'!$C$3:$C$202,'Team and Program Information'!$D$3:$D$202,"",0,)</f>
        <v>#VALUE!</v>
      </c>
      <c r="C181" s="69" t="str">
        <f t="array" ref="C181">IF('Results and Rankings'!$A181="","",XLOOKUP('Results and Rankings'!$A181,'Robot Game Scores'!$B$2:$B$201,'Robot Game Scores'!$D$2:$D$201,0,0,))</f>
        <v/>
      </c>
      <c r="D181" s="69" t="str">
        <f t="array" ref="D181">IF('Results and Rankings'!$A181="","",XLOOKUP('Results and Rankings'!$A181,'Robot Game Scores'!$B$2:$B$201,'Robot Game Scores'!$E$2:$E$201,0,0,))</f>
        <v/>
      </c>
      <c r="E181" s="69" t="str">
        <f t="array" ref="E181">IF('Results and Rankings'!$A181="","",XLOOKUP('Results and Rankings'!$A181,'Robot Game Scores'!$B$2:$B$201,'Robot Game Scores'!$F$2:$F$201,0,0,))</f>
        <v/>
      </c>
      <c r="F181" s="69" t="str">
        <f t="array" ref="F181">IF('Results and Rankings'!$A181="","",XLOOKUP('Results and Rankings'!$A181,'Robot Game Scores'!$B$2:$B$201,'Robot Game Scores'!$G$2:$G$201,0,0,))</f>
        <v/>
      </c>
      <c r="G181" s="69" t="str">
        <f t="array" ref="G181">IF('Results and Rankings'!$A181="","",XLOOKUP('Results and Rankings'!$A181,'Robot Game Scores'!$B$2:$B$201,'Robot Game Scores'!$H$2:$H$201,0,0,))</f>
        <v/>
      </c>
      <c r="H181" s="69" t="str">
        <f>IF('Results and Rankings'!$A181="","",IF(ISNA(LARGE('Results and Rankings'!$C181:$G181,1)+0.0001*LARGE('Results and Rankings'!$C181:$G181,2)+0.0000001*LARGE('Results and Rankings'!$C181:$G181,3)+1E-11*LARGE('Results and Rankings'!$C181:$G181,4)+1E-14*LARGE('Results and Rankings'!$C181:$G181,5)),0,LARGE('Results and Rankings'!$C181:$G181,1)+0.0001*LARGE('Results and Rankings'!$C181:$G181,2)+0.0000001*LARGE('Results and Rankings'!$C181:$G181,3)+1E-11*LARGE('Results and Rankings'!$C181:$G181,4)+1E-14*LARGE('Results and Rankings'!$C181:$G181,5)))</f>
        <v/>
      </c>
      <c r="I181" s="69" t="str">
        <f>IF('Results and Rankings'!$A181="","",_xlfn.RANK.EQ('Results and Rankings'!$H181,'Results and Rankings'!$H$3:$H$202))</f>
        <v/>
      </c>
      <c r="J181" s="69" t="str">
        <f t="array" ref="J181">IF('Results and Rankings'!$A181="","",XLOOKUP('Results and Rankings'!$A181,'Core Values Input'!$A$2:$A$201,'Core Values Input'!$V$2:$V$201,NumberOfTeams+1,0,))</f>
        <v/>
      </c>
      <c r="K181" s="69" t="str">
        <f t="array" ref="K181">IF('Results and Rankings'!$A181="","",XLOOKUP('Results and Rankings'!$A181,'Innovation Project Input'!$A$2:$A$201,'Innovation Project Input'!$N$2:$N$201,NumberOfTeams+1,0,))</f>
        <v/>
      </c>
      <c r="L181" s="69" t="str">
        <f t="array" ref="L181">IF('Results and Rankings'!$A181="","",XLOOKUP('Results and Rankings'!$A181,'Robot Design Input'!$A$2:$A$201,'Robot Design Input'!$N$2:$N$201,NumberOfTeams+1,0,))</f>
        <v/>
      </c>
      <c r="M181" s="69" t="str">
        <f> IF('Results and Rankings'!$A181="","",IF('Results and Rankings'!$J181="",NumberOfTeams+1,'Results and Rankings'!$J181) + IF('Results and Rankings'!$K181="",NumberOfTeams+1,'Results and Rankings'!$K181) + IF('Results and Rankings'!$L181="",NumberOfTeams+1,'Results and Rankings'!$L181) + 'Results and Rankings'!$I181)</f>
        <v/>
      </c>
      <c r="N181" s="70" t="str">
        <f>IF('Results and Rankings'!$A181="","",IF(M181,RANK(M181,M$3:M$202,1)-COUNTIF(M$3:M$202,0),NumberOfTeams+1))</f>
        <v/>
      </c>
      <c r="O181" s="72" t="str">
        <f t="array" ref="O181">XLOOKUP('Results and Rankings'!$A181,'Core Values Input'!$A$2:$A$201,'Core Values Input'!$W$2:$W$201,0,0,)</f>
        <v>#VALUE!</v>
      </c>
      <c r="P181" s="72" t="str">
        <f t="array" ref="P181">XLOOKUP('Results and Rankings'!$A181,'Core Values Input'!$A$2:$A$201,'Core Values Input'!$X$2:$X$201,0,0,)</f>
        <v>#VALUE!</v>
      </c>
      <c r="Q181" s="72" t="str">
        <f t="array" ref="Q181">XLOOKUP('Results and Rankings'!$A181,'Core Values Input'!$A$2:$A$201,'Core Values Input'!$Y$2:$Y$201,0,0,)</f>
        <v>#VALUE!</v>
      </c>
      <c r="R181" s="38"/>
      <c r="S181" s="38"/>
      <c r="T181" s="72"/>
      <c r="U181" s="69" t="str">
        <f t="array" ref="U181">XLOOKUP('Results and Rankings'!$A181,'Core Values Input'!$A$2:$A$201,'Core Values Input'!$U$2:$U$201,0,0,)</f>
        <v>#VALUE!</v>
      </c>
      <c r="V181" s="69" t="str">
        <f t="array" ref="V181">XLOOKUP('Results and Rankings'!$A181,'Innovation Project Input'!$A$2:$A$201,'Innovation Project Input'!$M$2:$M$201,0,0,)</f>
        <v>#VALUE!</v>
      </c>
      <c r="W181" s="69" t="str">
        <f t="array" ref="W181">XLOOKUP('Results and Rankings'!$A181,'Robot Design Input'!$A$2:$A$201,'Robot Design Input'!$M$2:$M$201,0,0,)</f>
        <v>#VALUE!</v>
      </c>
      <c r="X181" s="73">
        <f>IF(ISERR(GEOMEAN('Results and Rankings'!$H181,'Results and Rankings'!$U181,'Results and Rankings'!$V181,'Results and Rankings'!$W181)),0,GEOMEAN('Results and Rankings'!$H181,'Results and Rankings'!$U181,'Results and Rankings'!$V181,'Results and Rankings'!$W181))</f>
        <v>0</v>
      </c>
      <c r="Y181" s="38">
        <f>IF(X181,_xlfn.RANK.EQ(X181,X$3:X$110,0),NumberOfTeams)</f>
        <v>0</v>
      </c>
      <c r="Z181" s="38"/>
    </row>
    <row r="182" ht="21.0" customHeight="1">
      <c r="A182" s="67" t="str">
        <f t="array" ref="A182">XLOOKUP(180,'Team and Program Information'!$B$3:$B$202,'Team and Program Information'!$C$3:$C$202,"ERROR",0)</f>
        <v/>
      </c>
      <c r="B182" s="68" t="str">
        <f t="array" ref="B182">XLOOKUP('Results and Rankings'!$A182,'Team and Program Information'!$C$3:$C$202,'Team and Program Information'!$D$3:$D$202,"",0,)</f>
        <v>#VALUE!</v>
      </c>
      <c r="C182" s="69" t="str">
        <f t="array" ref="C182">IF('Results and Rankings'!$A182="","",XLOOKUP('Results and Rankings'!$A182,'Robot Game Scores'!$B$2:$B$201,'Robot Game Scores'!$D$2:$D$201,0,0,))</f>
        <v/>
      </c>
      <c r="D182" s="69" t="str">
        <f t="array" ref="D182">IF('Results and Rankings'!$A182="","",XLOOKUP('Results and Rankings'!$A182,'Robot Game Scores'!$B$2:$B$201,'Robot Game Scores'!$E$2:$E$201,0,0,))</f>
        <v/>
      </c>
      <c r="E182" s="69" t="str">
        <f t="array" ref="E182">IF('Results and Rankings'!$A182="","",XLOOKUP('Results and Rankings'!$A182,'Robot Game Scores'!$B$2:$B$201,'Robot Game Scores'!$F$2:$F$201,0,0,))</f>
        <v/>
      </c>
      <c r="F182" s="69" t="str">
        <f t="array" ref="F182">IF('Results and Rankings'!$A182="","",XLOOKUP('Results and Rankings'!$A182,'Robot Game Scores'!$B$2:$B$201,'Robot Game Scores'!$G$2:$G$201,0,0,))</f>
        <v/>
      </c>
      <c r="G182" s="69" t="str">
        <f t="array" ref="G182">IF('Results and Rankings'!$A182="","",XLOOKUP('Results and Rankings'!$A182,'Robot Game Scores'!$B$2:$B$201,'Robot Game Scores'!$H$2:$H$201,0,0,))</f>
        <v/>
      </c>
      <c r="H182" s="69" t="str">
        <f>IF('Results and Rankings'!$A182="","",IF(ISNA(LARGE('Results and Rankings'!$C182:$G182,1)+0.0001*LARGE('Results and Rankings'!$C182:$G182,2)+0.0000001*LARGE('Results and Rankings'!$C182:$G182,3)+1E-11*LARGE('Results and Rankings'!$C182:$G182,4)+1E-14*LARGE('Results and Rankings'!$C182:$G182,5)),0,LARGE('Results and Rankings'!$C182:$G182,1)+0.0001*LARGE('Results and Rankings'!$C182:$G182,2)+0.0000001*LARGE('Results and Rankings'!$C182:$G182,3)+1E-11*LARGE('Results and Rankings'!$C182:$G182,4)+1E-14*LARGE('Results and Rankings'!$C182:$G182,5)))</f>
        <v/>
      </c>
      <c r="I182" s="69" t="str">
        <f>IF('Results and Rankings'!$A182="","",_xlfn.RANK.EQ('Results and Rankings'!$H182,'Results and Rankings'!$H$3:$H$202))</f>
        <v/>
      </c>
      <c r="J182" s="69" t="str">
        <f t="array" ref="J182">IF('Results and Rankings'!$A182="","",XLOOKUP('Results and Rankings'!$A182,'Core Values Input'!$A$2:$A$201,'Core Values Input'!$V$2:$V$201,NumberOfTeams+1,0,))</f>
        <v/>
      </c>
      <c r="K182" s="69" t="str">
        <f t="array" ref="K182">IF('Results and Rankings'!$A182="","",XLOOKUP('Results and Rankings'!$A182,'Innovation Project Input'!$A$2:$A$201,'Innovation Project Input'!$N$2:$N$201,NumberOfTeams+1,0,))</f>
        <v/>
      </c>
      <c r="L182" s="69" t="str">
        <f t="array" ref="L182">IF('Results and Rankings'!$A182="","",XLOOKUP('Results and Rankings'!$A182,'Robot Design Input'!$A$2:$A$201,'Robot Design Input'!$N$2:$N$201,NumberOfTeams+1,0,))</f>
        <v/>
      </c>
      <c r="M182" s="69" t="str">
        <f> IF('Results and Rankings'!$A182="","",IF('Results and Rankings'!$J182="",NumberOfTeams+1,'Results and Rankings'!$J182) + IF('Results and Rankings'!$K182="",NumberOfTeams+1,'Results and Rankings'!$K182) + IF('Results and Rankings'!$L182="",NumberOfTeams+1,'Results and Rankings'!$L182) + 'Results and Rankings'!$I182)</f>
        <v/>
      </c>
      <c r="N182" s="70" t="str">
        <f>IF('Results and Rankings'!$A182="","",IF(M182,RANK(M182,M$3:M$202,1)-COUNTIF(M$3:M$202,0),NumberOfTeams+1))</f>
        <v/>
      </c>
      <c r="O182" s="72" t="str">
        <f t="array" ref="O182">XLOOKUP('Results and Rankings'!$A182,'Core Values Input'!$A$2:$A$201,'Core Values Input'!$W$2:$W$201,0,0,)</f>
        <v>#VALUE!</v>
      </c>
      <c r="P182" s="72" t="str">
        <f t="array" ref="P182">XLOOKUP('Results and Rankings'!$A182,'Core Values Input'!$A$2:$A$201,'Core Values Input'!$X$2:$X$201,0,0,)</f>
        <v>#VALUE!</v>
      </c>
      <c r="Q182" s="72" t="str">
        <f t="array" ref="Q182">XLOOKUP('Results and Rankings'!$A182,'Core Values Input'!$A$2:$A$201,'Core Values Input'!$Y$2:$Y$201,0,0,)</f>
        <v>#VALUE!</v>
      </c>
      <c r="R182" s="38"/>
      <c r="S182" s="38"/>
      <c r="T182" s="72"/>
      <c r="U182" s="69" t="str">
        <f t="array" ref="U182">XLOOKUP('Results and Rankings'!$A182,'Core Values Input'!$A$2:$A$201,'Core Values Input'!$U$2:$U$201,0,0,)</f>
        <v>#VALUE!</v>
      </c>
      <c r="V182" s="69" t="str">
        <f t="array" ref="V182">XLOOKUP('Results and Rankings'!$A182,'Innovation Project Input'!$A$2:$A$201,'Innovation Project Input'!$M$2:$M$201,0,0,)</f>
        <v>#VALUE!</v>
      </c>
      <c r="W182" s="69" t="str">
        <f t="array" ref="W182">XLOOKUP('Results and Rankings'!$A182,'Robot Design Input'!$A$2:$A$201,'Robot Design Input'!$M$2:$M$201,0,0,)</f>
        <v>#VALUE!</v>
      </c>
      <c r="X182" s="73">
        <f>IF(ISERR(GEOMEAN('Results and Rankings'!$H182,'Results and Rankings'!$U182,'Results and Rankings'!$V182,'Results and Rankings'!$W182)),0,GEOMEAN('Results and Rankings'!$H182,'Results and Rankings'!$U182,'Results and Rankings'!$V182,'Results and Rankings'!$W182))</f>
        <v>0</v>
      </c>
      <c r="Y182" s="38">
        <f>IF(X182,_xlfn.RANK.EQ(X182,X$3:X$110,0),NumberOfTeams)</f>
        <v>0</v>
      </c>
      <c r="Z182" s="38"/>
    </row>
    <row r="183" ht="21.0" customHeight="1">
      <c r="A183" s="67" t="str">
        <f t="array" ref="A183">XLOOKUP(181,'Team and Program Information'!$B$3:$B$202,'Team and Program Information'!$C$3:$C$202,"ERROR",0)</f>
        <v/>
      </c>
      <c r="B183" s="68" t="str">
        <f t="array" ref="B183">XLOOKUP('Results and Rankings'!$A183,'Team and Program Information'!$C$3:$C$202,'Team and Program Information'!$D$3:$D$202,"",0,)</f>
        <v>#VALUE!</v>
      </c>
      <c r="C183" s="69" t="str">
        <f t="array" ref="C183">IF('Results and Rankings'!$A183="","",XLOOKUP('Results and Rankings'!$A183,'Robot Game Scores'!$B$2:$B$201,'Robot Game Scores'!$D$2:$D$201,0,0,))</f>
        <v/>
      </c>
      <c r="D183" s="69" t="str">
        <f t="array" ref="D183">IF('Results and Rankings'!$A183="","",XLOOKUP('Results and Rankings'!$A183,'Robot Game Scores'!$B$2:$B$201,'Robot Game Scores'!$E$2:$E$201,0,0,))</f>
        <v/>
      </c>
      <c r="E183" s="69" t="str">
        <f t="array" ref="E183">IF('Results and Rankings'!$A183="","",XLOOKUP('Results and Rankings'!$A183,'Robot Game Scores'!$B$2:$B$201,'Robot Game Scores'!$F$2:$F$201,0,0,))</f>
        <v/>
      </c>
      <c r="F183" s="69" t="str">
        <f t="array" ref="F183">IF('Results and Rankings'!$A183="","",XLOOKUP('Results and Rankings'!$A183,'Robot Game Scores'!$B$2:$B$201,'Robot Game Scores'!$G$2:$G$201,0,0,))</f>
        <v/>
      </c>
      <c r="G183" s="69" t="str">
        <f t="array" ref="G183">IF('Results and Rankings'!$A183="","",XLOOKUP('Results and Rankings'!$A183,'Robot Game Scores'!$B$2:$B$201,'Robot Game Scores'!$H$2:$H$201,0,0,))</f>
        <v/>
      </c>
      <c r="H183" s="69" t="str">
        <f>IF('Results and Rankings'!$A183="","",IF(ISNA(LARGE('Results and Rankings'!$C183:$G183,1)+0.0001*LARGE('Results and Rankings'!$C183:$G183,2)+0.0000001*LARGE('Results and Rankings'!$C183:$G183,3)+1E-11*LARGE('Results and Rankings'!$C183:$G183,4)+1E-14*LARGE('Results and Rankings'!$C183:$G183,5)),0,LARGE('Results and Rankings'!$C183:$G183,1)+0.0001*LARGE('Results and Rankings'!$C183:$G183,2)+0.0000001*LARGE('Results and Rankings'!$C183:$G183,3)+1E-11*LARGE('Results and Rankings'!$C183:$G183,4)+1E-14*LARGE('Results and Rankings'!$C183:$G183,5)))</f>
        <v/>
      </c>
      <c r="I183" s="69" t="str">
        <f>IF('Results and Rankings'!$A183="","",_xlfn.RANK.EQ('Results and Rankings'!$H183,'Results and Rankings'!$H$3:$H$202))</f>
        <v/>
      </c>
      <c r="J183" s="69" t="str">
        <f t="array" ref="J183">IF('Results and Rankings'!$A183="","",XLOOKUP('Results and Rankings'!$A183,'Core Values Input'!$A$2:$A$201,'Core Values Input'!$V$2:$V$201,NumberOfTeams+1,0,))</f>
        <v/>
      </c>
      <c r="K183" s="69" t="str">
        <f t="array" ref="K183">IF('Results and Rankings'!$A183="","",XLOOKUP('Results and Rankings'!$A183,'Innovation Project Input'!$A$2:$A$201,'Innovation Project Input'!$N$2:$N$201,NumberOfTeams+1,0,))</f>
        <v/>
      </c>
      <c r="L183" s="69" t="str">
        <f t="array" ref="L183">IF('Results and Rankings'!$A183="","",XLOOKUP('Results and Rankings'!$A183,'Robot Design Input'!$A$2:$A$201,'Robot Design Input'!$N$2:$N$201,NumberOfTeams+1,0,))</f>
        <v/>
      </c>
      <c r="M183" s="69" t="str">
        <f> IF('Results and Rankings'!$A183="","",IF('Results and Rankings'!$J183="",NumberOfTeams+1,'Results and Rankings'!$J183) + IF('Results and Rankings'!$K183="",NumberOfTeams+1,'Results and Rankings'!$K183) + IF('Results and Rankings'!$L183="",NumberOfTeams+1,'Results and Rankings'!$L183) + 'Results and Rankings'!$I183)</f>
        <v/>
      </c>
      <c r="N183" s="70" t="str">
        <f>IF('Results and Rankings'!$A183="","",IF(M183,RANK(M183,M$3:M$202,1)-COUNTIF(M$3:M$202,0),NumberOfTeams+1))</f>
        <v/>
      </c>
      <c r="O183" s="72" t="str">
        <f t="array" ref="O183">XLOOKUP('Results and Rankings'!$A183,'Core Values Input'!$A$2:$A$201,'Core Values Input'!$W$2:$W$201,0,0,)</f>
        <v>#VALUE!</v>
      </c>
      <c r="P183" s="72" t="str">
        <f t="array" ref="P183">XLOOKUP('Results and Rankings'!$A183,'Core Values Input'!$A$2:$A$201,'Core Values Input'!$X$2:$X$201,0,0,)</f>
        <v>#VALUE!</v>
      </c>
      <c r="Q183" s="72" t="str">
        <f t="array" ref="Q183">XLOOKUP('Results and Rankings'!$A183,'Core Values Input'!$A$2:$A$201,'Core Values Input'!$Y$2:$Y$201,0,0,)</f>
        <v>#VALUE!</v>
      </c>
      <c r="R183" s="38"/>
      <c r="S183" s="38"/>
      <c r="T183" s="72"/>
      <c r="U183" s="69" t="str">
        <f t="array" ref="U183">XLOOKUP('Results and Rankings'!$A183,'Core Values Input'!$A$2:$A$201,'Core Values Input'!$U$2:$U$201,0,0,)</f>
        <v>#VALUE!</v>
      </c>
      <c r="V183" s="69" t="str">
        <f t="array" ref="V183">XLOOKUP('Results and Rankings'!$A183,'Innovation Project Input'!$A$2:$A$201,'Innovation Project Input'!$M$2:$M$201,0,0,)</f>
        <v>#VALUE!</v>
      </c>
      <c r="W183" s="69" t="str">
        <f t="array" ref="W183">XLOOKUP('Results and Rankings'!$A183,'Robot Design Input'!$A$2:$A$201,'Robot Design Input'!$M$2:$M$201,0,0,)</f>
        <v>#VALUE!</v>
      </c>
      <c r="X183" s="73">
        <f>IF(ISERR(GEOMEAN('Results and Rankings'!$H183,'Results and Rankings'!$U183,'Results and Rankings'!$V183,'Results and Rankings'!$W183)),0,GEOMEAN('Results and Rankings'!$H183,'Results and Rankings'!$U183,'Results and Rankings'!$V183,'Results and Rankings'!$W183))</f>
        <v>0</v>
      </c>
      <c r="Y183" s="38">
        <f>IF(X183,_xlfn.RANK.EQ(X183,X$3:X$110,0),NumberOfTeams)</f>
        <v>0</v>
      </c>
      <c r="Z183" s="38"/>
    </row>
    <row r="184" ht="21.0" customHeight="1">
      <c r="A184" s="67" t="str">
        <f t="array" ref="A184">XLOOKUP(182,'Team and Program Information'!$B$3:$B$202,'Team and Program Information'!$C$3:$C$202,"ERROR",0)</f>
        <v/>
      </c>
      <c r="B184" s="68" t="str">
        <f t="array" ref="B184">XLOOKUP('Results and Rankings'!$A184,'Team and Program Information'!$C$3:$C$202,'Team and Program Information'!$D$3:$D$202,"",0,)</f>
        <v>#VALUE!</v>
      </c>
      <c r="C184" s="69" t="str">
        <f t="array" ref="C184">IF('Results and Rankings'!$A184="","",XLOOKUP('Results and Rankings'!$A184,'Robot Game Scores'!$B$2:$B$201,'Robot Game Scores'!$D$2:$D$201,0,0,))</f>
        <v/>
      </c>
      <c r="D184" s="69" t="str">
        <f t="array" ref="D184">IF('Results and Rankings'!$A184="","",XLOOKUP('Results and Rankings'!$A184,'Robot Game Scores'!$B$2:$B$201,'Robot Game Scores'!$E$2:$E$201,0,0,))</f>
        <v/>
      </c>
      <c r="E184" s="69" t="str">
        <f t="array" ref="E184">IF('Results and Rankings'!$A184="","",XLOOKUP('Results and Rankings'!$A184,'Robot Game Scores'!$B$2:$B$201,'Robot Game Scores'!$F$2:$F$201,0,0,))</f>
        <v/>
      </c>
      <c r="F184" s="69" t="str">
        <f t="array" ref="F184">IF('Results and Rankings'!$A184="","",XLOOKUP('Results and Rankings'!$A184,'Robot Game Scores'!$B$2:$B$201,'Robot Game Scores'!$G$2:$G$201,0,0,))</f>
        <v/>
      </c>
      <c r="G184" s="69" t="str">
        <f t="array" ref="G184">IF('Results and Rankings'!$A184="","",XLOOKUP('Results and Rankings'!$A184,'Robot Game Scores'!$B$2:$B$201,'Robot Game Scores'!$H$2:$H$201,0,0,))</f>
        <v/>
      </c>
      <c r="H184" s="69" t="str">
        <f>IF('Results and Rankings'!$A184="","",IF(ISNA(LARGE('Results and Rankings'!$C184:$G184,1)+0.0001*LARGE('Results and Rankings'!$C184:$G184,2)+0.0000001*LARGE('Results and Rankings'!$C184:$G184,3)+1E-11*LARGE('Results and Rankings'!$C184:$G184,4)+1E-14*LARGE('Results and Rankings'!$C184:$G184,5)),0,LARGE('Results and Rankings'!$C184:$G184,1)+0.0001*LARGE('Results and Rankings'!$C184:$G184,2)+0.0000001*LARGE('Results and Rankings'!$C184:$G184,3)+1E-11*LARGE('Results and Rankings'!$C184:$G184,4)+1E-14*LARGE('Results and Rankings'!$C184:$G184,5)))</f>
        <v/>
      </c>
      <c r="I184" s="69" t="str">
        <f>IF('Results and Rankings'!$A184="","",_xlfn.RANK.EQ('Results and Rankings'!$H184,'Results and Rankings'!$H$3:$H$202))</f>
        <v/>
      </c>
      <c r="J184" s="69" t="str">
        <f t="array" ref="J184">IF('Results and Rankings'!$A184="","",XLOOKUP('Results and Rankings'!$A184,'Core Values Input'!$A$2:$A$201,'Core Values Input'!$V$2:$V$201,NumberOfTeams+1,0,))</f>
        <v/>
      </c>
      <c r="K184" s="69" t="str">
        <f t="array" ref="K184">IF('Results and Rankings'!$A184="","",XLOOKUP('Results and Rankings'!$A184,'Innovation Project Input'!$A$2:$A$201,'Innovation Project Input'!$N$2:$N$201,NumberOfTeams+1,0,))</f>
        <v/>
      </c>
      <c r="L184" s="69" t="str">
        <f t="array" ref="L184">IF('Results and Rankings'!$A184="","",XLOOKUP('Results and Rankings'!$A184,'Robot Design Input'!$A$2:$A$201,'Robot Design Input'!$N$2:$N$201,NumberOfTeams+1,0,))</f>
        <v/>
      </c>
      <c r="M184" s="69" t="str">
        <f> IF('Results and Rankings'!$A184="","",IF('Results and Rankings'!$J184="",NumberOfTeams+1,'Results and Rankings'!$J184) + IF('Results and Rankings'!$K184="",NumberOfTeams+1,'Results and Rankings'!$K184) + IF('Results and Rankings'!$L184="",NumberOfTeams+1,'Results and Rankings'!$L184) + 'Results and Rankings'!$I184)</f>
        <v/>
      </c>
      <c r="N184" s="70" t="str">
        <f>IF('Results and Rankings'!$A184="","",IF(M184,RANK(M184,M$3:M$202,1)-COUNTIF(M$3:M$202,0),NumberOfTeams+1))</f>
        <v/>
      </c>
      <c r="O184" s="72" t="str">
        <f t="array" ref="O184">XLOOKUP('Results and Rankings'!$A184,'Core Values Input'!$A$2:$A$201,'Core Values Input'!$W$2:$W$201,0,0,)</f>
        <v>#VALUE!</v>
      </c>
      <c r="P184" s="72" t="str">
        <f t="array" ref="P184">XLOOKUP('Results and Rankings'!$A184,'Core Values Input'!$A$2:$A$201,'Core Values Input'!$X$2:$X$201,0,0,)</f>
        <v>#VALUE!</v>
      </c>
      <c r="Q184" s="72" t="str">
        <f t="array" ref="Q184">XLOOKUP('Results and Rankings'!$A184,'Core Values Input'!$A$2:$A$201,'Core Values Input'!$Y$2:$Y$201,0,0,)</f>
        <v>#VALUE!</v>
      </c>
      <c r="R184" s="38"/>
      <c r="S184" s="38"/>
      <c r="T184" s="72"/>
      <c r="U184" s="69" t="str">
        <f t="array" ref="U184">XLOOKUP('Results and Rankings'!$A184,'Core Values Input'!$A$2:$A$201,'Core Values Input'!$U$2:$U$201,0,0,)</f>
        <v>#VALUE!</v>
      </c>
      <c r="V184" s="69" t="str">
        <f t="array" ref="V184">XLOOKUP('Results and Rankings'!$A184,'Innovation Project Input'!$A$2:$A$201,'Innovation Project Input'!$M$2:$M$201,0,0,)</f>
        <v>#VALUE!</v>
      </c>
      <c r="W184" s="69" t="str">
        <f t="array" ref="W184">XLOOKUP('Results and Rankings'!$A184,'Robot Design Input'!$A$2:$A$201,'Robot Design Input'!$M$2:$M$201,0,0,)</f>
        <v>#VALUE!</v>
      </c>
      <c r="X184" s="73">
        <f>IF(ISERR(GEOMEAN('Results and Rankings'!$H184,'Results and Rankings'!$U184,'Results and Rankings'!$V184,'Results and Rankings'!$W184)),0,GEOMEAN('Results and Rankings'!$H184,'Results and Rankings'!$U184,'Results and Rankings'!$V184,'Results and Rankings'!$W184))</f>
        <v>0</v>
      </c>
      <c r="Y184" s="38">
        <f>IF(X184,_xlfn.RANK.EQ(X184,X$3:X$110,0),NumberOfTeams)</f>
        <v>0</v>
      </c>
      <c r="Z184" s="38"/>
    </row>
    <row r="185" ht="21.0" customHeight="1">
      <c r="A185" s="67" t="str">
        <f t="array" ref="A185">XLOOKUP(183,'Team and Program Information'!$B$3:$B$202,'Team and Program Information'!$C$3:$C$202,"ERROR",0)</f>
        <v/>
      </c>
      <c r="B185" s="68" t="str">
        <f t="array" ref="B185">XLOOKUP('Results and Rankings'!$A185,'Team and Program Information'!$C$3:$C$202,'Team and Program Information'!$D$3:$D$202,"",0,)</f>
        <v>#VALUE!</v>
      </c>
      <c r="C185" s="69" t="str">
        <f t="array" ref="C185">IF('Results and Rankings'!$A185="","",XLOOKUP('Results and Rankings'!$A185,'Robot Game Scores'!$B$2:$B$201,'Robot Game Scores'!$D$2:$D$201,0,0,))</f>
        <v/>
      </c>
      <c r="D185" s="69" t="str">
        <f t="array" ref="D185">IF('Results and Rankings'!$A185="","",XLOOKUP('Results and Rankings'!$A185,'Robot Game Scores'!$B$2:$B$201,'Robot Game Scores'!$E$2:$E$201,0,0,))</f>
        <v/>
      </c>
      <c r="E185" s="69" t="str">
        <f t="array" ref="E185">IF('Results and Rankings'!$A185="","",XLOOKUP('Results and Rankings'!$A185,'Robot Game Scores'!$B$2:$B$201,'Robot Game Scores'!$F$2:$F$201,0,0,))</f>
        <v/>
      </c>
      <c r="F185" s="69" t="str">
        <f t="array" ref="F185">IF('Results and Rankings'!$A185="","",XLOOKUP('Results and Rankings'!$A185,'Robot Game Scores'!$B$2:$B$201,'Robot Game Scores'!$G$2:$G$201,0,0,))</f>
        <v/>
      </c>
      <c r="G185" s="69" t="str">
        <f t="array" ref="G185">IF('Results and Rankings'!$A185="","",XLOOKUP('Results and Rankings'!$A185,'Robot Game Scores'!$B$2:$B$201,'Robot Game Scores'!$H$2:$H$201,0,0,))</f>
        <v/>
      </c>
      <c r="H185" s="69" t="str">
        <f>IF('Results and Rankings'!$A185="","",IF(ISNA(LARGE('Results and Rankings'!$C185:$G185,1)+0.0001*LARGE('Results and Rankings'!$C185:$G185,2)+0.0000001*LARGE('Results and Rankings'!$C185:$G185,3)+1E-11*LARGE('Results and Rankings'!$C185:$G185,4)+1E-14*LARGE('Results and Rankings'!$C185:$G185,5)),0,LARGE('Results and Rankings'!$C185:$G185,1)+0.0001*LARGE('Results and Rankings'!$C185:$G185,2)+0.0000001*LARGE('Results and Rankings'!$C185:$G185,3)+1E-11*LARGE('Results and Rankings'!$C185:$G185,4)+1E-14*LARGE('Results and Rankings'!$C185:$G185,5)))</f>
        <v/>
      </c>
      <c r="I185" s="69" t="str">
        <f>IF('Results and Rankings'!$A185="","",_xlfn.RANK.EQ('Results and Rankings'!$H185,'Results and Rankings'!$H$3:$H$202))</f>
        <v/>
      </c>
      <c r="J185" s="69" t="str">
        <f t="array" ref="J185">IF('Results and Rankings'!$A185="","",XLOOKUP('Results and Rankings'!$A185,'Core Values Input'!$A$2:$A$201,'Core Values Input'!$V$2:$V$201,NumberOfTeams+1,0,))</f>
        <v/>
      </c>
      <c r="K185" s="69" t="str">
        <f t="array" ref="K185">IF('Results and Rankings'!$A185="","",XLOOKUP('Results and Rankings'!$A185,'Innovation Project Input'!$A$2:$A$201,'Innovation Project Input'!$N$2:$N$201,NumberOfTeams+1,0,))</f>
        <v/>
      </c>
      <c r="L185" s="69" t="str">
        <f t="array" ref="L185">IF('Results and Rankings'!$A185="","",XLOOKUP('Results and Rankings'!$A185,'Robot Design Input'!$A$2:$A$201,'Robot Design Input'!$N$2:$N$201,NumberOfTeams+1,0,))</f>
        <v/>
      </c>
      <c r="M185" s="69" t="str">
        <f> IF('Results and Rankings'!$A185="","",IF('Results and Rankings'!$J185="",NumberOfTeams+1,'Results and Rankings'!$J185) + IF('Results and Rankings'!$K185="",NumberOfTeams+1,'Results and Rankings'!$K185) + IF('Results and Rankings'!$L185="",NumberOfTeams+1,'Results and Rankings'!$L185) + 'Results and Rankings'!$I185)</f>
        <v/>
      </c>
      <c r="N185" s="70" t="str">
        <f>IF('Results and Rankings'!$A185="","",IF(M185,RANK(M185,M$3:M$202,1)-COUNTIF(M$3:M$202,0),NumberOfTeams+1))</f>
        <v/>
      </c>
      <c r="O185" s="72" t="str">
        <f t="array" ref="O185">XLOOKUP('Results and Rankings'!$A185,'Core Values Input'!$A$2:$A$201,'Core Values Input'!$W$2:$W$201,0,0,)</f>
        <v>#VALUE!</v>
      </c>
      <c r="P185" s="72" t="str">
        <f t="array" ref="P185">XLOOKUP('Results and Rankings'!$A185,'Core Values Input'!$A$2:$A$201,'Core Values Input'!$X$2:$X$201,0,0,)</f>
        <v>#VALUE!</v>
      </c>
      <c r="Q185" s="72" t="str">
        <f t="array" ref="Q185">XLOOKUP('Results and Rankings'!$A185,'Core Values Input'!$A$2:$A$201,'Core Values Input'!$Y$2:$Y$201,0,0,)</f>
        <v>#VALUE!</v>
      </c>
      <c r="R185" s="38"/>
      <c r="S185" s="38"/>
      <c r="T185" s="72"/>
      <c r="U185" s="69" t="str">
        <f t="array" ref="U185">XLOOKUP('Results and Rankings'!$A185,'Core Values Input'!$A$2:$A$201,'Core Values Input'!$U$2:$U$201,0,0,)</f>
        <v>#VALUE!</v>
      </c>
      <c r="V185" s="69" t="str">
        <f t="array" ref="V185">XLOOKUP('Results and Rankings'!$A185,'Innovation Project Input'!$A$2:$A$201,'Innovation Project Input'!$M$2:$M$201,0,0,)</f>
        <v>#VALUE!</v>
      </c>
      <c r="W185" s="69" t="str">
        <f t="array" ref="W185">XLOOKUP('Results and Rankings'!$A185,'Robot Design Input'!$A$2:$A$201,'Robot Design Input'!$M$2:$M$201,0,0,)</f>
        <v>#VALUE!</v>
      </c>
      <c r="X185" s="73">
        <f>IF(ISERR(GEOMEAN('Results and Rankings'!$H185,'Results and Rankings'!$U185,'Results and Rankings'!$V185,'Results and Rankings'!$W185)),0,GEOMEAN('Results and Rankings'!$H185,'Results and Rankings'!$U185,'Results and Rankings'!$V185,'Results and Rankings'!$W185))</f>
        <v>0</v>
      </c>
      <c r="Y185" s="38">
        <f>IF(X185,_xlfn.RANK.EQ(X185,X$3:X$110,0),NumberOfTeams)</f>
        <v>0</v>
      </c>
      <c r="Z185" s="38"/>
    </row>
    <row r="186" ht="21.0" customHeight="1">
      <c r="A186" s="67" t="str">
        <f t="array" ref="A186">XLOOKUP(184,'Team and Program Information'!$B$3:$B$202,'Team and Program Information'!$C$3:$C$202,"ERROR",0)</f>
        <v/>
      </c>
      <c r="B186" s="68" t="str">
        <f t="array" ref="B186">XLOOKUP('Results and Rankings'!$A186,'Team and Program Information'!$C$3:$C$202,'Team and Program Information'!$D$3:$D$202,"",0,)</f>
        <v>#VALUE!</v>
      </c>
      <c r="C186" s="69" t="str">
        <f t="array" ref="C186">IF('Results and Rankings'!$A186="","",XLOOKUP('Results and Rankings'!$A186,'Robot Game Scores'!$B$2:$B$201,'Robot Game Scores'!$D$2:$D$201,0,0,))</f>
        <v/>
      </c>
      <c r="D186" s="69" t="str">
        <f t="array" ref="D186">IF('Results and Rankings'!$A186="","",XLOOKUP('Results and Rankings'!$A186,'Robot Game Scores'!$B$2:$B$201,'Robot Game Scores'!$E$2:$E$201,0,0,))</f>
        <v/>
      </c>
      <c r="E186" s="69" t="str">
        <f t="array" ref="E186">IF('Results and Rankings'!$A186="","",XLOOKUP('Results and Rankings'!$A186,'Robot Game Scores'!$B$2:$B$201,'Robot Game Scores'!$F$2:$F$201,0,0,))</f>
        <v/>
      </c>
      <c r="F186" s="69" t="str">
        <f t="array" ref="F186">IF('Results and Rankings'!$A186="","",XLOOKUP('Results and Rankings'!$A186,'Robot Game Scores'!$B$2:$B$201,'Robot Game Scores'!$G$2:$G$201,0,0,))</f>
        <v/>
      </c>
      <c r="G186" s="69" t="str">
        <f t="array" ref="G186">IF('Results and Rankings'!$A186="","",XLOOKUP('Results and Rankings'!$A186,'Robot Game Scores'!$B$2:$B$201,'Robot Game Scores'!$H$2:$H$201,0,0,))</f>
        <v/>
      </c>
      <c r="H186" s="69" t="str">
        <f>IF('Results and Rankings'!$A186="","",IF(ISNA(LARGE('Results and Rankings'!$C186:$G186,1)+0.0001*LARGE('Results and Rankings'!$C186:$G186,2)+0.0000001*LARGE('Results and Rankings'!$C186:$G186,3)+1E-11*LARGE('Results and Rankings'!$C186:$G186,4)+1E-14*LARGE('Results and Rankings'!$C186:$G186,5)),0,LARGE('Results and Rankings'!$C186:$G186,1)+0.0001*LARGE('Results and Rankings'!$C186:$G186,2)+0.0000001*LARGE('Results and Rankings'!$C186:$G186,3)+1E-11*LARGE('Results and Rankings'!$C186:$G186,4)+1E-14*LARGE('Results and Rankings'!$C186:$G186,5)))</f>
        <v/>
      </c>
      <c r="I186" s="69" t="str">
        <f>IF('Results and Rankings'!$A186="","",_xlfn.RANK.EQ('Results and Rankings'!$H186,'Results and Rankings'!$H$3:$H$202))</f>
        <v/>
      </c>
      <c r="J186" s="69" t="str">
        <f t="array" ref="J186">IF('Results and Rankings'!$A186="","",XLOOKUP('Results and Rankings'!$A186,'Core Values Input'!$A$2:$A$201,'Core Values Input'!$V$2:$V$201,NumberOfTeams+1,0,))</f>
        <v/>
      </c>
      <c r="K186" s="69" t="str">
        <f t="array" ref="K186">IF('Results and Rankings'!$A186="","",XLOOKUP('Results and Rankings'!$A186,'Innovation Project Input'!$A$2:$A$201,'Innovation Project Input'!$N$2:$N$201,NumberOfTeams+1,0,))</f>
        <v/>
      </c>
      <c r="L186" s="69" t="str">
        <f t="array" ref="L186">IF('Results and Rankings'!$A186="","",XLOOKUP('Results and Rankings'!$A186,'Robot Design Input'!$A$2:$A$201,'Robot Design Input'!$N$2:$N$201,NumberOfTeams+1,0,))</f>
        <v/>
      </c>
      <c r="M186" s="69" t="str">
        <f> IF('Results and Rankings'!$A186="","",IF('Results and Rankings'!$J186="",NumberOfTeams+1,'Results and Rankings'!$J186) + IF('Results and Rankings'!$K186="",NumberOfTeams+1,'Results and Rankings'!$K186) + IF('Results and Rankings'!$L186="",NumberOfTeams+1,'Results and Rankings'!$L186) + 'Results and Rankings'!$I186)</f>
        <v/>
      </c>
      <c r="N186" s="70" t="str">
        <f>IF('Results and Rankings'!$A186="","",IF(M186,RANK(M186,M$3:M$202,1)-COUNTIF(M$3:M$202,0),NumberOfTeams+1))</f>
        <v/>
      </c>
      <c r="O186" s="72" t="str">
        <f t="array" ref="O186">XLOOKUP('Results and Rankings'!$A186,'Core Values Input'!$A$2:$A$201,'Core Values Input'!$W$2:$W$201,0,0,)</f>
        <v>#VALUE!</v>
      </c>
      <c r="P186" s="72" t="str">
        <f t="array" ref="P186">XLOOKUP('Results and Rankings'!$A186,'Core Values Input'!$A$2:$A$201,'Core Values Input'!$X$2:$X$201,0,0,)</f>
        <v>#VALUE!</v>
      </c>
      <c r="Q186" s="72" t="str">
        <f t="array" ref="Q186">XLOOKUP('Results and Rankings'!$A186,'Core Values Input'!$A$2:$A$201,'Core Values Input'!$Y$2:$Y$201,0,0,)</f>
        <v>#VALUE!</v>
      </c>
      <c r="R186" s="38"/>
      <c r="S186" s="38"/>
      <c r="T186" s="72"/>
      <c r="U186" s="69" t="str">
        <f t="array" ref="U186">XLOOKUP('Results and Rankings'!$A186,'Core Values Input'!$A$2:$A$201,'Core Values Input'!$U$2:$U$201,0,0,)</f>
        <v>#VALUE!</v>
      </c>
      <c r="V186" s="69" t="str">
        <f t="array" ref="V186">XLOOKUP('Results and Rankings'!$A186,'Innovation Project Input'!$A$2:$A$201,'Innovation Project Input'!$M$2:$M$201,0,0,)</f>
        <v>#VALUE!</v>
      </c>
      <c r="W186" s="69" t="str">
        <f t="array" ref="W186">XLOOKUP('Results and Rankings'!$A186,'Robot Design Input'!$A$2:$A$201,'Robot Design Input'!$M$2:$M$201,0,0,)</f>
        <v>#VALUE!</v>
      </c>
      <c r="X186" s="73">
        <f>IF(ISERR(GEOMEAN('Results and Rankings'!$H186,'Results and Rankings'!$U186,'Results and Rankings'!$V186,'Results and Rankings'!$W186)),0,GEOMEAN('Results and Rankings'!$H186,'Results and Rankings'!$U186,'Results and Rankings'!$V186,'Results and Rankings'!$W186))</f>
        <v>0</v>
      </c>
      <c r="Y186" s="38">
        <f>IF(X186,_xlfn.RANK.EQ(X186,X$3:X$110,0),NumberOfTeams)</f>
        <v>0</v>
      </c>
      <c r="Z186" s="38"/>
    </row>
    <row r="187" ht="21.0" customHeight="1">
      <c r="A187" s="67" t="str">
        <f t="array" ref="A187">XLOOKUP(185,'Team and Program Information'!$B$3:$B$202,'Team and Program Information'!$C$3:$C$202,"ERROR",0)</f>
        <v/>
      </c>
      <c r="B187" s="68" t="str">
        <f t="array" ref="B187">XLOOKUP('Results and Rankings'!$A187,'Team and Program Information'!$C$3:$C$202,'Team and Program Information'!$D$3:$D$202,"",0,)</f>
        <v>#VALUE!</v>
      </c>
      <c r="C187" s="69" t="str">
        <f t="array" ref="C187">IF('Results and Rankings'!$A187="","",XLOOKUP('Results and Rankings'!$A187,'Robot Game Scores'!$B$2:$B$201,'Robot Game Scores'!$D$2:$D$201,0,0,))</f>
        <v/>
      </c>
      <c r="D187" s="69" t="str">
        <f t="array" ref="D187">IF('Results and Rankings'!$A187="","",XLOOKUP('Results and Rankings'!$A187,'Robot Game Scores'!$B$2:$B$201,'Robot Game Scores'!$E$2:$E$201,0,0,))</f>
        <v/>
      </c>
      <c r="E187" s="69" t="str">
        <f t="array" ref="E187">IF('Results and Rankings'!$A187="","",XLOOKUP('Results and Rankings'!$A187,'Robot Game Scores'!$B$2:$B$201,'Robot Game Scores'!$F$2:$F$201,0,0,))</f>
        <v/>
      </c>
      <c r="F187" s="69" t="str">
        <f t="array" ref="F187">IF('Results and Rankings'!$A187="","",XLOOKUP('Results and Rankings'!$A187,'Robot Game Scores'!$B$2:$B$201,'Robot Game Scores'!$G$2:$G$201,0,0,))</f>
        <v/>
      </c>
      <c r="G187" s="69" t="str">
        <f t="array" ref="G187">IF('Results and Rankings'!$A187="","",XLOOKUP('Results and Rankings'!$A187,'Robot Game Scores'!$B$2:$B$201,'Robot Game Scores'!$H$2:$H$201,0,0,))</f>
        <v/>
      </c>
      <c r="H187" s="69" t="str">
        <f>IF('Results and Rankings'!$A187="","",IF(ISNA(LARGE('Results and Rankings'!$C187:$G187,1)+0.0001*LARGE('Results and Rankings'!$C187:$G187,2)+0.0000001*LARGE('Results and Rankings'!$C187:$G187,3)+1E-11*LARGE('Results and Rankings'!$C187:$G187,4)+1E-14*LARGE('Results and Rankings'!$C187:$G187,5)),0,LARGE('Results and Rankings'!$C187:$G187,1)+0.0001*LARGE('Results and Rankings'!$C187:$G187,2)+0.0000001*LARGE('Results and Rankings'!$C187:$G187,3)+1E-11*LARGE('Results and Rankings'!$C187:$G187,4)+1E-14*LARGE('Results and Rankings'!$C187:$G187,5)))</f>
        <v/>
      </c>
      <c r="I187" s="69" t="str">
        <f>IF('Results and Rankings'!$A187="","",_xlfn.RANK.EQ('Results and Rankings'!$H187,'Results and Rankings'!$H$3:$H$202))</f>
        <v/>
      </c>
      <c r="J187" s="69" t="str">
        <f t="array" ref="J187">IF('Results and Rankings'!$A187="","",XLOOKUP('Results and Rankings'!$A187,'Core Values Input'!$A$2:$A$201,'Core Values Input'!$V$2:$V$201,NumberOfTeams+1,0,))</f>
        <v/>
      </c>
      <c r="K187" s="69" t="str">
        <f t="array" ref="K187">IF('Results and Rankings'!$A187="","",XLOOKUP('Results and Rankings'!$A187,'Innovation Project Input'!$A$2:$A$201,'Innovation Project Input'!$N$2:$N$201,NumberOfTeams+1,0,))</f>
        <v/>
      </c>
      <c r="L187" s="69" t="str">
        <f t="array" ref="L187">IF('Results and Rankings'!$A187="","",XLOOKUP('Results and Rankings'!$A187,'Robot Design Input'!$A$2:$A$201,'Robot Design Input'!$N$2:$N$201,NumberOfTeams+1,0,))</f>
        <v/>
      </c>
      <c r="M187" s="69" t="str">
        <f> IF('Results and Rankings'!$A187="","",IF('Results and Rankings'!$J187="",NumberOfTeams+1,'Results and Rankings'!$J187) + IF('Results and Rankings'!$K187="",NumberOfTeams+1,'Results and Rankings'!$K187) + IF('Results and Rankings'!$L187="",NumberOfTeams+1,'Results and Rankings'!$L187) + 'Results and Rankings'!$I187)</f>
        <v/>
      </c>
      <c r="N187" s="70" t="str">
        <f>IF('Results and Rankings'!$A187="","",IF(M187,RANK(M187,M$3:M$202,1)-COUNTIF(M$3:M$202,0),NumberOfTeams+1))</f>
        <v/>
      </c>
      <c r="O187" s="72" t="str">
        <f t="array" ref="O187">XLOOKUP('Results and Rankings'!$A187,'Core Values Input'!$A$2:$A$201,'Core Values Input'!$W$2:$W$201,0,0,)</f>
        <v>#VALUE!</v>
      </c>
      <c r="P187" s="72" t="str">
        <f t="array" ref="P187">XLOOKUP('Results and Rankings'!$A187,'Core Values Input'!$A$2:$A$201,'Core Values Input'!$X$2:$X$201,0,0,)</f>
        <v>#VALUE!</v>
      </c>
      <c r="Q187" s="72" t="str">
        <f t="array" ref="Q187">XLOOKUP('Results and Rankings'!$A187,'Core Values Input'!$A$2:$A$201,'Core Values Input'!$Y$2:$Y$201,0,0,)</f>
        <v>#VALUE!</v>
      </c>
      <c r="R187" s="38"/>
      <c r="S187" s="38"/>
      <c r="T187" s="72"/>
      <c r="U187" s="69" t="str">
        <f t="array" ref="U187">XLOOKUP('Results and Rankings'!$A187,'Core Values Input'!$A$2:$A$201,'Core Values Input'!$U$2:$U$201,0,0,)</f>
        <v>#VALUE!</v>
      </c>
      <c r="V187" s="69" t="str">
        <f t="array" ref="V187">XLOOKUP('Results and Rankings'!$A187,'Innovation Project Input'!$A$2:$A$201,'Innovation Project Input'!$M$2:$M$201,0,0,)</f>
        <v>#VALUE!</v>
      </c>
      <c r="W187" s="69" t="str">
        <f t="array" ref="W187">XLOOKUP('Results and Rankings'!$A187,'Robot Design Input'!$A$2:$A$201,'Robot Design Input'!$M$2:$M$201,0,0,)</f>
        <v>#VALUE!</v>
      </c>
      <c r="X187" s="73">
        <f>IF(ISERR(GEOMEAN('Results and Rankings'!$H187,'Results and Rankings'!$U187,'Results and Rankings'!$V187,'Results and Rankings'!$W187)),0,GEOMEAN('Results and Rankings'!$H187,'Results and Rankings'!$U187,'Results and Rankings'!$V187,'Results and Rankings'!$W187))</f>
        <v>0</v>
      </c>
      <c r="Y187" s="38">
        <f>IF(X187,_xlfn.RANK.EQ(X187,X$3:X$110,0),NumberOfTeams)</f>
        <v>0</v>
      </c>
      <c r="Z187" s="38"/>
    </row>
    <row r="188" ht="21.0" customHeight="1">
      <c r="A188" s="67" t="str">
        <f t="array" ref="A188">XLOOKUP(186,'Team and Program Information'!$B$3:$B$202,'Team and Program Information'!$C$3:$C$202,"ERROR",0)</f>
        <v/>
      </c>
      <c r="B188" s="68" t="str">
        <f t="array" ref="B188">XLOOKUP('Results and Rankings'!$A188,'Team and Program Information'!$C$3:$C$202,'Team and Program Information'!$D$3:$D$202,"",0,)</f>
        <v>#VALUE!</v>
      </c>
      <c r="C188" s="69" t="str">
        <f t="array" ref="C188">IF('Results and Rankings'!$A188="","",XLOOKUP('Results and Rankings'!$A188,'Robot Game Scores'!$B$2:$B$201,'Robot Game Scores'!$D$2:$D$201,0,0,))</f>
        <v/>
      </c>
      <c r="D188" s="69" t="str">
        <f t="array" ref="D188">IF('Results and Rankings'!$A188="","",XLOOKUP('Results and Rankings'!$A188,'Robot Game Scores'!$B$2:$B$201,'Robot Game Scores'!$E$2:$E$201,0,0,))</f>
        <v/>
      </c>
      <c r="E188" s="69" t="str">
        <f t="array" ref="E188">IF('Results and Rankings'!$A188="","",XLOOKUP('Results and Rankings'!$A188,'Robot Game Scores'!$B$2:$B$201,'Robot Game Scores'!$F$2:$F$201,0,0,))</f>
        <v/>
      </c>
      <c r="F188" s="69" t="str">
        <f t="array" ref="F188">IF('Results and Rankings'!$A188="","",XLOOKUP('Results and Rankings'!$A188,'Robot Game Scores'!$B$2:$B$201,'Robot Game Scores'!$G$2:$G$201,0,0,))</f>
        <v/>
      </c>
      <c r="G188" s="69" t="str">
        <f t="array" ref="G188">IF('Results and Rankings'!$A188="","",XLOOKUP('Results and Rankings'!$A188,'Robot Game Scores'!$B$2:$B$201,'Robot Game Scores'!$H$2:$H$201,0,0,))</f>
        <v/>
      </c>
      <c r="H188" s="69" t="str">
        <f>IF('Results and Rankings'!$A188="","",IF(ISNA(LARGE('Results and Rankings'!$C188:$G188,1)+0.0001*LARGE('Results and Rankings'!$C188:$G188,2)+0.0000001*LARGE('Results and Rankings'!$C188:$G188,3)+1E-11*LARGE('Results and Rankings'!$C188:$G188,4)+1E-14*LARGE('Results and Rankings'!$C188:$G188,5)),0,LARGE('Results and Rankings'!$C188:$G188,1)+0.0001*LARGE('Results and Rankings'!$C188:$G188,2)+0.0000001*LARGE('Results and Rankings'!$C188:$G188,3)+1E-11*LARGE('Results and Rankings'!$C188:$G188,4)+1E-14*LARGE('Results and Rankings'!$C188:$G188,5)))</f>
        <v/>
      </c>
      <c r="I188" s="69" t="str">
        <f>IF('Results and Rankings'!$A188="","",_xlfn.RANK.EQ('Results and Rankings'!$H188,'Results and Rankings'!$H$3:$H$202))</f>
        <v/>
      </c>
      <c r="J188" s="69" t="str">
        <f t="array" ref="J188">IF('Results and Rankings'!$A188="","",XLOOKUP('Results and Rankings'!$A188,'Core Values Input'!$A$2:$A$201,'Core Values Input'!$V$2:$V$201,NumberOfTeams+1,0,))</f>
        <v/>
      </c>
      <c r="K188" s="69" t="str">
        <f t="array" ref="K188">IF('Results and Rankings'!$A188="","",XLOOKUP('Results and Rankings'!$A188,'Innovation Project Input'!$A$2:$A$201,'Innovation Project Input'!$N$2:$N$201,NumberOfTeams+1,0,))</f>
        <v/>
      </c>
      <c r="L188" s="69" t="str">
        <f t="array" ref="L188">IF('Results and Rankings'!$A188="","",XLOOKUP('Results and Rankings'!$A188,'Robot Design Input'!$A$2:$A$201,'Robot Design Input'!$N$2:$N$201,NumberOfTeams+1,0,))</f>
        <v/>
      </c>
      <c r="M188" s="69" t="str">
        <f> IF('Results and Rankings'!$A188="","",IF('Results and Rankings'!$J188="",NumberOfTeams+1,'Results and Rankings'!$J188) + IF('Results and Rankings'!$K188="",NumberOfTeams+1,'Results and Rankings'!$K188) + IF('Results and Rankings'!$L188="",NumberOfTeams+1,'Results and Rankings'!$L188) + 'Results and Rankings'!$I188)</f>
        <v/>
      </c>
      <c r="N188" s="70" t="str">
        <f>IF('Results and Rankings'!$A188="","",IF(M188,RANK(M188,M$3:M$202,1)-COUNTIF(M$3:M$202,0),NumberOfTeams+1))</f>
        <v/>
      </c>
      <c r="O188" s="72" t="str">
        <f t="array" ref="O188">XLOOKUP('Results and Rankings'!$A188,'Core Values Input'!$A$2:$A$201,'Core Values Input'!$W$2:$W$201,0,0,)</f>
        <v>#VALUE!</v>
      </c>
      <c r="P188" s="72" t="str">
        <f t="array" ref="P188">XLOOKUP('Results and Rankings'!$A188,'Core Values Input'!$A$2:$A$201,'Core Values Input'!$X$2:$X$201,0,0,)</f>
        <v>#VALUE!</v>
      </c>
      <c r="Q188" s="72" t="str">
        <f t="array" ref="Q188">XLOOKUP('Results and Rankings'!$A188,'Core Values Input'!$A$2:$A$201,'Core Values Input'!$Y$2:$Y$201,0,0,)</f>
        <v>#VALUE!</v>
      </c>
      <c r="R188" s="38"/>
      <c r="S188" s="38"/>
      <c r="T188" s="72"/>
      <c r="U188" s="69" t="str">
        <f t="array" ref="U188">XLOOKUP('Results and Rankings'!$A188,'Core Values Input'!$A$2:$A$201,'Core Values Input'!$U$2:$U$201,0,0,)</f>
        <v>#VALUE!</v>
      </c>
      <c r="V188" s="69" t="str">
        <f t="array" ref="V188">XLOOKUP('Results and Rankings'!$A188,'Innovation Project Input'!$A$2:$A$201,'Innovation Project Input'!$M$2:$M$201,0,0,)</f>
        <v>#VALUE!</v>
      </c>
      <c r="W188" s="69" t="str">
        <f t="array" ref="W188">XLOOKUP('Results and Rankings'!$A188,'Robot Design Input'!$A$2:$A$201,'Robot Design Input'!$M$2:$M$201,0,0,)</f>
        <v>#VALUE!</v>
      </c>
      <c r="X188" s="73">
        <f>IF(ISERR(GEOMEAN('Results and Rankings'!$H188,'Results and Rankings'!$U188,'Results and Rankings'!$V188,'Results and Rankings'!$W188)),0,GEOMEAN('Results and Rankings'!$H188,'Results and Rankings'!$U188,'Results and Rankings'!$V188,'Results and Rankings'!$W188))</f>
        <v>0</v>
      </c>
      <c r="Y188" s="38">
        <f>IF(X188,_xlfn.RANK.EQ(X188,X$3:X$110,0),NumberOfTeams)</f>
        <v>0</v>
      </c>
      <c r="Z188" s="38"/>
    </row>
    <row r="189" ht="21.0" customHeight="1">
      <c r="A189" s="67" t="str">
        <f t="array" ref="A189">XLOOKUP(187,'Team and Program Information'!$B$3:$B$202,'Team and Program Information'!$C$3:$C$202,"ERROR",0)</f>
        <v/>
      </c>
      <c r="B189" s="68" t="str">
        <f t="array" ref="B189">XLOOKUP('Results and Rankings'!$A189,'Team and Program Information'!$C$3:$C$202,'Team and Program Information'!$D$3:$D$202,"",0,)</f>
        <v>#VALUE!</v>
      </c>
      <c r="C189" s="69" t="str">
        <f t="array" ref="C189">IF('Results and Rankings'!$A189="","",XLOOKUP('Results and Rankings'!$A189,'Robot Game Scores'!$B$2:$B$201,'Robot Game Scores'!$D$2:$D$201,0,0,))</f>
        <v/>
      </c>
      <c r="D189" s="69" t="str">
        <f t="array" ref="D189">IF('Results and Rankings'!$A189="","",XLOOKUP('Results and Rankings'!$A189,'Robot Game Scores'!$B$2:$B$201,'Robot Game Scores'!$E$2:$E$201,0,0,))</f>
        <v/>
      </c>
      <c r="E189" s="69" t="str">
        <f t="array" ref="E189">IF('Results and Rankings'!$A189="","",XLOOKUP('Results and Rankings'!$A189,'Robot Game Scores'!$B$2:$B$201,'Robot Game Scores'!$F$2:$F$201,0,0,))</f>
        <v/>
      </c>
      <c r="F189" s="69" t="str">
        <f t="array" ref="F189">IF('Results and Rankings'!$A189="","",XLOOKUP('Results and Rankings'!$A189,'Robot Game Scores'!$B$2:$B$201,'Robot Game Scores'!$G$2:$G$201,0,0,))</f>
        <v/>
      </c>
      <c r="G189" s="69" t="str">
        <f t="array" ref="G189">IF('Results and Rankings'!$A189="","",XLOOKUP('Results and Rankings'!$A189,'Robot Game Scores'!$B$2:$B$201,'Robot Game Scores'!$H$2:$H$201,0,0,))</f>
        <v/>
      </c>
      <c r="H189" s="69" t="str">
        <f>IF('Results and Rankings'!$A189="","",IF(ISNA(LARGE('Results and Rankings'!$C189:$G189,1)+0.0001*LARGE('Results and Rankings'!$C189:$G189,2)+0.0000001*LARGE('Results and Rankings'!$C189:$G189,3)+1E-11*LARGE('Results and Rankings'!$C189:$G189,4)+1E-14*LARGE('Results and Rankings'!$C189:$G189,5)),0,LARGE('Results and Rankings'!$C189:$G189,1)+0.0001*LARGE('Results and Rankings'!$C189:$G189,2)+0.0000001*LARGE('Results and Rankings'!$C189:$G189,3)+1E-11*LARGE('Results and Rankings'!$C189:$G189,4)+1E-14*LARGE('Results and Rankings'!$C189:$G189,5)))</f>
        <v/>
      </c>
      <c r="I189" s="69" t="str">
        <f>IF('Results and Rankings'!$A189="","",_xlfn.RANK.EQ('Results and Rankings'!$H189,'Results and Rankings'!$H$3:$H$202))</f>
        <v/>
      </c>
      <c r="J189" s="69" t="str">
        <f t="array" ref="J189">IF('Results and Rankings'!$A189="","",XLOOKUP('Results and Rankings'!$A189,'Core Values Input'!$A$2:$A$201,'Core Values Input'!$V$2:$V$201,NumberOfTeams+1,0,))</f>
        <v/>
      </c>
      <c r="K189" s="69" t="str">
        <f t="array" ref="K189">IF('Results and Rankings'!$A189="","",XLOOKUP('Results and Rankings'!$A189,'Innovation Project Input'!$A$2:$A$201,'Innovation Project Input'!$N$2:$N$201,NumberOfTeams+1,0,))</f>
        <v/>
      </c>
      <c r="L189" s="69" t="str">
        <f t="array" ref="L189">IF('Results and Rankings'!$A189="","",XLOOKUP('Results and Rankings'!$A189,'Robot Design Input'!$A$2:$A$201,'Robot Design Input'!$N$2:$N$201,NumberOfTeams+1,0,))</f>
        <v/>
      </c>
      <c r="M189" s="69" t="str">
        <f> IF('Results and Rankings'!$A189="","",IF('Results and Rankings'!$J189="",NumberOfTeams+1,'Results and Rankings'!$J189) + IF('Results and Rankings'!$K189="",NumberOfTeams+1,'Results and Rankings'!$K189) + IF('Results and Rankings'!$L189="",NumberOfTeams+1,'Results and Rankings'!$L189) + 'Results and Rankings'!$I189)</f>
        <v/>
      </c>
      <c r="N189" s="70" t="str">
        <f>IF('Results and Rankings'!$A189="","",IF(M189,RANK(M189,M$3:M$202,1)-COUNTIF(M$3:M$202,0),NumberOfTeams+1))</f>
        <v/>
      </c>
      <c r="O189" s="72" t="str">
        <f t="array" ref="O189">XLOOKUP('Results and Rankings'!$A189,'Core Values Input'!$A$2:$A$201,'Core Values Input'!$W$2:$W$201,0,0,)</f>
        <v>#VALUE!</v>
      </c>
      <c r="P189" s="72" t="str">
        <f t="array" ref="P189">XLOOKUP('Results and Rankings'!$A189,'Core Values Input'!$A$2:$A$201,'Core Values Input'!$X$2:$X$201,0,0,)</f>
        <v>#VALUE!</v>
      </c>
      <c r="Q189" s="72" t="str">
        <f t="array" ref="Q189">XLOOKUP('Results and Rankings'!$A189,'Core Values Input'!$A$2:$A$201,'Core Values Input'!$Y$2:$Y$201,0,0,)</f>
        <v>#VALUE!</v>
      </c>
      <c r="R189" s="38"/>
      <c r="S189" s="38"/>
      <c r="T189" s="72"/>
      <c r="U189" s="69" t="str">
        <f t="array" ref="U189">XLOOKUP('Results and Rankings'!$A189,'Core Values Input'!$A$2:$A$201,'Core Values Input'!$U$2:$U$201,0,0,)</f>
        <v>#VALUE!</v>
      </c>
      <c r="V189" s="69" t="str">
        <f t="array" ref="V189">XLOOKUP('Results and Rankings'!$A189,'Innovation Project Input'!$A$2:$A$201,'Innovation Project Input'!$M$2:$M$201,0,0,)</f>
        <v>#VALUE!</v>
      </c>
      <c r="W189" s="69" t="str">
        <f t="array" ref="W189">XLOOKUP('Results and Rankings'!$A189,'Robot Design Input'!$A$2:$A$201,'Robot Design Input'!$M$2:$M$201,0,0,)</f>
        <v>#VALUE!</v>
      </c>
      <c r="X189" s="73">
        <f>IF(ISERR(GEOMEAN('Results and Rankings'!$H189,'Results and Rankings'!$U189,'Results and Rankings'!$V189,'Results and Rankings'!$W189)),0,GEOMEAN('Results and Rankings'!$H189,'Results and Rankings'!$U189,'Results and Rankings'!$V189,'Results and Rankings'!$W189))</f>
        <v>0</v>
      </c>
      <c r="Y189" s="38">
        <f>IF(X189,_xlfn.RANK.EQ(X189,X$3:X$110,0),NumberOfTeams)</f>
        <v>0</v>
      </c>
      <c r="Z189" s="38"/>
    </row>
    <row r="190" ht="21.0" customHeight="1">
      <c r="A190" s="67" t="str">
        <f t="array" ref="A190">XLOOKUP(188,'Team and Program Information'!$B$3:$B$202,'Team and Program Information'!$C$3:$C$202,"ERROR",0)</f>
        <v/>
      </c>
      <c r="B190" s="68" t="str">
        <f t="array" ref="B190">XLOOKUP('Results and Rankings'!$A190,'Team and Program Information'!$C$3:$C$202,'Team and Program Information'!$D$3:$D$202,"",0,)</f>
        <v>#VALUE!</v>
      </c>
      <c r="C190" s="69" t="str">
        <f t="array" ref="C190">IF('Results and Rankings'!$A190="","",XLOOKUP('Results and Rankings'!$A190,'Robot Game Scores'!$B$2:$B$201,'Robot Game Scores'!$D$2:$D$201,0,0,))</f>
        <v/>
      </c>
      <c r="D190" s="69" t="str">
        <f t="array" ref="D190">IF('Results and Rankings'!$A190="","",XLOOKUP('Results and Rankings'!$A190,'Robot Game Scores'!$B$2:$B$201,'Robot Game Scores'!$E$2:$E$201,0,0,))</f>
        <v/>
      </c>
      <c r="E190" s="69" t="str">
        <f t="array" ref="E190">IF('Results and Rankings'!$A190="","",XLOOKUP('Results and Rankings'!$A190,'Robot Game Scores'!$B$2:$B$201,'Robot Game Scores'!$F$2:$F$201,0,0,))</f>
        <v/>
      </c>
      <c r="F190" s="69" t="str">
        <f t="array" ref="F190">IF('Results and Rankings'!$A190="","",XLOOKUP('Results and Rankings'!$A190,'Robot Game Scores'!$B$2:$B$201,'Robot Game Scores'!$G$2:$G$201,0,0,))</f>
        <v/>
      </c>
      <c r="G190" s="69" t="str">
        <f t="array" ref="G190">IF('Results and Rankings'!$A190="","",XLOOKUP('Results and Rankings'!$A190,'Robot Game Scores'!$B$2:$B$201,'Robot Game Scores'!$H$2:$H$201,0,0,))</f>
        <v/>
      </c>
      <c r="H190" s="69" t="str">
        <f>IF('Results and Rankings'!$A190="","",IF(ISNA(LARGE('Results and Rankings'!$C190:$G190,1)+0.0001*LARGE('Results and Rankings'!$C190:$G190,2)+0.0000001*LARGE('Results and Rankings'!$C190:$G190,3)+1E-11*LARGE('Results and Rankings'!$C190:$G190,4)+1E-14*LARGE('Results and Rankings'!$C190:$G190,5)),0,LARGE('Results and Rankings'!$C190:$G190,1)+0.0001*LARGE('Results and Rankings'!$C190:$G190,2)+0.0000001*LARGE('Results and Rankings'!$C190:$G190,3)+1E-11*LARGE('Results and Rankings'!$C190:$G190,4)+1E-14*LARGE('Results and Rankings'!$C190:$G190,5)))</f>
        <v/>
      </c>
      <c r="I190" s="69" t="str">
        <f>IF('Results and Rankings'!$A190="","",_xlfn.RANK.EQ('Results and Rankings'!$H190,'Results and Rankings'!$H$3:$H$202))</f>
        <v/>
      </c>
      <c r="J190" s="69" t="str">
        <f t="array" ref="J190">IF('Results and Rankings'!$A190="","",XLOOKUP('Results and Rankings'!$A190,'Core Values Input'!$A$2:$A$201,'Core Values Input'!$V$2:$V$201,NumberOfTeams+1,0,))</f>
        <v/>
      </c>
      <c r="K190" s="69" t="str">
        <f t="array" ref="K190">IF('Results and Rankings'!$A190="","",XLOOKUP('Results and Rankings'!$A190,'Innovation Project Input'!$A$2:$A$201,'Innovation Project Input'!$N$2:$N$201,NumberOfTeams+1,0,))</f>
        <v/>
      </c>
      <c r="L190" s="69" t="str">
        <f t="array" ref="L190">IF('Results and Rankings'!$A190="","",XLOOKUP('Results and Rankings'!$A190,'Robot Design Input'!$A$2:$A$201,'Robot Design Input'!$N$2:$N$201,NumberOfTeams+1,0,))</f>
        <v/>
      </c>
      <c r="M190" s="69" t="str">
        <f> IF('Results and Rankings'!$A190="","",IF('Results and Rankings'!$J190="",NumberOfTeams+1,'Results and Rankings'!$J190) + IF('Results and Rankings'!$K190="",NumberOfTeams+1,'Results and Rankings'!$K190) + IF('Results and Rankings'!$L190="",NumberOfTeams+1,'Results and Rankings'!$L190) + 'Results and Rankings'!$I190)</f>
        <v/>
      </c>
      <c r="N190" s="70" t="str">
        <f>IF('Results and Rankings'!$A190="","",IF(M190,RANK(M190,M$3:M$202,1)-COUNTIF(M$3:M$202,0),NumberOfTeams+1))</f>
        <v/>
      </c>
      <c r="O190" s="72" t="str">
        <f t="array" ref="O190">XLOOKUP('Results and Rankings'!$A190,'Core Values Input'!$A$2:$A$201,'Core Values Input'!$W$2:$W$201,0,0,)</f>
        <v>#VALUE!</v>
      </c>
      <c r="P190" s="72" t="str">
        <f t="array" ref="P190">XLOOKUP('Results and Rankings'!$A190,'Core Values Input'!$A$2:$A$201,'Core Values Input'!$X$2:$X$201,0,0,)</f>
        <v>#VALUE!</v>
      </c>
      <c r="Q190" s="72" t="str">
        <f t="array" ref="Q190">XLOOKUP('Results and Rankings'!$A190,'Core Values Input'!$A$2:$A$201,'Core Values Input'!$Y$2:$Y$201,0,0,)</f>
        <v>#VALUE!</v>
      </c>
      <c r="R190" s="38"/>
      <c r="S190" s="38"/>
      <c r="T190" s="72"/>
      <c r="U190" s="69" t="str">
        <f t="array" ref="U190">XLOOKUP('Results and Rankings'!$A190,'Core Values Input'!$A$2:$A$201,'Core Values Input'!$U$2:$U$201,0,0,)</f>
        <v>#VALUE!</v>
      </c>
      <c r="V190" s="69" t="str">
        <f t="array" ref="V190">XLOOKUP('Results and Rankings'!$A190,'Innovation Project Input'!$A$2:$A$201,'Innovation Project Input'!$M$2:$M$201,0,0,)</f>
        <v>#VALUE!</v>
      </c>
      <c r="W190" s="69" t="str">
        <f t="array" ref="W190">XLOOKUP('Results and Rankings'!$A190,'Robot Design Input'!$A$2:$A$201,'Robot Design Input'!$M$2:$M$201,0,0,)</f>
        <v>#VALUE!</v>
      </c>
      <c r="X190" s="73">
        <f>IF(ISERR(GEOMEAN('Results and Rankings'!$H190,'Results and Rankings'!$U190,'Results and Rankings'!$V190,'Results and Rankings'!$W190)),0,GEOMEAN('Results and Rankings'!$H190,'Results and Rankings'!$U190,'Results and Rankings'!$V190,'Results and Rankings'!$W190))</f>
        <v>0</v>
      </c>
      <c r="Y190" s="38">
        <f>IF(X190,_xlfn.RANK.EQ(X190,X$3:X$110,0),NumberOfTeams)</f>
        <v>0</v>
      </c>
      <c r="Z190" s="38"/>
    </row>
    <row r="191" ht="21.0" customHeight="1">
      <c r="A191" s="67" t="str">
        <f t="array" ref="A191">XLOOKUP(189,'Team and Program Information'!$B$3:$B$202,'Team and Program Information'!$C$3:$C$202,"ERROR",0)</f>
        <v/>
      </c>
      <c r="B191" s="68" t="str">
        <f t="array" ref="B191">XLOOKUP('Results and Rankings'!$A191,'Team and Program Information'!$C$3:$C$202,'Team and Program Information'!$D$3:$D$202,"",0,)</f>
        <v>#VALUE!</v>
      </c>
      <c r="C191" s="69" t="str">
        <f t="array" ref="C191">IF('Results and Rankings'!$A191="","",XLOOKUP('Results and Rankings'!$A191,'Robot Game Scores'!$B$2:$B$201,'Robot Game Scores'!$D$2:$D$201,0,0,))</f>
        <v/>
      </c>
      <c r="D191" s="69" t="str">
        <f t="array" ref="D191">IF('Results and Rankings'!$A191="","",XLOOKUP('Results and Rankings'!$A191,'Robot Game Scores'!$B$2:$B$201,'Robot Game Scores'!$E$2:$E$201,0,0,))</f>
        <v/>
      </c>
      <c r="E191" s="69" t="str">
        <f t="array" ref="E191">IF('Results and Rankings'!$A191="","",XLOOKUP('Results and Rankings'!$A191,'Robot Game Scores'!$B$2:$B$201,'Robot Game Scores'!$F$2:$F$201,0,0,))</f>
        <v/>
      </c>
      <c r="F191" s="69" t="str">
        <f t="array" ref="F191">IF('Results and Rankings'!$A191="","",XLOOKUP('Results and Rankings'!$A191,'Robot Game Scores'!$B$2:$B$201,'Robot Game Scores'!$G$2:$G$201,0,0,))</f>
        <v/>
      </c>
      <c r="G191" s="69" t="str">
        <f t="array" ref="G191">IF('Results and Rankings'!$A191="","",XLOOKUP('Results and Rankings'!$A191,'Robot Game Scores'!$B$2:$B$201,'Robot Game Scores'!$H$2:$H$201,0,0,))</f>
        <v/>
      </c>
      <c r="H191" s="69" t="str">
        <f>IF('Results and Rankings'!$A191="","",IF(ISNA(LARGE('Results and Rankings'!$C191:$G191,1)+0.0001*LARGE('Results and Rankings'!$C191:$G191,2)+0.0000001*LARGE('Results and Rankings'!$C191:$G191,3)+1E-11*LARGE('Results and Rankings'!$C191:$G191,4)+1E-14*LARGE('Results and Rankings'!$C191:$G191,5)),0,LARGE('Results and Rankings'!$C191:$G191,1)+0.0001*LARGE('Results and Rankings'!$C191:$G191,2)+0.0000001*LARGE('Results and Rankings'!$C191:$G191,3)+1E-11*LARGE('Results and Rankings'!$C191:$G191,4)+1E-14*LARGE('Results and Rankings'!$C191:$G191,5)))</f>
        <v/>
      </c>
      <c r="I191" s="69" t="str">
        <f>IF('Results and Rankings'!$A191="","",_xlfn.RANK.EQ('Results and Rankings'!$H191,'Results and Rankings'!$H$3:$H$202))</f>
        <v/>
      </c>
      <c r="J191" s="69" t="str">
        <f t="array" ref="J191">IF('Results and Rankings'!$A191="","",XLOOKUP('Results and Rankings'!$A191,'Core Values Input'!$A$2:$A$201,'Core Values Input'!$V$2:$V$201,NumberOfTeams+1,0,))</f>
        <v/>
      </c>
      <c r="K191" s="69" t="str">
        <f t="array" ref="K191">IF('Results and Rankings'!$A191="","",XLOOKUP('Results and Rankings'!$A191,'Innovation Project Input'!$A$2:$A$201,'Innovation Project Input'!$N$2:$N$201,NumberOfTeams+1,0,))</f>
        <v/>
      </c>
      <c r="L191" s="69" t="str">
        <f t="array" ref="L191">IF('Results and Rankings'!$A191="","",XLOOKUP('Results and Rankings'!$A191,'Robot Design Input'!$A$2:$A$201,'Robot Design Input'!$N$2:$N$201,NumberOfTeams+1,0,))</f>
        <v/>
      </c>
      <c r="M191" s="69" t="str">
        <f> IF('Results and Rankings'!$A191="","",IF('Results and Rankings'!$J191="",NumberOfTeams+1,'Results and Rankings'!$J191) + IF('Results and Rankings'!$K191="",NumberOfTeams+1,'Results and Rankings'!$K191) + IF('Results and Rankings'!$L191="",NumberOfTeams+1,'Results and Rankings'!$L191) + 'Results and Rankings'!$I191)</f>
        <v/>
      </c>
      <c r="N191" s="70" t="str">
        <f>IF('Results and Rankings'!$A191="","",IF(M191,RANK(M191,M$3:M$202,1)-COUNTIF(M$3:M$202,0),NumberOfTeams+1))</f>
        <v/>
      </c>
      <c r="O191" s="72" t="str">
        <f t="array" ref="O191">XLOOKUP('Results and Rankings'!$A191,'Core Values Input'!$A$2:$A$201,'Core Values Input'!$W$2:$W$201,0,0,)</f>
        <v>#VALUE!</v>
      </c>
      <c r="P191" s="72" t="str">
        <f t="array" ref="P191">XLOOKUP('Results and Rankings'!$A191,'Core Values Input'!$A$2:$A$201,'Core Values Input'!$X$2:$X$201,0,0,)</f>
        <v>#VALUE!</v>
      </c>
      <c r="Q191" s="72" t="str">
        <f t="array" ref="Q191">XLOOKUP('Results and Rankings'!$A191,'Core Values Input'!$A$2:$A$201,'Core Values Input'!$Y$2:$Y$201,0,0,)</f>
        <v>#VALUE!</v>
      </c>
      <c r="R191" s="38"/>
      <c r="S191" s="38"/>
      <c r="T191" s="72"/>
      <c r="U191" s="69" t="str">
        <f t="array" ref="U191">XLOOKUP('Results and Rankings'!$A191,'Core Values Input'!$A$2:$A$201,'Core Values Input'!$U$2:$U$201,0,0,)</f>
        <v>#VALUE!</v>
      </c>
      <c r="V191" s="69" t="str">
        <f t="array" ref="V191">XLOOKUP('Results and Rankings'!$A191,'Innovation Project Input'!$A$2:$A$201,'Innovation Project Input'!$M$2:$M$201,0,0,)</f>
        <v>#VALUE!</v>
      </c>
      <c r="W191" s="69" t="str">
        <f t="array" ref="W191">XLOOKUP('Results and Rankings'!$A191,'Robot Design Input'!$A$2:$A$201,'Robot Design Input'!$M$2:$M$201,0,0,)</f>
        <v>#VALUE!</v>
      </c>
      <c r="X191" s="73">
        <f>IF(ISERR(GEOMEAN('Results and Rankings'!$H191,'Results and Rankings'!$U191,'Results and Rankings'!$V191,'Results and Rankings'!$W191)),0,GEOMEAN('Results and Rankings'!$H191,'Results and Rankings'!$U191,'Results and Rankings'!$V191,'Results and Rankings'!$W191))</f>
        <v>0</v>
      </c>
      <c r="Y191" s="38">
        <f>IF(X191,_xlfn.RANK.EQ(X191,X$3:X$110,0),NumberOfTeams)</f>
        <v>0</v>
      </c>
      <c r="Z191" s="38"/>
    </row>
    <row r="192" ht="21.0" customHeight="1">
      <c r="A192" s="67" t="str">
        <f t="array" ref="A192">XLOOKUP(190,'Team and Program Information'!$B$3:$B$202,'Team and Program Information'!$C$3:$C$202,"ERROR",0)</f>
        <v/>
      </c>
      <c r="B192" s="68" t="str">
        <f t="array" ref="B192">XLOOKUP('Results and Rankings'!$A192,'Team and Program Information'!$C$3:$C$202,'Team and Program Information'!$D$3:$D$202,"",0,)</f>
        <v>#VALUE!</v>
      </c>
      <c r="C192" s="69" t="str">
        <f t="array" ref="C192">IF('Results and Rankings'!$A192="","",XLOOKUP('Results and Rankings'!$A192,'Robot Game Scores'!$B$2:$B$201,'Robot Game Scores'!$D$2:$D$201,0,0,))</f>
        <v/>
      </c>
      <c r="D192" s="69" t="str">
        <f t="array" ref="D192">IF('Results and Rankings'!$A192="","",XLOOKUP('Results and Rankings'!$A192,'Robot Game Scores'!$B$2:$B$201,'Robot Game Scores'!$E$2:$E$201,0,0,))</f>
        <v/>
      </c>
      <c r="E192" s="69" t="str">
        <f t="array" ref="E192">IF('Results and Rankings'!$A192="","",XLOOKUP('Results and Rankings'!$A192,'Robot Game Scores'!$B$2:$B$201,'Robot Game Scores'!$F$2:$F$201,0,0,))</f>
        <v/>
      </c>
      <c r="F192" s="69" t="str">
        <f t="array" ref="F192">IF('Results and Rankings'!$A192="","",XLOOKUP('Results and Rankings'!$A192,'Robot Game Scores'!$B$2:$B$201,'Robot Game Scores'!$G$2:$G$201,0,0,))</f>
        <v/>
      </c>
      <c r="G192" s="69" t="str">
        <f t="array" ref="G192">IF('Results and Rankings'!$A192="","",XLOOKUP('Results and Rankings'!$A192,'Robot Game Scores'!$B$2:$B$201,'Robot Game Scores'!$H$2:$H$201,0,0,))</f>
        <v/>
      </c>
      <c r="H192" s="69" t="str">
        <f>IF('Results and Rankings'!$A192="","",IF(ISNA(LARGE('Results and Rankings'!$C192:$G192,1)+0.0001*LARGE('Results and Rankings'!$C192:$G192,2)+0.0000001*LARGE('Results and Rankings'!$C192:$G192,3)+1E-11*LARGE('Results and Rankings'!$C192:$G192,4)+1E-14*LARGE('Results and Rankings'!$C192:$G192,5)),0,LARGE('Results and Rankings'!$C192:$G192,1)+0.0001*LARGE('Results and Rankings'!$C192:$G192,2)+0.0000001*LARGE('Results and Rankings'!$C192:$G192,3)+1E-11*LARGE('Results and Rankings'!$C192:$G192,4)+1E-14*LARGE('Results and Rankings'!$C192:$G192,5)))</f>
        <v/>
      </c>
      <c r="I192" s="69" t="str">
        <f>IF('Results and Rankings'!$A192="","",_xlfn.RANK.EQ('Results and Rankings'!$H192,'Results and Rankings'!$H$3:$H$202))</f>
        <v/>
      </c>
      <c r="J192" s="69" t="str">
        <f t="array" ref="J192">IF('Results and Rankings'!$A192="","",XLOOKUP('Results and Rankings'!$A192,'Core Values Input'!$A$2:$A$201,'Core Values Input'!$V$2:$V$201,NumberOfTeams+1,0,))</f>
        <v/>
      </c>
      <c r="K192" s="69" t="str">
        <f t="array" ref="K192">IF('Results and Rankings'!$A192="","",XLOOKUP('Results and Rankings'!$A192,'Innovation Project Input'!$A$2:$A$201,'Innovation Project Input'!$N$2:$N$201,NumberOfTeams+1,0,))</f>
        <v/>
      </c>
      <c r="L192" s="69" t="str">
        <f t="array" ref="L192">IF('Results and Rankings'!$A192="","",XLOOKUP('Results and Rankings'!$A192,'Robot Design Input'!$A$2:$A$201,'Robot Design Input'!$N$2:$N$201,NumberOfTeams+1,0,))</f>
        <v/>
      </c>
      <c r="M192" s="69" t="str">
        <f> IF('Results and Rankings'!$A192="","",IF('Results and Rankings'!$J192="",NumberOfTeams+1,'Results and Rankings'!$J192) + IF('Results and Rankings'!$K192="",NumberOfTeams+1,'Results and Rankings'!$K192) + IF('Results and Rankings'!$L192="",NumberOfTeams+1,'Results and Rankings'!$L192) + 'Results and Rankings'!$I192)</f>
        <v/>
      </c>
      <c r="N192" s="70" t="str">
        <f>IF('Results and Rankings'!$A192="","",IF(M192,RANK(M192,M$3:M$202,1)-COUNTIF(M$3:M$202,0),NumberOfTeams+1))</f>
        <v/>
      </c>
      <c r="O192" s="72" t="str">
        <f t="array" ref="O192">XLOOKUP('Results and Rankings'!$A192,'Core Values Input'!$A$2:$A$201,'Core Values Input'!$W$2:$W$201,0,0,)</f>
        <v>#VALUE!</v>
      </c>
      <c r="P192" s="72" t="str">
        <f t="array" ref="P192">XLOOKUP('Results and Rankings'!$A192,'Core Values Input'!$A$2:$A$201,'Core Values Input'!$X$2:$X$201,0,0,)</f>
        <v>#VALUE!</v>
      </c>
      <c r="Q192" s="72" t="str">
        <f t="array" ref="Q192">XLOOKUP('Results and Rankings'!$A192,'Core Values Input'!$A$2:$A$201,'Core Values Input'!$Y$2:$Y$201,0,0,)</f>
        <v>#VALUE!</v>
      </c>
      <c r="R192" s="38"/>
      <c r="S192" s="38"/>
      <c r="T192" s="72"/>
      <c r="U192" s="69" t="str">
        <f t="array" ref="U192">XLOOKUP('Results and Rankings'!$A192,'Core Values Input'!$A$2:$A$201,'Core Values Input'!$U$2:$U$201,0,0,)</f>
        <v>#VALUE!</v>
      </c>
      <c r="V192" s="69" t="str">
        <f t="array" ref="V192">XLOOKUP('Results and Rankings'!$A192,'Innovation Project Input'!$A$2:$A$201,'Innovation Project Input'!$M$2:$M$201,0,0,)</f>
        <v>#VALUE!</v>
      </c>
      <c r="W192" s="69" t="str">
        <f t="array" ref="W192">XLOOKUP('Results and Rankings'!$A192,'Robot Design Input'!$A$2:$A$201,'Robot Design Input'!$M$2:$M$201,0,0,)</f>
        <v>#VALUE!</v>
      </c>
      <c r="X192" s="73">
        <f>IF(ISERR(GEOMEAN('Results and Rankings'!$H192,'Results and Rankings'!$U192,'Results and Rankings'!$V192,'Results and Rankings'!$W192)),0,GEOMEAN('Results and Rankings'!$H192,'Results and Rankings'!$U192,'Results and Rankings'!$V192,'Results and Rankings'!$W192))</f>
        <v>0</v>
      </c>
      <c r="Y192" s="38">
        <f>IF(X192,_xlfn.RANK.EQ(X192,X$3:X$110,0),NumberOfTeams)</f>
        <v>0</v>
      </c>
      <c r="Z192" s="38"/>
    </row>
    <row r="193" ht="21.0" customHeight="1">
      <c r="A193" s="67" t="str">
        <f t="array" ref="A193">XLOOKUP(191,'Team and Program Information'!$B$3:$B$202,'Team and Program Information'!$C$3:$C$202,"ERROR",0)</f>
        <v/>
      </c>
      <c r="B193" s="68" t="str">
        <f t="array" ref="B193">XLOOKUP('Results and Rankings'!$A193,'Team and Program Information'!$C$3:$C$202,'Team and Program Information'!$D$3:$D$202,"",0,)</f>
        <v>#VALUE!</v>
      </c>
      <c r="C193" s="69" t="str">
        <f t="array" ref="C193">IF('Results and Rankings'!$A193="","",XLOOKUP('Results and Rankings'!$A193,'Robot Game Scores'!$B$2:$B$201,'Robot Game Scores'!$D$2:$D$201,0,0,))</f>
        <v/>
      </c>
      <c r="D193" s="69" t="str">
        <f t="array" ref="D193">IF('Results and Rankings'!$A193="","",XLOOKUP('Results and Rankings'!$A193,'Robot Game Scores'!$B$2:$B$201,'Robot Game Scores'!$E$2:$E$201,0,0,))</f>
        <v/>
      </c>
      <c r="E193" s="69" t="str">
        <f t="array" ref="E193">IF('Results and Rankings'!$A193="","",XLOOKUP('Results and Rankings'!$A193,'Robot Game Scores'!$B$2:$B$201,'Robot Game Scores'!$F$2:$F$201,0,0,))</f>
        <v/>
      </c>
      <c r="F193" s="69" t="str">
        <f t="array" ref="F193">IF('Results and Rankings'!$A193="","",XLOOKUP('Results and Rankings'!$A193,'Robot Game Scores'!$B$2:$B$201,'Robot Game Scores'!$G$2:$G$201,0,0,))</f>
        <v/>
      </c>
      <c r="G193" s="69" t="str">
        <f t="array" ref="G193">IF('Results and Rankings'!$A193="","",XLOOKUP('Results and Rankings'!$A193,'Robot Game Scores'!$B$2:$B$201,'Robot Game Scores'!$H$2:$H$201,0,0,))</f>
        <v/>
      </c>
      <c r="H193" s="69" t="str">
        <f>IF('Results and Rankings'!$A193="","",IF(ISNA(LARGE('Results and Rankings'!$C193:$G193,1)+0.0001*LARGE('Results and Rankings'!$C193:$G193,2)+0.0000001*LARGE('Results and Rankings'!$C193:$G193,3)+1E-11*LARGE('Results and Rankings'!$C193:$G193,4)+1E-14*LARGE('Results and Rankings'!$C193:$G193,5)),0,LARGE('Results and Rankings'!$C193:$G193,1)+0.0001*LARGE('Results and Rankings'!$C193:$G193,2)+0.0000001*LARGE('Results and Rankings'!$C193:$G193,3)+1E-11*LARGE('Results and Rankings'!$C193:$G193,4)+1E-14*LARGE('Results and Rankings'!$C193:$G193,5)))</f>
        <v/>
      </c>
      <c r="I193" s="69" t="str">
        <f>IF('Results and Rankings'!$A193="","",_xlfn.RANK.EQ('Results and Rankings'!$H193,'Results and Rankings'!$H$3:$H$202))</f>
        <v/>
      </c>
      <c r="J193" s="69" t="str">
        <f t="array" ref="J193">IF('Results and Rankings'!$A193="","",XLOOKUP('Results and Rankings'!$A193,'Core Values Input'!$A$2:$A$201,'Core Values Input'!$V$2:$V$201,NumberOfTeams+1,0,))</f>
        <v/>
      </c>
      <c r="K193" s="69" t="str">
        <f t="array" ref="K193">IF('Results and Rankings'!$A193="","",XLOOKUP('Results and Rankings'!$A193,'Innovation Project Input'!$A$2:$A$201,'Innovation Project Input'!$N$2:$N$201,NumberOfTeams+1,0,))</f>
        <v/>
      </c>
      <c r="L193" s="69" t="str">
        <f t="array" ref="L193">IF('Results and Rankings'!$A193="","",XLOOKUP('Results and Rankings'!$A193,'Robot Design Input'!$A$2:$A$201,'Robot Design Input'!$N$2:$N$201,NumberOfTeams+1,0,))</f>
        <v/>
      </c>
      <c r="M193" s="69" t="str">
        <f> IF('Results and Rankings'!$A193="","",IF('Results and Rankings'!$J193="",NumberOfTeams+1,'Results and Rankings'!$J193) + IF('Results and Rankings'!$K193="",NumberOfTeams+1,'Results and Rankings'!$K193) + IF('Results and Rankings'!$L193="",NumberOfTeams+1,'Results and Rankings'!$L193) + 'Results and Rankings'!$I193)</f>
        <v/>
      </c>
      <c r="N193" s="70" t="str">
        <f>IF('Results and Rankings'!$A193="","",IF(M193,RANK(M193,M$3:M$202,1)-COUNTIF(M$3:M$202,0),NumberOfTeams+1))</f>
        <v/>
      </c>
      <c r="O193" s="72" t="str">
        <f t="array" ref="O193">XLOOKUP('Results and Rankings'!$A193,'Core Values Input'!$A$2:$A$201,'Core Values Input'!$W$2:$W$201,0,0,)</f>
        <v>#VALUE!</v>
      </c>
      <c r="P193" s="72" t="str">
        <f t="array" ref="P193">XLOOKUP('Results and Rankings'!$A193,'Core Values Input'!$A$2:$A$201,'Core Values Input'!$X$2:$X$201,0,0,)</f>
        <v>#VALUE!</v>
      </c>
      <c r="Q193" s="72" t="str">
        <f t="array" ref="Q193">XLOOKUP('Results and Rankings'!$A193,'Core Values Input'!$A$2:$A$201,'Core Values Input'!$Y$2:$Y$201,0,0,)</f>
        <v>#VALUE!</v>
      </c>
      <c r="R193" s="38"/>
      <c r="S193" s="38"/>
      <c r="T193" s="72"/>
      <c r="U193" s="69" t="str">
        <f t="array" ref="U193">XLOOKUP('Results and Rankings'!$A193,'Core Values Input'!$A$2:$A$201,'Core Values Input'!$U$2:$U$201,0,0,)</f>
        <v>#VALUE!</v>
      </c>
      <c r="V193" s="69" t="str">
        <f t="array" ref="V193">XLOOKUP('Results and Rankings'!$A193,'Innovation Project Input'!$A$2:$A$201,'Innovation Project Input'!$M$2:$M$201,0,0,)</f>
        <v>#VALUE!</v>
      </c>
      <c r="W193" s="69" t="str">
        <f t="array" ref="W193">XLOOKUP('Results and Rankings'!$A193,'Robot Design Input'!$A$2:$A$201,'Robot Design Input'!$M$2:$M$201,0,0,)</f>
        <v>#VALUE!</v>
      </c>
      <c r="X193" s="73">
        <f>IF(ISERR(GEOMEAN('Results and Rankings'!$H193,'Results and Rankings'!$U193,'Results and Rankings'!$V193,'Results and Rankings'!$W193)),0,GEOMEAN('Results and Rankings'!$H193,'Results and Rankings'!$U193,'Results and Rankings'!$V193,'Results and Rankings'!$W193))</f>
        <v>0</v>
      </c>
      <c r="Y193" s="38">
        <f>IF(X193,_xlfn.RANK.EQ(X193,X$3:X$110,0),NumberOfTeams)</f>
        <v>0</v>
      </c>
      <c r="Z193" s="38"/>
    </row>
    <row r="194" ht="21.0" customHeight="1">
      <c r="A194" s="67" t="str">
        <f t="array" ref="A194">XLOOKUP(192,'Team and Program Information'!$B$3:$B$202,'Team and Program Information'!$C$3:$C$202,"ERROR",0)</f>
        <v/>
      </c>
      <c r="B194" s="68" t="str">
        <f t="array" ref="B194">XLOOKUP('Results and Rankings'!$A194,'Team and Program Information'!$C$3:$C$202,'Team and Program Information'!$D$3:$D$202,"",0,)</f>
        <v>#VALUE!</v>
      </c>
      <c r="C194" s="69" t="str">
        <f t="array" ref="C194">IF('Results and Rankings'!$A194="","",XLOOKUP('Results and Rankings'!$A194,'Robot Game Scores'!$B$2:$B$201,'Robot Game Scores'!$D$2:$D$201,0,0,))</f>
        <v/>
      </c>
      <c r="D194" s="69" t="str">
        <f t="array" ref="D194">IF('Results and Rankings'!$A194="","",XLOOKUP('Results and Rankings'!$A194,'Robot Game Scores'!$B$2:$B$201,'Robot Game Scores'!$E$2:$E$201,0,0,))</f>
        <v/>
      </c>
      <c r="E194" s="69" t="str">
        <f t="array" ref="E194">IF('Results and Rankings'!$A194="","",XLOOKUP('Results and Rankings'!$A194,'Robot Game Scores'!$B$2:$B$201,'Robot Game Scores'!$F$2:$F$201,0,0,))</f>
        <v/>
      </c>
      <c r="F194" s="69" t="str">
        <f t="array" ref="F194">IF('Results and Rankings'!$A194="","",XLOOKUP('Results and Rankings'!$A194,'Robot Game Scores'!$B$2:$B$201,'Robot Game Scores'!$G$2:$G$201,0,0,))</f>
        <v/>
      </c>
      <c r="G194" s="69" t="str">
        <f t="array" ref="G194">IF('Results and Rankings'!$A194="","",XLOOKUP('Results and Rankings'!$A194,'Robot Game Scores'!$B$2:$B$201,'Robot Game Scores'!$H$2:$H$201,0,0,))</f>
        <v/>
      </c>
      <c r="H194" s="69" t="str">
        <f>IF('Results and Rankings'!$A194="","",IF(ISNA(LARGE('Results and Rankings'!$C194:$G194,1)+0.0001*LARGE('Results and Rankings'!$C194:$G194,2)+0.0000001*LARGE('Results and Rankings'!$C194:$G194,3)+1E-11*LARGE('Results and Rankings'!$C194:$G194,4)+1E-14*LARGE('Results and Rankings'!$C194:$G194,5)),0,LARGE('Results and Rankings'!$C194:$G194,1)+0.0001*LARGE('Results and Rankings'!$C194:$G194,2)+0.0000001*LARGE('Results and Rankings'!$C194:$G194,3)+1E-11*LARGE('Results and Rankings'!$C194:$G194,4)+1E-14*LARGE('Results and Rankings'!$C194:$G194,5)))</f>
        <v/>
      </c>
      <c r="I194" s="69" t="str">
        <f>IF('Results and Rankings'!$A194="","",_xlfn.RANK.EQ('Results and Rankings'!$H194,'Results and Rankings'!$H$3:$H$202))</f>
        <v/>
      </c>
      <c r="J194" s="69" t="str">
        <f t="array" ref="J194">IF('Results and Rankings'!$A194="","",XLOOKUP('Results and Rankings'!$A194,'Core Values Input'!$A$2:$A$201,'Core Values Input'!$V$2:$V$201,NumberOfTeams+1,0,))</f>
        <v/>
      </c>
      <c r="K194" s="69" t="str">
        <f t="array" ref="K194">IF('Results and Rankings'!$A194="","",XLOOKUP('Results and Rankings'!$A194,'Innovation Project Input'!$A$2:$A$201,'Innovation Project Input'!$N$2:$N$201,NumberOfTeams+1,0,))</f>
        <v/>
      </c>
      <c r="L194" s="69" t="str">
        <f t="array" ref="L194">IF('Results and Rankings'!$A194="","",XLOOKUP('Results and Rankings'!$A194,'Robot Design Input'!$A$2:$A$201,'Robot Design Input'!$N$2:$N$201,NumberOfTeams+1,0,))</f>
        <v/>
      </c>
      <c r="M194" s="69" t="str">
        <f> IF('Results and Rankings'!$A194="","",IF('Results and Rankings'!$J194="",NumberOfTeams+1,'Results and Rankings'!$J194) + IF('Results and Rankings'!$K194="",NumberOfTeams+1,'Results and Rankings'!$K194) + IF('Results and Rankings'!$L194="",NumberOfTeams+1,'Results and Rankings'!$L194) + 'Results and Rankings'!$I194)</f>
        <v/>
      </c>
      <c r="N194" s="70" t="str">
        <f>IF('Results and Rankings'!$A194="","",IF(M194,RANK(M194,M$3:M$202,1)-COUNTIF(M$3:M$202,0),NumberOfTeams+1))</f>
        <v/>
      </c>
      <c r="O194" s="72" t="str">
        <f t="array" ref="O194">XLOOKUP('Results and Rankings'!$A194,'Core Values Input'!$A$2:$A$201,'Core Values Input'!$W$2:$W$201,0,0,)</f>
        <v>#VALUE!</v>
      </c>
      <c r="P194" s="72" t="str">
        <f t="array" ref="P194">XLOOKUP('Results and Rankings'!$A194,'Core Values Input'!$A$2:$A$201,'Core Values Input'!$X$2:$X$201,0,0,)</f>
        <v>#VALUE!</v>
      </c>
      <c r="Q194" s="72" t="str">
        <f t="array" ref="Q194">XLOOKUP('Results and Rankings'!$A194,'Core Values Input'!$A$2:$A$201,'Core Values Input'!$Y$2:$Y$201,0,0,)</f>
        <v>#VALUE!</v>
      </c>
      <c r="R194" s="38"/>
      <c r="S194" s="38"/>
      <c r="T194" s="72"/>
      <c r="U194" s="69" t="str">
        <f t="array" ref="U194">XLOOKUP('Results and Rankings'!$A194,'Core Values Input'!$A$2:$A$201,'Core Values Input'!$U$2:$U$201,0,0,)</f>
        <v>#VALUE!</v>
      </c>
      <c r="V194" s="69" t="str">
        <f t="array" ref="V194">XLOOKUP('Results and Rankings'!$A194,'Innovation Project Input'!$A$2:$A$201,'Innovation Project Input'!$M$2:$M$201,0,0,)</f>
        <v>#VALUE!</v>
      </c>
      <c r="W194" s="69" t="str">
        <f t="array" ref="W194">XLOOKUP('Results and Rankings'!$A194,'Robot Design Input'!$A$2:$A$201,'Robot Design Input'!$M$2:$M$201,0,0,)</f>
        <v>#VALUE!</v>
      </c>
      <c r="X194" s="73">
        <f>IF(ISERR(GEOMEAN('Results and Rankings'!$H194,'Results and Rankings'!$U194,'Results and Rankings'!$V194,'Results and Rankings'!$W194)),0,GEOMEAN('Results and Rankings'!$H194,'Results and Rankings'!$U194,'Results and Rankings'!$V194,'Results and Rankings'!$W194))</f>
        <v>0</v>
      </c>
      <c r="Y194" s="38">
        <f>IF(X194,_xlfn.RANK.EQ(X194,X$3:X$110,0),NumberOfTeams)</f>
        <v>0</v>
      </c>
      <c r="Z194" s="38"/>
    </row>
    <row r="195" ht="21.0" customHeight="1">
      <c r="A195" s="67" t="str">
        <f t="array" ref="A195">XLOOKUP(193,'Team and Program Information'!$B$3:$B$202,'Team and Program Information'!$C$3:$C$202,"ERROR",0)</f>
        <v/>
      </c>
      <c r="B195" s="68" t="str">
        <f t="array" ref="B195">XLOOKUP('Results and Rankings'!$A195,'Team and Program Information'!$C$3:$C$202,'Team and Program Information'!$D$3:$D$202,"",0,)</f>
        <v>#VALUE!</v>
      </c>
      <c r="C195" s="69" t="str">
        <f t="array" ref="C195">IF('Results and Rankings'!$A195="","",XLOOKUP('Results and Rankings'!$A195,'Robot Game Scores'!$B$2:$B$201,'Robot Game Scores'!$D$2:$D$201,0,0,))</f>
        <v/>
      </c>
      <c r="D195" s="69" t="str">
        <f t="array" ref="D195">IF('Results and Rankings'!$A195="","",XLOOKUP('Results and Rankings'!$A195,'Robot Game Scores'!$B$2:$B$201,'Robot Game Scores'!$E$2:$E$201,0,0,))</f>
        <v/>
      </c>
      <c r="E195" s="69" t="str">
        <f t="array" ref="E195">IF('Results and Rankings'!$A195="","",XLOOKUP('Results and Rankings'!$A195,'Robot Game Scores'!$B$2:$B$201,'Robot Game Scores'!$F$2:$F$201,0,0,))</f>
        <v/>
      </c>
      <c r="F195" s="69" t="str">
        <f t="array" ref="F195">IF('Results and Rankings'!$A195="","",XLOOKUP('Results and Rankings'!$A195,'Robot Game Scores'!$B$2:$B$201,'Robot Game Scores'!$G$2:$G$201,0,0,))</f>
        <v/>
      </c>
      <c r="G195" s="69" t="str">
        <f t="array" ref="G195">IF('Results and Rankings'!$A195="","",XLOOKUP('Results and Rankings'!$A195,'Robot Game Scores'!$B$2:$B$201,'Robot Game Scores'!$H$2:$H$201,0,0,))</f>
        <v/>
      </c>
      <c r="H195" s="69" t="str">
        <f>IF('Results and Rankings'!$A195="","",IF(ISNA(LARGE('Results and Rankings'!$C195:$G195,1)+0.0001*LARGE('Results and Rankings'!$C195:$G195,2)+0.0000001*LARGE('Results and Rankings'!$C195:$G195,3)+1E-11*LARGE('Results and Rankings'!$C195:$G195,4)+1E-14*LARGE('Results and Rankings'!$C195:$G195,5)),0,LARGE('Results and Rankings'!$C195:$G195,1)+0.0001*LARGE('Results and Rankings'!$C195:$G195,2)+0.0000001*LARGE('Results and Rankings'!$C195:$G195,3)+1E-11*LARGE('Results and Rankings'!$C195:$G195,4)+1E-14*LARGE('Results and Rankings'!$C195:$G195,5)))</f>
        <v/>
      </c>
      <c r="I195" s="69" t="str">
        <f>IF('Results and Rankings'!$A195="","",_xlfn.RANK.EQ('Results and Rankings'!$H195,'Results and Rankings'!$H$3:$H$202))</f>
        <v/>
      </c>
      <c r="J195" s="69" t="str">
        <f t="array" ref="J195">IF('Results and Rankings'!$A195="","",XLOOKUP('Results and Rankings'!$A195,'Core Values Input'!$A$2:$A$201,'Core Values Input'!$V$2:$V$201,NumberOfTeams+1,0,))</f>
        <v/>
      </c>
      <c r="K195" s="69" t="str">
        <f t="array" ref="K195">IF('Results and Rankings'!$A195="","",XLOOKUP('Results and Rankings'!$A195,'Innovation Project Input'!$A$2:$A$201,'Innovation Project Input'!$N$2:$N$201,NumberOfTeams+1,0,))</f>
        <v/>
      </c>
      <c r="L195" s="69" t="str">
        <f t="array" ref="L195">IF('Results and Rankings'!$A195="","",XLOOKUP('Results and Rankings'!$A195,'Robot Design Input'!$A$2:$A$201,'Robot Design Input'!$N$2:$N$201,NumberOfTeams+1,0,))</f>
        <v/>
      </c>
      <c r="M195" s="69" t="str">
        <f> IF('Results and Rankings'!$A195="","",IF('Results and Rankings'!$J195="",NumberOfTeams+1,'Results and Rankings'!$J195) + IF('Results and Rankings'!$K195="",NumberOfTeams+1,'Results and Rankings'!$K195) + IF('Results and Rankings'!$L195="",NumberOfTeams+1,'Results and Rankings'!$L195) + 'Results and Rankings'!$I195)</f>
        <v/>
      </c>
      <c r="N195" s="70" t="str">
        <f>IF('Results and Rankings'!$A195="","",IF(M195,RANK(M195,M$3:M$202,1)-COUNTIF(M$3:M$202,0),NumberOfTeams+1))</f>
        <v/>
      </c>
      <c r="O195" s="72" t="str">
        <f t="array" ref="O195">XLOOKUP('Results and Rankings'!$A195,'Core Values Input'!$A$2:$A$201,'Core Values Input'!$W$2:$W$201,0,0,)</f>
        <v>#VALUE!</v>
      </c>
      <c r="P195" s="72" t="str">
        <f t="array" ref="P195">XLOOKUP('Results and Rankings'!$A195,'Core Values Input'!$A$2:$A$201,'Core Values Input'!$X$2:$X$201,0,0,)</f>
        <v>#VALUE!</v>
      </c>
      <c r="Q195" s="72" t="str">
        <f t="array" ref="Q195">XLOOKUP('Results and Rankings'!$A195,'Core Values Input'!$A$2:$A$201,'Core Values Input'!$Y$2:$Y$201,0,0,)</f>
        <v>#VALUE!</v>
      </c>
      <c r="R195" s="38"/>
      <c r="S195" s="38"/>
      <c r="T195" s="72"/>
      <c r="U195" s="69" t="str">
        <f t="array" ref="U195">XLOOKUP('Results and Rankings'!$A195,'Core Values Input'!$A$2:$A$201,'Core Values Input'!$U$2:$U$201,0,0,)</f>
        <v>#VALUE!</v>
      </c>
      <c r="V195" s="69" t="str">
        <f t="array" ref="V195">XLOOKUP('Results and Rankings'!$A195,'Innovation Project Input'!$A$2:$A$201,'Innovation Project Input'!$M$2:$M$201,0,0,)</f>
        <v>#VALUE!</v>
      </c>
      <c r="W195" s="69" t="str">
        <f t="array" ref="W195">XLOOKUP('Results and Rankings'!$A195,'Robot Design Input'!$A$2:$A$201,'Robot Design Input'!$M$2:$M$201,0,0,)</f>
        <v>#VALUE!</v>
      </c>
      <c r="X195" s="73">
        <f>IF(ISERR(GEOMEAN('Results and Rankings'!$H195,'Results and Rankings'!$U195,'Results and Rankings'!$V195,'Results and Rankings'!$W195)),0,GEOMEAN('Results and Rankings'!$H195,'Results and Rankings'!$U195,'Results and Rankings'!$V195,'Results and Rankings'!$W195))</f>
        <v>0</v>
      </c>
      <c r="Y195" s="38">
        <f>IF(X195,_xlfn.RANK.EQ(X195,X$3:X$110,0),NumberOfTeams)</f>
        <v>0</v>
      </c>
      <c r="Z195" s="38"/>
    </row>
    <row r="196" ht="21.0" customHeight="1">
      <c r="A196" s="67" t="str">
        <f t="array" ref="A196">XLOOKUP(194,'Team and Program Information'!$B$3:$B$202,'Team and Program Information'!$C$3:$C$202,"ERROR",0)</f>
        <v/>
      </c>
      <c r="B196" s="68" t="str">
        <f t="array" ref="B196">XLOOKUP('Results and Rankings'!$A196,'Team and Program Information'!$C$3:$C$202,'Team and Program Information'!$D$3:$D$202,"",0,)</f>
        <v>#VALUE!</v>
      </c>
      <c r="C196" s="69" t="str">
        <f t="array" ref="C196">IF('Results and Rankings'!$A196="","",XLOOKUP('Results and Rankings'!$A196,'Robot Game Scores'!$B$2:$B$201,'Robot Game Scores'!$D$2:$D$201,0,0,))</f>
        <v/>
      </c>
      <c r="D196" s="69" t="str">
        <f t="array" ref="D196">IF('Results and Rankings'!$A196="","",XLOOKUP('Results and Rankings'!$A196,'Robot Game Scores'!$B$2:$B$201,'Robot Game Scores'!$E$2:$E$201,0,0,))</f>
        <v/>
      </c>
      <c r="E196" s="69" t="str">
        <f t="array" ref="E196">IF('Results and Rankings'!$A196="","",XLOOKUP('Results and Rankings'!$A196,'Robot Game Scores'!$B$2:$B$201,'Robot Game Scores'!$F$2:$F$201,0,0,))</f>
        <v/>
      </c>
      <c r="F196" s="69" t="str">
        <f t="array" ref="F196">IF('Results and Rankings'!$A196="","",XLOOKUP('Results and Rankings'!$A196,'Robot Game Scores'!$B$2:$B$201,'Robot Game Scores'!$G$2:$G$201,0,0,))</f>
        <v/>
      </c>
      <c r="G196" s="69" t="str">
        <f t="array" ref="G196">IF('Results and Rankings'!$A196="","",XLOOKUP('Results and Rankings'!$A196,'Robot Game Scores'!$B$2:$B$201,'Robot Game Scores'!$H$2:$H$201,0,0,))</f>
        <v/>
      </c>
      <c r="H196" s="69" t="str">
        <f>IF('Results and Rankings'!$A196="","",IF(ISNA(LARGE('Results and Rankings'!$C196:$G196,1)+0.0001*LARGE('Results and Rankings'!$C196:$G196,2)+0.0000001*LARGE('Results and Rankings'!$C196:$G196,3)+1E-11*LARGE('Results and Rankings'!$C196:$G196,4)+1E-14*LARGE('Results and Rankings'!$C196:$G196,5)),0,LARGE('Results and Rankings'!$C196:$G196,1)+0.0001*LARGE('Results and Rankings'!$C196:$G196,2)+0.0000001*LARGE('Results and Rankings'!$C196:$G196,3)+1E-11*LARGE('Results and Rankings'!$C196:$G196,4)+1E-14*LARGE('Results and Rankings'!$C196:$G196,5)))</f>
        <v/>
      </c>
      <c r="I196" s="69" t="str">
        <f>IF('Results and Rankings'!$A196="","",_xlfn.RANK.EQ('Results and Rankings'!$H196,'Results and Rankings'!$H$3:$H$202))</f>
        <v/>
      </c>
      <c r="J196" s="69" t="str">
        <f t="array" ref="J196">IF('Results and Rankings'!$A196="","",XLOOKUP('Results and Rankings'!$A196,'Core Values Input'!$A$2:$A$201,'Core Values Input'!$V$2:$V$201,NumberOfTeams+1,0,))</f>
        <v/>
      </c>
      <c r="K196" s="69" t="str">
        <f t="array" ref="K196">IF('Results and Rankings'!$A196="","",XLOOKUP('Results and Rankings'!$A196,'Innovation Project Input'!$A$2:$A$201,'Innovation Project Input'!$N$2:$N$201,NumberOfTeams+1,0,))</f>
        <v/>
      </c>
      <c r="L196" s="69" t="str">
        <f t="array" ref="L196">IF('Results and Rankings'!$A196="","",XLOOKUP('Results and Rankings'!$A196,'Robot Design Input'!$A$2:$A$201,'Robot Design Input'!$N$2:$N$201,NumberOfTeams+1,0,))</f>
        <v/>
      </c>
      <c r="M196" s="69" t="str">
        <f> IF('Results and Rankings'!$A196="","",IF('Results and Rankings'!$J196="",NumberOfTeams+1,'Results and Rankings'!$J196) + IF('Results and Rankings'!$K196="",NumberOfTeams+1,'Results and Rankings'!$K196) + IF('Results and Rankings'!$L196="",NumberOfTeams+1,'Results and Rankings'!$L196) + 'Results and Rankings'!$I196)</f>
        <v/>
      </c>
      <c r="N196" s="70" t="str">
        <f>IF('Results and Rankings'!$A196="","",IF(M196,RANK(M196,M$3:M$202,1)-COUNTIF(M$3:M$202,0),NumberOfTeams+1))</f>
        <v/>
      </c>
      <c r="O196" s="72" t="str">
        <f t="array" ref="O196">XLOOKUP('Results and Rankings'!$A196,'Core Values Input'!$A$2:$A$201,'Core Values Input'!$W$2:$W$201,0,0,)</f>
        <v>#VALUE!</v>
      </c>
      <c r="P196" s="72" t="str">
        <f t="array" ref="P196">XLOOKUP('Results and Rankings'!$A196,'Core Values Input'!$A$2:$A$201,'Core Values Input'!$X$2:$X$201,0,0,)</f>
        <v>#VALUE!</v>
      </c>
      <c r="Q196" s="72" t="str">
        <f t="array" ref="Q196">XLOOKUP('Results and Rankings'!$A196,'Core Values Input'!$A$2:$A$201,'Core Values Input'!$Y$2:$Y$201,0,0,)</f>
        <v>#VALUE!</v>
      </c>
      <c r="R196" s="38"/>
      <c r="S196" s="38"/>
      <c r="T196" s="72"/>
      <c r="U196" s="69" t="str">
        <f t="array" ref="U196">XLOOKUP('Results and Rankings'!$A196,'Core Values Input'!$A$2:$A$201,'Core Values Input'!$U$2:$U$201,0,0,)</f>
        <v>#VALUE!</v>
      </c>
      <c r="V196" s="69" t="str">
        <f t="array" ref="V196">XLOOKUP('Results and Rankings'!$A196,'Innovation Project Input'!$A$2:$A$201,'Innovation Project Input'!$M$2:$M$201,0,0,)</f>
        <v>#VALUE!</v>
      </c>
      <c r="W196" s="69" t="str">
        <f t="array" ref="W196">XLOOKUP('Results and Rankings'!$A196,'Robot Design Input'!$A$2:$A$201,'Robot Design Input'!$M$2:$M$201,0,0,)</f>
        <v>#VALUE!</v>
      </c>
      <c r="X196" s="73">
        <f>IF(ISERR(GEOMEAN('Results and Rankings'!$H196,'Results and Rankings'!$U196,'Results and Rankings'!$V196,'Results and Rankings'!$W196)),0,GEOMEAN('Results and Rankings'!$H196,'Results and Rankings'!$U196,'Results and Rankings'!$V196,'Results and Rankings'!$W196))</f>
        <v>0</v>
      </c>
      <c r="Y196" s="38">
        <f>IF(X196,_xlfn.RANK.EQ(X196,X$3:X$110,0),NumberOfTeams)</f>
        <v>0</v>
      </c>
      <c r="Z196" s="38"/>
    </row>
    <row r="197" ht="21.0" customHeight="1">
      <c r="A197" s="67" t="str">
        <f t="array" ref="A197">XLOOKUP(195,'Team and Program Information'!$B$3:$B$202,'Team and Program Information'!$C$3:$C$202,"ERROR",0)</f>
        <v/>
      </c>
      <c r="B197" s="68" t="str">
        <f t="array" ref="B197">XLOOKUP('Results and Rankings'!$A197,'Team and Program Information'!$C$3:$C$202,'Team and Program Information'!$D$3:$D$202,"",0,)</f>
        <v>#VALUE!</v>
      </c>
      <c r="C197" s="69" t="str">
        <f t="array" ref="C197">IF('Results and Rankings'!$A197="","",XLOOKUP('Results and Rankings'!$A197,'Robot Game Scores'!$B$2:$B$201,'Robot Game Scores'!$D$2:$D$201,0,0,))</f>
        <v/>
      </c>
      <c r="D197" s="69" t="str">
        <f t="array" ref="D197">IF('Results and Rankings'!$A197="","",XLOOKUP('Results and Rankings'!$A197,'Robot Game Scores'!$B$2:$B$201,'Robot Game Scores'!$E$2:$E$201,0,0,))</f>
        <v/>
      </c>
      <c r="E197" s="69" t="str">
        <f t="array" ref="E197">IF('Results and Rankings'!$A197="","",XLOOKUP('Results and Rankings'!$A197,'Robot Game Scores'!$B$2:$B$201,'Robot Game Scores'!$F$2:$F$201,0,0,))</f>
        <v/>
      </c>
      <c r="F197" s="69" t="str">
        <f t="array" ref="F197">IF('Results and Rankings'!$A197="","",XLOOKUP('Results and Rankings'!$A197,'Robot Game Scores'!$B$2:$B$201,'Robot Game Scores'!$G$2:$G$201,0,0,))</f>
        <v/>
      </c>
      <c r="G197" s="69" t="str">
        <f t="array" ref="G197">IF('Results and Rankings'!$A197="","",XLOOKUP('Results and Rankings'!$A197,'Robot Game Scores'!$B$2:$B$201,'Robot Game Scores'!$H$2:$H$201,0,0,))</f>
        <v/>
      </c>
      <c r="H197" s="69" t="str">
        <f>IF('Results and Rankings'!$A197="","",IF(ISNA(LARGE('Results and Rankings'!$C197:$G197,1)+0.0001*LARGE('Results and Rankings'!$C197:$G197,2)+0.0000001*LARGE('Results and Rankings'!$C197:$G197,3)+1E-11*LARGE('Results and Rankings'!$C197:$G197,4)+1E-14*LARGE('Results and Rankings'!$C197:$G197,5)),0,LARGE('Results and Rankings'!$C197:$G197,1)+0.0001*LARGE('Results and Rankings'!$C197:$G197,2)+0.0000001*LARGE('Results and Rankings'!$C197:$G197,3)+1E-11*LARGE('Results and Rankings'!$C197:$G197,4)+1E-14*LARGE('Results and Rankings'!$C197:$G197,5)))</f>
        <v/>
      </c>
      <c r="I197" s="69" t="str">
        <f>IF('Results and Rankings'!$A197="","",_xlfn.RANK.EQ('Results and Rankings'!$H197,'Results and Rankings'!$H$3:$H$202))</f>
        <v/>
      </c>
      <c r="J197" s="69" t="str">
        <f t="array" ref="J197">IF('Results and Rankings'!$A197="","",XLOOKUP('Results and Rankings'!$A197,'Core Values Input'!$A$2:$A$201,'Core Values Input'!$V$2:$V$201,NumberOfTeams+1,0,))</f>
        <v/>
      </c>
      <c r="K197" s="69" t="str">
        <f t="array" ref="K197">IF('Results and Rankings'!$A197="","",XLOOKUP('Results and Rankings'!$A197,'Innovation Project Input'!$A$2:$A$201,'Innovation Project Input'!$N$2:$N$201,NumberOfTeams+1,0,))</f>
        <v/>
      </c>
      <c r="L197" s="69" t="str">
        <f t="array" ref="L197">IF('Results and Rankings'!$A197="","",XLOOKUP('Results and Rankings'!$A197,'Robot Design Input'!$A$2:$A$201,'Robot Design Input'!$N$2:$N$201,NumberOfTeams+1,0,))</f>
        <v/>
      </c>
      <c r="M197" s="69" t="str">
        <f> IF('Results and Rankings'!$A197="","",IF('Results and Rankings'!$J197="",NumberOfTeams+1,'Results and Rankings'!$J197) + IF('Results and Rankings'!$K197="",NumberOfTeams+1,'Results and Rankings'!$K197) + IF('Results and Rankings'!$L197="",NumberOfTeams+1,'Results and Rankings'!$L197) + 'Results and Rankings'!$I197)</f>
        <v/>
      </c>
      <c r="N197" s="70" t="str">
        <f>IF('Results and Rankings'!$A197="","",IF(M197,RANK(M197,M$3:M$202,1)-COUNTIF(M$3:M$202,0),NumberOfTeams+1))</f>
        <v/>
      </c>
      <c r="O197" s="72" t="str">
        <f t="array" ref="O197">XLOOKUP('Results and Rankings'!$A197,'Core Values Input'!$A$2:$A$201,'Core Values Input'!$W$2:$W$201,0,0,)</f>
        <v>#VALUE!</v>
      </c>
      <c r="P197" s="72" t="str">
        <f t="array" ref="P197">XLOOKUP('Results and Rankings'!$A197,'Core Values Input'!$A$2:$A$201,'Core Values Input'!$X$2:$X$201,0,0,)</f>
        <v>#VALUE!</v>
      </c>
      <c r="Q197" s="72" t="str">
        <f t="array" ref="Q197">XLOOKUP('Results and Rankings'!$A197,'Core Values Input'!$A$2:$A$201,'Core Values Input'!$Y$2:$Y$201,0,0,)</f>
        <v>#VALUE!</v>
      </c>
      <c r="R197" s="38"/>
      <c r="S197" s="38"/>
      <c r="T197" s="72"/>
      <c r="U197" s="69" t="str">
        <f t="array" ref="U197">XLOOKUP('Results and Rankings'!$A197,'Core Values Input'!$A$2:$A$201,'Core Values Input'!$U$2:$U$201,0,0,)</f>
        <v>#VALUE!</v>
      </c>
      <c r="V197" s="69" t="str">
        <f t="array" ref="V197">XLOOKUP('Results and Rankings'!$A197,'Innovation Project Input'!$A$2:$A$201,'Innovation Project Input'!$M$2:$M$201,0,0,)</f>
        <v>#VALUE!</v>
      </c>
      <c r="W197" s="69" t="str">
        <f t="array" ref="W197">XLOOKUP('Results and Rankings'!$A197,'Robot Design Input'!$A$2:$A$201,'Robot Design Input'!$M$2:$M$201,0,0,)</f>
        <v>#VALUE!</v>
      </c>
      <c r="X197" s="73">
        <f>IF(ISERR(GEOMEAN('Results and Rankings'!$H197,'Results and Rankings'!$U197,'Results and Rankings'!$V197,'Results and Rankings'!$W197)),0,GEOMEAN('Results and Rankings'!$H197,'Results and Rankings'!$U197,'Results and Rankings'!$V197,'Results and Rankings'!$W197))</f>
        <v>0</v>
      </c>
      <c r="Y197" s="38">
        <f>IF(X197,_xlfn.RANK.EQ(X197,X$3:X$110,0),NumberOfTeams)</f>
        <v>0</v>
      </c>
      <c r="Z197" s="38"/>
    </row>
    <row r="198" ht="21.0" customHeight="1">
      <c r="A198" s="67" t="str">
        <f t="array" ref="A198">XLOOKUP(196,'Team and Program Information'!$B$3:$B$202,'Team and Program Information'!$C$3:$C$202,"ERROR",0)</f>
        <v/>
      </c>
      <c r="B198" s="68" t="str">
        <f t="array" ref="B198">XLOOKUP('Results and Rankings'!$A198,'Team and Program Information'!$C$3:$C$202,'Team and Program Information'!$D$3:$D$202,"",0,)</f>
        <v>#VALUE!</v>
      </c>
      <c r="C198" s="69" t="str">
        <f t="array" ref="C198">IF('Results and Rankings'!$A198="","",XLOOKUP('Results and Rankings'!$A198,'Robot Game Scores'!$B$2:$B$201,'Robot Game Scores'!$D$2:$D$201,0,0,))</f>
        <v/>
      </c>
      <c r="D198" s="69" t="str">
        <f t="array" ref="D198">IF('Results and Rankings'!$A198="","",XLOOKUP('Results and Rankings'!$A198,'Robot Game Scores'!$B$2:$B$201,'Robot Game Scores'!$E$2:$E$201,0,0,))</f>
        <v/>
      </c>
      <c r="E198" s="69" t="str">
        <f t="array" ref="E198">IF('Results and Rankings'!$A198="","",XLOOKUP('Results and Rankings'!$A198,'Robot Game Scores'!$B$2:$B$201,'Robot Game Scores'!$F$2:$F$201,0,0,))</f>
        <v/>
      </c>
      <c r="F198" s="69" t="str">
        <f t="array" ref="F198">IF('Results and Rankings'!$A198="","",XLOOKUP('Results and Rankings'!$A198,'Robot Game Scores'!$B$2:$B$201,'Robot Game Scores'!$G$2:$G$201,0,0,))</f>
        <v/>
      </c>
      <c r="G198" s="69" t="str">
        <f t="array" ref="G198">IF('Results and Rankings'!$A198="","",XLOOKUP('Results and Rankings'!$A198,'Robot Game Scores'!$B$2:$B$201,'Robot Game Scores'!$H$2:$H$201,0,0,))</f>
        <v/>
      </c>
      <c r="H198" s="69" t="str">
        <f>IF('Results and Rankings'!$A198="","",IF(ISNA(LARGE('Results and Rankings'!$C198:$G198,1)+0.0001*LARGE('Results and Rankings'!$C198:$G198,2)+0.0000001*LARGE('Results and Rankings'!$C198:$G198,3)+1E-11*LARGE('Results and Rankings'!$C198:$G198,4)+1E-14*LARGE('Results and Rankings'!$C198:$G198,5)),0,LARGE('Results and Rankings'!$C198:$G198,1)+0.0001*LARGE('Results and Rankings'!$C198:$G198,2)+0.0000001*LARGE('Results and Rankings'!$C198:$G198,3)+1E-11*LARGE('Results and Rankings'!$C198:$G198,4)+1E-14*LARGE('Results and Rankings'!$C198:$G198,5)))</f>
        <v/>
      </c>
      <c r="I198" s="69" t="str">
        <f>IF('Results and Rankings'!$A198="","",_xlfn.RANK.EQ('Results and Rankings'!$H198,'Results and Rankings'!$H$3:$H$202))</f>
        <v/>
      </c>
      <c r="J198" s="69" t="str">
        <f t="array" ref="J198">IF('Results and Rankings'!$A198="","",XLOOKUP('Results and Rankings'!$A198,'Core Values Input'!$A$2:$A$201,'Core Values Input'!$V$2:$V$201,NumberOfTeams+1,0,))</f>
        <v/>
      </c>
      <c r="K198" s="69" t="str">
        <f t="array" ref="K198">IF('Results and Rankings'!$A198="","",XLOOKUP('Results and Rankings'!$A198,'Innovation Project Input'!$A$2:$A$201,'Innovation Project Input'!$N$2:$N$201,NumberOfTeams+1,0,))</f>
        <v/>
      </c>
      <c r="L198" s="69" t="str">
        <f t="array" ref="L198">IF('Results and Rankings'!$A198="","",XLOOKUP('Results and Rankings'!$A198,'Robot Design Input'!$A$2:$A$201,'Robot Design Input'!$N$2:$N$201,NumberOfTeams+1,0,))</f>
        <v/>
      </c>
      <c r="M198" s="69" t="str">
        <f> IF('Results and Rankings'!$A198="","",IF('Results and Rankings'!$J198="",NumberOfTeams+1,'Results and Rankings'!$J198) + IF('Results and Rankings'!$K198="",NumberOfTeams+1,'Results and Rankings'!$K198) + IF('Results and Rankings'!$L198="",NumberOfTeams+1,'Results and Rankings'!$L198) + 'Results and Rankings'!$I198)</f>
        <v/>
      </c>
      <c r="N198" s="70" t="str">
        <f>IF('Results and Rankings'!$A198="","",IF(M198,RANK(M198,M$3:M$202,1)-COUNTIF(M$3:M$202,0),NumberOfTeams+1))</f>
        <v/>
      </c>
      <c r="O198" s="72" t="str">
        <f t="array" ref="O198">XLOOKUP('Results and Rankings'!$A198,'Core Values Input'!$A$2:$A$201,'Core Values Input'!$W$2:$W$201,0,0,)</f>
        <v>#VALUE!</v>
      </c>
      <c r="P198" s="72" t="str">
        <f t="array" ref="P198">XLOOKUP('Results and Rankings'!$A198,'Core Values Input'!$A$2:$A$201,'Core Values Input'!$X$2:$X$201,0,0,)</f>
        <v>#VALUE!</v>
      </c>
      <c r="Q198" s="72" t="str">
        <f t="array" ref="Q198">XLOOKUP('Results and Rankings'!$A198,'Core Values Input'!$A$2:$A$201,'Core Values Input'!$Y$2:$Y$201,0,0,)</f>
        <v>#VALUE!</v>
      </c>
      <c r="R198" s="38"/>
      <c r="S198" s="38"/>
      <c r="T198" s="72"/>
      <c r="U198" s="69" t="str">
        <f t="array" ref="U198">XLOOKUP('Results and Rankings'!$A198,'Core Values Input'!$A$2:$A$201,'Core Values Input'!$U$2:$U$201,0,0,)</f>
        <v>#VALUE!</v>
      </c>
      <c r="V198" s="69" t="str">
        <f t="array" ref="V198">XLOOKUP('Results and Rankings'!$A198,'Innovation Project Input'!$A$2:$A$201,'Innovation Project Input'!$M$2:$M$201,0,0,)</f>
        <v>#VALUE!</v>
      </c>
      <c r="W198" s="69" t="str">
        <f t="array" ref="W198">XLOOKUP('Results and Rankings'!$A198,'Robot Design Input'!$A$2:$A$201,'Robot Design Input'!$M$2:$M$201,0,0,)</f>
        <v>#VALUE!</v>
      </c>
      <c r="X198" s="73">
        <f>IF(ISERR(GEOMEAN('Results and Rankings'!$H198,'Results and Rankings'!$U198,'Results and Rankings'!$V198,'Results and Rankings'!$W198)),0,GEOMEAN('Results and Rankings'!$H198,'Results and Rankings'!$U198,'Results and Rankings'!$V198,'Results and Rankings'!$W198))</f>
        <v>0</v>
      </c>
      <c r="Y198" s="38">
        <f>IF(X198,_xlfn.RANK.EQ(X198,X$3:X$110,0),NumberOfTeams)</f>
        <v>0</v>
      </c>
      <c r="Z198" s="38"/>
    </row>
    <row r="199" ht="21.0" customHeight="1">
      <c r="A199" s="67" t="str">
        <f t="array" ref="A199">XLOOKUP(197,'Team and Program Information'!$B$3:$B$202,'Team and Program Information'!$C$3:$C$202,"ERROR",0)</f>
        <v/>
      </c>
      <c r="B199" s="68" t="str">
        <f t="array" ref="B199">XLOOKUP('Results and Rankings'!$A199,'Team and Program Information'!$C$3:$C$202,'Team and Program Information'!$D$3:$D$202,"",0,)</f>
        <v>#VALUE!</v>
      </c>
      <c r="C199" s="69" t="str">
        <f t="array" ref="C199">IF('Results and Rankings'!$A199="","",XLOOKUP('Results and Rankings'!$A199,'Robot Game Scores'!$B$2:$B$201,'Robot Game Scores'!$D$2:$D$201,0,0,))</f>
        <v/>
      </c>
      <c r="D199" s="69" t="str">
        <f t="array" ref="D199">IF('Results and Rankings'!$A199="","",XLOOKUP('Results and Rankings'!$A199,'Robot Game Scores'!$B$2:$B$201,'Robot Game Scores'!$E$2:$E$201,0,0,))</f>
        <v/>
      </c>
      <c r="E199" s="69" t="str">
        <f t="array" ref="E199">IF('Results and Rankings'!$A199="","",XLOOKUP('Results and Rankings'!$A199,'Robot Game Scores'!$B$2:$B$201,'Robot Game Scores'!$F$2:$F$201,0,0,))</f>
        <v/>
      </c>
      <c r="F199" s="69" t="str">
        <f t="array" ref="F199">IF('Results and Rankings'!$A199="","",XLOOKUP('Results and Rankings'!$A199,'Robot Game Scores'!$B$2:$B$201,'Robot Game Scores'!$G$2:$G$201,0,0,))</f>
        <v/>
      </c>
      <c r="G199" s="69" t="str">
        <f t="array" ref="G199">IF('Results and Rankings'!$A199="","",XLOOKUP('Results and Rankings'!$A199,'Robot Game Scores'!$B$2:$B$201,'Robot Game Scores'!$H$2:$H$201,0,0,))</f>
        <v/>
      </c>
      <c r="H199" s="69" t="str">
        <f>IF('Results and Rankings'!$A199="","",IF(ISNA(LARGE('Results and Rankings'!$C199:$G199,1)+0.0001*LARGE('Results and Rankings'!$C199:$G199,2)+0.0000001*LARGE('Results and Rankings'!$C199:$G199,3)+1E-11*LARGE('Results and Rankings'!$C199:$G199,4)+1E-14*LARGE('Results and Rankings'!$C199:$G199,5)),0,LARGE('Results and Rankings'!$C199:$G199,1)+0.0001*LARGE('Results and Rankings'!$C199:$G199,2)+0.0000001*LARGE('Results and Rankings'!$C199:$G199,3)+1E-11*LARGE('Results and Rankings'!$C199:$G199,4)+1E-14*LARGE('Results and Rankings'!$C199:$G199,5)))</f>
        <v/>
      </c>
      <c r="I199" s="69" t="str">
        <f>IF('Results and Rankings'!$A199="","",_xlfn.RANK.EQ('Results and Rankings'!$H199,'Results and Rankings'!$H$3:$H$202))</f>
        <v/>
      </c>
      <c r="J199" s="69" t="str">
        <f t="array" ref="J199">IF('Results and Rankings'!$A199="","",XLOOKUP('Results and Rankings'!$A199,'Core Values Input'!$A$2:$A$201,'Core Values Input'!$V$2:$V$201,NumberOfTeams+1,0,))</f>
        <v/>
      </c>
      <c r="K199" s="69" t="str">
        <f t="array" ref="K199">IF('Results and Rankings'!$A199="","",XLOOKUP('Results and Rankings'!$A199,'Innovation Project Input'!$A$2:$A$201,'Innovation Project Input'!$N$2:$N$201,NumberOfTeams+1,0,))</f>
        <v/>
      </c>
      <c r="L199" s="69" t="str">
        <f t="array" ref="L199">IF('Results and Rankings'!$A199="","",XLOOKUP('Results and Rankings'!$A199,'Robot Design Input'!$A$2:$A$201,'Robot Design Input'!$N$2:$N$201,NumberOfTeams+1,0,))</f>
        <v/>
      </c>
      <c r="M199" s="69" t="str">
        <f> IF('Results and Rankings'!$A199="","",IF('Results and Rankings'!$J199="",NumberOfTeams+1,'Results and Rankings'!$J199) + IF('Results and Rankings'!$K199="",NumberOfTeams+1,'Results and Rankings'!$K199) + IF('Results and Rankings'!$L199="",NumberOfTeams+1,'Results and Rankings'!$L199) + 'Results and Rankings'!$I199)</f>
        <v/>
      </c>
      <c r="N199" s="70" t="str">
        <f>IF('Results and Rankings'!$A199="","",IF(M199,RANK(M199,M$3:M$202,1)-COUNTIF(M$3:M$202,0),NumberOfTeams+1))</f>
        <v/>
      </c>
      <c r="O199" s="72" t="str">
        <f t="array" ref="O199">XLOOKUP('Results and Rankings'!$A199,'Core Values Input'!$A$2:$A$201,'Core Values Input'!$W$2:$W$201,0,0,)</f>
        <v>#VALUE!</v>
      </c>
      <c r="P199" s="72" t="str">
        <f t="array" ref="P199">XLOOKUP('Results and Rankings'!$A199,'Core Values Input'!$A$2:$A$201,'Core Values Input'!$X$2:$X$201,0,0,)</f>
        <v>#VALUE!</v>
      </c>
      <c r="Q199" s="72" t="str">
        <f t="array" ref="Q199">XLOOKUP('Results and Rankings'!$A199,'Core Values Input'!$A$2:$A$201,'Core Values Input'!$Y$2:$Y$201,0,0,)</f>
        <v>#VALUE!</v>
      </c>
      <c r="R199" s="38"/>
      <c r="S199" s="38"/>
      <c r="T199" s="72"/>
      <c r="U199" s="69" t="str">
        <f t="array" ref="U199">XLOOKUP('Results and Rankings'!$A199,'Core Values Input'!$A$2:$A$201,'Core Values Input'!$U$2:$U$201,0,0,)</f>
        <v>#VALUE!</v>
      </c>
      <c r="V199" s="69" t="str">
        <f t="array" ref="V199">XLOOKUP('Results and Rankings'!$A199,'Innovation Project Input'!$A$2:$A$201,'Innovation Project Input'!$M$2:$M$201,0,0,)</f>
        <v>#VALUE!</v>
      </c>
      <c r="W199" s="69" t="str">
        <f t="array" ref="W199">XLOOKUP('Results and Rankings'!$A199,'Robot Design Input'!$A$2:$A$201,'Robot Design Input'!$M$2:$M$201,0,0,)</f>
        <v>#VALUE!</v>
      </c>
      <c r="X199" s="73">
        <f>IF(ISERR(GEOMEAN('Results and Rankings'!$H199,'Results and Rankings'!$U199,'Results and Rankings'!$V199,'Results and Rankings'!$W199)),0,GEOMEAN('Results and Rankings'!$H199,'Results and Rankings'!$U199,'Results and Rankings'!$V199,'Results and Rankings'!$W199))</f>
        <v>0</v>
      </c>
      <c r="Y199" s="38">
        <f>IF(X199,_xlfn.RANK.EQ(X199,X$3:X$110,0),NumberOfTeams)</f>
        <v>0</v>
      </c>
      <c r="Z199" s="38"/>
    </row>
    <row r="200" ht="21.0" customHeight="1">
      <c r="A200" s="67" t="str">
        <f t="array" ref="A200">XLOOKUP(198,'Team and Program Information'!$B$3:$B$202,'Team and Program Information'!$C$3:$C$202,"ERROR",0)</f>
        <v/>
      </c>
      <c r="B200" s="68" t="str">
        <f t="array" ref="B200">XLOOKUP('Results and Rankings'!$A200,'Team and Program Information'!$C$3:$C$202,'Team and Program Information'!$D$3:$D$202,"",0,)</f>
        <v>#VALUE!</v>
      </c>
      <c r="C200" s="69" t="str">
        <f t="array" ref="C200">IF('Results and Rankings'!$A200="","",XLOOKUP('Results and Rankings'!$A200,'Robot Game Scores'!$B$2:$B$201,'Robot Game Scores'!$D$2:$D$201,0,0,))</f>
        <v/>
      </c>
      <c r="D200" s="69" t="str">
        <f t="array" ref="D200">IF('Results and Rankings'!$A200="","",XLOOKUP('Results and Rankings'!$A200,'Robot Game Scores'!$B$2:$B$201,'Robot Game Scores'!$E$2:$E$201,0,0,))</f>
        <v/>
      </c>
      <c r="E200" s="69" t="str">
        <f t="array" ref="E200">IF('Results and Rankings'!$A200="","",XLOOKUP('Results and Rankings'!$A200,'Robot Game Scores'!$B$2:$B$201,'Robot Game Scores'!$F$2:$F$201,0,0,))</f>
        <v/>
      </c>
      <c r="F200" s="69" t="str">
        <f t="array" ref="F200">IF('Results and Rankings'!$A200="","",XLOOKUP('Results and Rankings'!$A200,'Robot Game Scores'!$B$2:$B$201,'Robot Game Scores'!$G$2:$G$201,0,0,))</f>
        <v/>
      </c>
      <c r="G200" s="69" t="str">
        <f t="array" ref="G200">IF('Results and Rankings'!$A200="","",XLOOKUP('Results and Rankings'!$A200,'Robot Game Scores'!$B$2:$B$201,'Robot Game Scores'!$H$2:$H$201,0,0,))</f>
        <v/>
      </c>
      <c r="H200" s="69" t="str">
        <f>IF('Results and Rankings'!$A200="","",IF(ISNA(LARGE('Results and Rankings'!$C200:$G200,1)+0.0001*LARGE('Results and Rankings'!$C200:$G200,2)+0.0000001*LARGE('Results and Rankings'!$C200:$G200,3)+1E-11*LARGE('Results and Rankings'!$C200:$G200,4)+1E-14*LARGE('Results and Rankings'!$C200:$G200,5)),0,LARGE('Results and Rankings'!$C200:$G200,1)+0.0001*LARGE('Results and Rankings'!$C200:$G200,2)+0.0000001*LARGE('Results and Rankings'!$C200:$G200,3)+1E-11*LARGE('Results and Rankings'!$C200:$G200,4)+1E-14*LARGE('Results and Rankings'!$C200:$G200,5)))</f>
        <v/>
      </c>
      <c r="I200" s="69" t="str">
        <f>IF('Results and Rankings'!$A200="","",_xlfn.RANK.EQ('Results and Rankings'!$H200,'Results and Rankings'!$H$3:$H$202))</f>
        <v/>
      </c>
      <c r="J200" s="69" t="str">
        <f t="array" ref="J200">IF('Results and Rankings'!$A200="","",XLOOKUP('Results and Rankings'!$A200,'Core Values Input'!$A$2:$A$201,'Core Values Input'!$V$2:$V$201,NumberOfTeams+1,0,))</f>
        <v/>
      </c>
      <c r="K200" s="69" t="str">
        <f t="array" ref="K200">IF('Results and Rankings'!$A200="","",XLOOKUP('Results and Rankings'!$A200,'Innovation Project Input'!$A$2:$A$201,'Innovation Project Input'!$N$2:$N$201,NumberOfTeams+1,0,))</f>
        <v/>
      </c>
      <c r="L200" s="69" t="str">
        <f t="array" ref="L200">IF('Results and Rankings'!$A200="","",XLOOKUP('Results and Rankings'!$A200,'Robot Design Input'!$A$2:$A$201,'Robot Design Input'!$N$2:$N$201,NumberOfTeams+1,0,))</f>
        <v/>
      </c>
      <c r="M200" s="69" t="str">
        <f> IF('Results and Rankings'!$A200="","",IF('Results and Rankings'!$J200="",NumberOfTeams+1,'Results and Rankings'!$J200) + IF('Results and Rankings'!$K200="",NumberOfTeams+1,'Results and Rankings'!$K200) + IF('Results and Rankings'!$L200="",NumberOfTeams+1,'Results and Rankings'!$L200) + 'Results and Rankings'!$I200)</f>
        <v/>
      </c>
      <c r="N200" s="70" t="str">
        <f>IF('Results and Rankings'!$A200="","",IF(M200,RANK(M200,M$3:M$202,1)-COUNTIF(M$3:M$202,0),NumberOfTeams+1))</f>
        <v/>
      </c>
      <c r="O200" s="72" t="str">
        <f t="array" ref="O200">XLOOKUP('Results and Rankings'!$A200,'Core Values Input'!$A$2:$A$201,'Core Values Input'!$W$2:$W$201,0,0,)</f>
        <v>#VALUE!</v>
      </c>
      <c r="P200" s="72" t="str">
        <f t="array" ref="P200">XLOOKUP('Results and Rankings'!$A200,'Core Values Input'!$A$2:$A$201,'Core Values Input'!$X$2:$X$201,0,0,)</f>
        <v>#VALUE!</v>
      </c>
      <c r="Q200" s="72" t="str">
        <f t="array" ref="Q200">XLOOKUP('Results and Rankings'!$A200,'Core Values Input'!$A$2:$A$201,'Core Values Input'!$Y$2:$Y$201,0,0,)</f>
        <v>#VALUE!</v>
      </c>
      <c r="R200" s="38"/>
      <c r="S200" s="38"/>
      <c r="T200" s="72"/>
      <c r="U200" s="69" t="str">
        <f t="array" ref="U200">XLOOKUP('Results and Rankings'!$A200,'Core Values Input'!$A$2:$A$201,'Core Values Input'!$U$2:$U$201,0,0,)</f>
        <v>#VALUE!</v>
      </c>
      <c r="V200" s="69" t="str">
        <f t="array" ref="V200">XLOOKUP('Results and Rankings'!$A200,'Innovation Project Input'!$A$2:$A$201,'Innovation Project Input'!$M$2:$M$201,0,0,)</f>
        <v>#VALUE!</v>
      </c>
      <c r="W200" s="69" t="str">
        <f t="array" ref="W200">XLOOKUP('Results and Rankings'!$A200,'Robot Design Input'!$A$2:$A$201,'Robot Design Input'!$M$2:$M$201,0,0,)</f>
        <v>#VALUE!</v>
      </c>
      <c r="X200" s="73">
        <f>IF(ISERR(GEOMEAN('Results and Rankings'!$H200,'Results and Rankings'!$U200,'Results and Rankings'!$V200,'Results and Rankings'!$W200)),0,GEOMEAN('Results and Rankings'!$H200,'Results and Rankings'!$U200,'Results and Rankings'!$V200,'Results and Rankings'!$W200))</f>
        <v>0</v>
      </c>
      <c r="Y200" s="38">
        <f>IF(X200,_xlfn.RANK.EQ(X200,X$3:X$110,0),NumberOfTeams)</f>
        <v>0</v>
      </c>
      <c r="Z200" s="38"/>
    </row>
    <row r="201" ht="21.0" customHeight="1">
      <c r="A201" s="67" t="str">
        <f t="array" ref="A201">XLOOKUP(199,'Team and Program Information'!$B$3:$B$202,'Team and Program Information'!$C$3:$C$202,"ERROR",0)</f>
        <v/>
      </c>
      <c r="B201" s="68" t="str">
        <f t="array" ref="B201">XLOOKUP('Results and Rankings'!$A201,'Team and Program Information'!$C$3:$C$202,'Team and Program Information'!$D$3:$D$202,"",0,)</f>
        <v>#VALUE!</v>
      </c>
      <c r="C201" s="69" t="str">
        <f t="array" ref="C201">IF('Results and Rankings'!$A201="","",XLOOKUP('Results and Rankings'!$A201,'Robot Game Scores'!$B$2:$B$201,'Robot Game Scores'!$D$2:$D$201,0,0,))</f>
        <v/>
      </c>
      <c r="D201" s="69" t="str">
        <f t="array" ref="D201">IF('Results and Rankings'!$A201="","",XLOOKUP('Results and Rankings'!$A201,'Robot Game Scores'!$B$2:$B$201,'Robot Game Scores'!$E$2:$E$201,0,0,))</f>
        <v/>
      </c>
      <c r="E201" s="69" t="str">
        <f t="array" ref="E201">IF('Results and Rankings'!$A201="","",XLOOKUP('Results and Rankings'!$A201,'Robot Game Scores'!$B$2:$B$201,'Robot Game Scores'!$F$2:$F$201,0,0,))</f>
        <v/>
      </c>
      <c r="F201" s="69" t="str">
        <f t="array" ref="F201">IF('Results and Rankings'!$A201="","",XLOOKUP('Results and Rankings'!$A201,'Robot Game Scores'!$B$2:$B$201,'Robot Game Scores'!$G$2:$G$201,0,0,))</f>
        <v/>
      </c>
      <c r="G201" s="69" t="str">
        <f t="array" ref="G201">IF('Results and Rankings'!$A201="","",XLOOKUP('Results and Rankings'!$A201,'Robot Game Scores'!$B$2:$B$201,'Robot Game Scores'!$H$2:$H$201,0,0,))</f>
        <v/>
      </c>
      <c r="H201" s="69" t="str">
        <f>IF('Results and Rankings'!$A201="","",IF(ISNA(LARGE('Results and Rankings'!$C201:$G201,1)+0.0001*LARGE('Results and Rankings'!$C201:$G201,2)+0.0000001*LARGE('Results and Rankings'!$C201:$G201,3)+1E-11*LARGE('Results and Rankings'!$C201:$G201,4)+1E-14*LARGE('Results and Rankings'!$C201:$G201,5)),0,LARGE('Results and Rankings'!$C201:$G201,1)+0.0001*LARGE('Results and Rankings'!$C201:$G201,2)+0.0000001*LARGE('Results and Rankings'!$C201:$G201,3)+1E-11*LARGE('Results and Rankings'!$C201:$G201,4)+1E-14*LARGE('Results and Rankings'!$C201:$G201,5)))</f>
        <v/>
      </c>
      <c r="I201" s="69" t="str">
        <f>IF('Results and Rankings'!$A201="","",_xlfn.RANK.EQ('Results and Rankings'!$H201,'Results and Rankings'!$H$3:$H$202))</f>
        <v/>
      </c>
      <c r="J201" s="69" t="str">
        <f t="array" ref="J201">IF('Results and Rankings'!$A201="","",XLOOKUP('Results and Rankings'!$A201,'Core Values Input'!$A$2:$A$201,'Core Values Input'!$V$2:$V$201,NumberOfTeams+1,0,))</f>
        <v/>
      </c>
      <c r="K201" s="69" t="str">
        <f t="array" ref="K201">IF('Results and Rankings'!$A201="","",XLOOKUP('Results and Rankings'!$A201,'Innovation Project Input'!$A$2:$A$201,'Innovation Project Input'!$N$2:$N$201,NumberOfTeams+1,0,))</f>
        <v/>
      </c>
      <c r="L201" s="69" t="str">
        <f t="array" ref="L201">IF('Results and Rankings'!$A201="","",XLOOKUP('Results and Rankings'!$A201,'Robot Design Input'!$A$2:$A$201,'Robot Design Input'!$N$2:$N$201,NumberOfTeams+1,0,))</f>
        <v/>
      </c>
      <c r="M201" s="69" t="str">
        <f> IF('Results and Rankings'!$A201="","",IF('Results and Rankings'!$J201="",NumberOfTeams+1,'Results and Rankings'!$J201) + IF('Results and Rankings'!$K201="",NumberOfTeams+1,'Results and Rankings'!$K201) + IF('Results and Rankings'!$L201="",NumberOfTeams+1,'Results and Rankings'!$L201) + 'Results and Rankings'!$I201)</f>
        <v/>
      </c>
      <c r="N201" s="70" t="str">
        <f>IF('Results and Rankings'!$A201="","",IF(M201,RANK(M201,M$3:M$202,1)-COUNTIF(M$3:M$202,0),NumberOfTeams+1))</f>
        <v/>
      </c>
      <c r="O201" s="72" t="str">
        <f t="array" ref="O201">XLOOKUP('Results and Rankings'!$A201,'Core Values Input'!$A$2:$A$201,'Core Values Input'!$W$2:$W$201,0,0,)</f>
        <v>#VALUE!</v>
      </c>
      <c r="P201" s="72" t="str">
        <f t="array" ref="P201">XLOOKUP('Results and Rankings'!$A201,'Core Values Input'!$A$2:$A$201,'Core Values Input'!$X$2:$X$201,0,0,)</f>
        <v>#VALUE!</v>
      </c>
      <c r="Q201" s="72" t="str">
        <f t="array" ref="Q201">XLOOKUP('Results and Rankings'!$A201,'Core Values Input'!$A$2:$A$201,'Core Values Input'!$Y$2:$Y$201,0,0,)</f>
        <v>#VALUE!</v>
      </c>
      <c r="R201" s="38"/>
      <c r="S201" s="38"/>
      <c r="T201" s="72"/>
      <c r="U201" s="69" t="str">
        <f t="array" ref="U201">XLOOKUP('Results and Rankings'!$A201,'Core Values Input'!$A$2:$A$201,'Core Values Input'!$U$2:$U$201,0,0,)</f>
        <v>#VALUE!</v>
      </c>
      <c r="V201" s="69" t="str">
        <f t="array" ref="V201">XLOOKUP('Results and Rankings'!$A201,'Innovation Project Input'!$A$2:$A$201,'Innovation Project Input'!$M$2:$M$201,0,0,)</f>
        <v>#VALUE!</v>
      </c>
      <c r="W201" s="69" t="str">
        <f t="array" ref="W201">XLOOKUP('Results and Rankings'!$A201,'Robot Design Input'!$A$2:$A$201,'Robot Design Input'!$M$2:$M$201,0,0,)</f>
        <v>#VALUE!</v>
      </c>
      <c r="X201" s="73">
        <f>IF(ISERR(GEOMEAN('Results and Rankings'!$H201,'Results and Rankings'!$U201,'Results and Rankings'!$V201,'Results and Rankings'!$W201)),0,GEOMEAN('Results and Rankings'!$H201,'Results and Rankings'!$U201,'Results and Rankings'!$V201,'Results and Rankings'!$W201))</f>
        <v>0</v>
      </c>
      <c r="Y201" s="38">
        <f>IF(X201,_xlfn.RANK.EQ(X201,X$3:X$110,0),NumberOfTeams)</f>
        <v>0</v>
      </c>
      <c r="Z201" s="38"/>
    </row>
    <row r="202" ht="21.0" customHeight="1">
      <c r="A202" s="67" t="str">
        <f t="array" ref="A202">XLOOKUP(200,'Team and Program Information'!$B$3:$B$202,'Team and Program Information'!$C$3:$C$202,"ERROR",0)</f>
        <v/>
      </c>
      <c r="B202" s="68" t="str">
        <f t="array" ref="B202">XLOOKUP('Results and Rankings'!$A202,'Team and Program Information'!$C$3:$C$202,'Team and Program Information'!$D$3:$D$202,"",0,)</f>
        <v>#VALUE!</v>
      </c>
      <c r="C202" s="69" t="str">
        <f t="array" ref="C202">IF('Results and Rankings'!$A202="","",XLOOKUP('Results and Rankings'!$A202,'Robot Game Scores'!$B$2:$B$201,'Robot Game Scores'!$D$2:$D$201,0,0,))</f>
        <v/>
      </c>
      <c r="D202" s="69" t="str">
        <f t="array" ref="D202">IF('Results and Rankings'!$A202="","",XLOOKUP('Results and Rankings'!$A202,'Robot Game Scores'!$B$2:$B$201,'Robot Game Scores'!$E$2:$E$201,0,0,))</f>
        <v/>
      </c>
      <c r="E202" s="69" t="str">
        <f t="array" ref="E202">IF('Results and Rankings'!$A202="","",XLOOKUP('Results and Rankings'!$A202,'Robot Game Scores'!$B$2:$B$201,'Robot Game Scores'!$F$2:$F$201,0,0,))</f>
        <v/>
      </c>
      <c r="F202" s="69" t="str">
        <f t="array" ref="F202">IF('Results and Rankings'!$A202="","",XLOOKUP('Results and Rankings'!$A202,'Robot Game Scores'!$B$2:$B$201,'Robot Game Scores'!$G$2:$G$201,0,0,))</f>
        <v/>
      </c>
      <c r="G202" s="69" t="str">
        <f t="array" ref="G202">IF('Results and Rankings'!$A202="","",XLOOKUP('Results and Rankings'!$A202,'Robot Game Scores'!$B$2:$B$201,'Robot Game Scores'!$H$2:$H$201,0,0,))</f>
        <v/>
      </c>
      <c r="H202" s="69" t="str">
        <f>IF('Results and Rankings'!$A202="","",IF(ISNA(LARGE('Results and Rankings'!$C202:$G202,1)+0.0001*LARGE('Results and Rankings'!$C202:$G202,2)+0.0000001*LARGE('Results and Rankings'!$C202:$G202,3)+1E-11*LARGE('Results and Rankings'!$C202:$G202,4)+1E-14*LARGE('Results and Rankings'!$C202:$G202,5)),0,LARGE('Results and Rankings'!$C202:$G202,1)+0.0001*LARGE('Results and Rankings'!$C202:$G202,2)+0.0000001*LARGE('Results and Rankings'!$C202:$G202,3)+1E-11*LARGE('Results and Rankings'!$C202:$G202,4)+1E-14*LARGE('Results and Rankings'!$C202:$G202,5)))</f>
        <v/>
      </c>
      <c r="I202" s="69" t="str">
        <f>IF('Results and Rankings'!$A202="","",_xlfn.RANK.EQ('Results and Rankings'!$H202,'Results and Rankings'!$H$3:$H$202))</f>
        <v/>
      </c>
      <c r="J202" s="69" t="str">
        <f t="array" ref="J202">IF('Results and Rankings'!$A202="","",XLOOKUP('Results and Rankings'!$A202,'Core Values Input'!$A$2:$A$201,'Core Values Input'!$V$2:$V$201,NumberOfTeams+1,0,))</f>
        <v/>
      </c>
      <c r="K202" s="69" t="str">
        <f t="array" ref="K202">IF('Results and Rankings'!$A202="","",XLOOKUP('Results and Rankings'!$A202,'Innovation Project Input'!$A$2:$A$201,'Innovation Project Input'!$N$2:$N$201,NumberOfTeams+1,0,))</f>
        <v/>
      </c>
      <c r="L202" s="69" t="str">
        <f t="array" ref="L202">IF('Results and Rankings'!$A202="","",XLOOKUP('Results and Rankings'!$A202,'Robot Design Input'!$A$2:$A$201,'Robot Design Input'!$N$2:$N$201,NumberOfTeams+1,0,))</f>
        <v/>
      </c>
      <c r="M202" s="69" t="str">
        <f> IF('Results and Rankings'!$A202="","",IF('Results and Rankings'!$J202="",NumberOfTeams+1,'Results and Rankings'!$J202) + IF('Results and Rankings'!$K202="",NumberOfTeams+1,'Results and Rankings'!$K202) + IF('Results and Rankings'!$L202="",NumberOfTeams+1,'Results and Rankings'!$L202) + 'Results and Rankings'!$I202)</f>
        <v/>
      </c>
      <c r="N202" s="70" t="str">
        <f>IF('Results and Rankings'!$A202="","",IF(M202,RANK(M202,M$3:M$202,1)-COUNTIF(M$3:M$202,0),NumberOfTeams+1))</f>
        <v/>
      </c>
      <c r="O202" s="72" t="str">
        <f t="array" ref="O202">XLOOKUP('Results and Rankings'!$A202,'Core Values Input'!$A$2:$A$201,'Core Values Input'!$W$2:$W$201,0,0,)</f>
        <v>#VALUE!</v>
      </c>
      <c r="P202" s="72" t="str">
        <f t="array" ref="P202">XLOOKUP('Results and Rankings'!$A202,'Core Values Input'!$A$2:$A$201,'Core Values Input'!$X$2:$X$201,0,0,)</f>
        <v>#VALUE!</v>
      </c>
      <c r="Q202" s="72" t="str">
        <f t="array" ref="Q202">XLOOKUP('Results and Rankings'!$A202,'Core Values Input'!$A$2:$A$201,'Core Values Input'!$Y$2:$Y$201,0,0,)</f>
        <v>#VALUE!</v>
      </c>
      <c r="R202" s="38"/>
      <c r="S202" s="38"/>
      <c r="T202" s="72"/>
      <c r="U202" s="69" t="str">
        <f t="array" ref="U202">XLOOKUP('Results and Rankings'!$A202,'Core Values Input'!$A$2:$A$201,'Core Values Input'!$U$2:$U$201,0,0,)</f>
        <v>#VALUE!</v>
      </c>
      <c r="V202" s="69" t="str">
        <f t="array" ref="V202">XLOOKUP('Results and Rankings'!$A202,'Innovation Project Input'!$A$2:$A$201,'Innovation Project Input'!$M$2:$M$201,0,0,)</f>
        <v>#VALUE!</v>
      </c>
      <c r="W202" s="69" t="str">
        <f t="array" ref="W202">XLOOKUP('Results and Rankings'!$A202,'Robot Design Input'!$A$2:$A$201,'Robot Design Input'!$M$2:$M$201,0,0,)</f>
        <v>#VALUE!</v>
      </c>
      <c r="X202" s="73">
        <f>IF(ISERR(GEOMEAN('Results and Rankings'!$H202,'Results and Rankings'!$U202,'Results and Rankings'!$V202,'Results and Rankings'!$W202)),0,GEOMEAN('Results and Rankings'!$H202,'Results and Rankings'!$U202,'Results and Rankings'!$V202,'Results and Rankings'!$W202))</f>
        <v>0</v>
      </c>
      <c r="Y202" s="38">
        <f>IF(X202,_xlfn.RANK.EQ(X202,X$3:X$110,0),NumberOfTeams)</f>
        <v>0</v>
      </c>
      <c r="Z202" s="38"/>
    </row>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A1:B1"/>
    <mergeCell ref="C1:I1"/>
    <mergeCell ref="J1:L1"/>
    <mergeCell ref="M1:Q1"/>
    <mergeCell ref="R1:T1"/>
    <mergeCell ref="U1:Y1"/>
  </mergeCells>
  <conditionalFormatting sqref="B3:Z202">
    <cfRule type="expression" dxfId="6" priority="1">
      <formula>IF($R3&lt;&gt;"",TRUE,FALSE)</formula>
    </cfRule>
  </conditionalFormatting>
  <conditionalFormatting sqref="I1:I202">
    <cfRule type="cellIs" dxfId="7" priority="2" operator="equal">
      <formula>3</formula>
    </cfRule>
  </conditionalFormatting>
  <conditionalFormatting sqref="I1:I202">
    <cfRule type="cellIs" dxfId="8" priority="3" operator="equal">
      <formula>2</formula>
    </cfRule>
  </conditionalFormatting>
  <conditionalFormatting sqref="I1:I202">
    <cfRule type="cellIs" dxfId="9" priority="4" operator="equal">
      <formula>1</formula>
    </cfRule>
  </conditionalFormatting>
  <conditionalFormatting sqref="O3:Q202">
    <cfRule type="cellIs" dxfId="10" priority="5" operator="greaterThan">
      <formula>0</formula>
    </cfRule>
  </conditionalFormatting>
  <conditionalFormatting sqref="T3:T101">
    <cfRule type="cellIs" dxfId="11" priority="6" operator="equal">
      <formula>"Yes"</formula>
    </cfRule>
  </conditionalFormatting>
  <dataValidations>
    <dataValidation type="list" allowBlank="1" showErrorMessage="1" sqref="S3:S202">
      <formula1>"1st,2nd,3rd,4th,5th"</formula1>
    </dataValidation>
    <dataValidation type="list" allowBlank="1" showErrorMessage="1" sqref="T3:T202">
      <formula1>"Yes,No"</formula1>
    </dataValidation>
    <dataValidation type="list" allowBlank="1" showErrorMessage="1" sqref="R3:R202">
      <formula1>AwardListLookup</formula1>
    </dataValidation>
  </dataValidation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16DB6"/>
    <pageSetUpPr/>
  </sheetPr>
  <sheetViews>
    <sheetView showGridLines="0" workbookViewId="0"/>
  </sheetViews>
  <sheetFormatPr customHeight="1" defaultColWidth="14.43" defaultRowHeight="15.0"/>
  <cols>
    <col customWidth="1" min="1" max="1" width="15.43"/>
    <col customWidth="1" min="2" max="2" width="32.43"/>
    <col customWidth="1" min="3" max="12" width="7.43"/>
    <col customWidth="1" min="13" max="13" width="10.43"/>
    <col customWidth="1" min="14" max="14" width="15.43"/>
    <col customWidth="1" min="15" max="26" width="8.71"/>
  </cols>
  <sheetData>
    <row r="1" ht="169.5" customHeight="1">
      <c r="A1" s="75" t="s">
        <v>24</v>
      </c>
      <c r="B1" s="76" t="s">
        <v>25</v>
      </c>
      <c r="C1" s="77" t="s">
        <v>66</v>
      </c>
      <c r="D1" s="77" t="s">
        <v>67</v>
      </c>
      <c r="E1" s="77" t="s">
        <v>68</v>
      </c>
      <c r="F1" s="77" t="s">
        <v>69</v>
      </c>
      <c r="G1" s="77" t="s">
        <v>70</v>
      </c>
      <c r="H1" s="77" t="s">
        <v>71</v>
      </c>
      <c r="I1" s="77" t="s">
        <v>72</v>
      </c>
      <c r="J1" s="77" t="s">
        <v>73</v>
      </c>
      <c r="K1" s="77" t="s">
        <v>74</v>
      </c>
      <c r="L1" s="77" t="s">
        <v>75</v>
      </c>
      <c r="M1" s="78" t="s">
        <v>76</v>
      </c>
      <c r="N1" s="79" t="s">
        <v>54</v>
      </c>
    </row>
    <row r="2" ht="30.0" customHeight="1">
      <c r="A2" s="38" t="str">
        <f t="array" ref="A2">(XLOOKUP(1,'Team and Program Information'!$B$3:$B$202,'Team and Program Information'!$C$3:$C$202,"ERROR",0))</f>
        <v/>
      </c>
      <c r="B2" s="68" t="str">
        <f t="array" ref="B2">XLOOKUP('Innovation Project Input'!$A2,'Team and Program Information'!$C$3:$C$202,'Team and Program Information'!$D$3:$D$202,"",0,)</f>
        <v>#VALUE!</v>
      </c>
      <c r="C2" s="38"/>
      <c r="D2" s="38"/>
      <c r="E2" s="38"/>
      <c r="F2" s="38"/>
      <c r="G2" s="38"/>
      <c r="H2" s="38"/>
      <c r="I2" s="38"/>
      <c r="J2" s="38"/>
      <c r="K2" s="38"/>
      <c r="L2" s="38"/>
      <c r="M2" s="38">
        <f>SUM('Innovation Project Input'!$C2:$L2)</f>
        <v>0</v>
      </c>
      <c r="N2" s="80">
        <f>IF('Innovation Project Input'!$A2&gt;0,MIN(_xlfn.RANK.EQ('Innovation Project Input'!$M2,'Innovation Project Input'!$M$2:$M$201,0),NumberOfTeams),NumberOfTeams+1)</f>
        <v>1</v>
      </c>
    </row>
    <row r="3" ht="30.0" customHeight="1">
      <c r="A3" s="38" t="str">
        <f t="array" ref="A3">(XLOOKUP(2,'Team and Program Information'!$B$3:$B$202,'Team and Program Information'!$C$3:$C$202,"ERROR",0))</f>
        <v/>
      </c>
      <c r="B3" s="68" t="str">
        <f t="array" ref="B3">XLOOKUP('Innovation Project Input'!$A3,'Team and Program Information'!$C$3:$C$202,'Team and Program Information'!$D$3:$D$202,"",0,)</f>
        <v>#VALUE!</v>
      </c>
      <c r="C3" s="38"/>
      <c r="D3" s="38"/>
      <c r="E3" s="38"/>
      <c r="F3" s="38"/>
      <c r="G3" s="38"/>
      <c r="H3" s="38"/>
      <c r="I3" s="38"/>
      <c r="J3" s="38"/>
      <c r="K3" s="38"/>
      <c r="L3" s="38"/>
      <c r="M3" s="38">
        <f>SUM('Innovation Project Input'!$C3:$L3)</f>
        <v>0</v>
      </c>
      <c r="N3" s="80">
        <f>IF('Innovation Project Input'!$A3&gt;0,MIN(_xlfn.RANK.EQ('Innovation Project Input'!$M3,'Innovation Project Input'!$M$2:$M$201,0),NumberOfTeams),NumberOfTeams+1)</f>
        <v>1</v>
      </c>
    </row>
    <row r="4" ht="30.0" customHeight="1">
      <c r="A4" s="38" t="str">
        <f t="array" ref="A4">(XLOOKUP(3,'Team and Program Information'!$B$3:$B$202,'Team and Program Information'!$C$3:$C$202,"ERROR",0))</f>
        <v/>
      </c>
      <c r="B4" s="68" t="str">
        <f t="array" ref="B4">XLOOKUP('Innovation Project Input'!$A4,'Team and Program Information'!$C$3:$C$202,'Team and Program Information'!$D$3:$D$202,"",0,)</f>
        <v>#VALUE!</v>
      </c>
      <c r="C4" s="38"/>
      <c r="D4" s="38"/>
      <c r="E4" s="38"/>
      <c r="F4" s="38"/>
      <c r="G4" s="38"/>
      <c r="H4" s="38"/>
      <c r="I4" s="38"/>
      <c r="J4" s="38"/>
      <c r="K4" s="38"/>
      <c r="L4" s="38"/>
      <c r="M4" s="38">
        <f>SUM('Innovation Project Input'!$C4:$L4)</f>
        <v>0</v>
      </c>
      <c r="N4" s="80">
        <f>IF('Innovation Project Input'!$A4&gt;0,MIN(_xlfn.RANK.EQ('Innovation Project Input'!$M4,'Innovation Project Input'!$M$2:$M$201,0),NumberOfTeams),NumberOfTeams+1)</f>
        <v>1</v>
      </c>
    </row>
    <row r="5" ht="30.0" customHeight="1">
      <c r="A5" s="38" t="str">
        <f t="array" ref="A5">XLOOKUP(4,'Team and Program Information'!$B$3:$B$202,'Team and Program Information'!$C$3:$C$202,"ERROR",0)</f>
        <v/>
      </c>
      <c r="B5" s="68" t="str">
        <f t="array" ref="B5">XLOOKUP('Innovation Project Input'!$A5,'Team and Program Information'!$C$3:$C$202,'Team and Program Information'!$D$3:$D$202,"",0,)</f>
        <v>#VALUE!</v>
      </c>
      <c r="C5" s="38"/>
      <c r="D5" s="38"/>
      <c r="E5" s="38"/>
      <c r="F5" s="38"/>
      <c r="G5" s="38"/>
      <c r="H5" s="38"/>
      <c r="I5" s="38"/>
      <c r="J5" s="38"/>
      <c r="K5" s="38"/>
      <c r="L5" s="38"/>
      <c r="M5" s="38">
        <f>SUM('Innovation Project Input'!$C5:$L5)</f>
        <v>0</v>
      </c>
      <c r="N5" s="80">
        <f>IF('Innovation Project Input'!$A5&gt;0,MIN(_xlfn.RANK.EQ('Innovation Project Input'!$M5,'Innovation Project Input'!$M$2:$M$201,0),NumberOfTeams),NumberOfTeams+1)</f>
        <v>1</v>
      </c>
    </row>
    <row r="6" ht="30.0" customHeight="1">
      <c r="A6" s="38" t="str">
        <f t="array" ref="A6">XLOOKUP(5,'Team and Program Information'!$B$3:$B$202,'Team and Program Information'!$C$3:$C$202,"ERROR",0)</f>
        <v/>
      </c>
      <c r="B6" s="68" t="str">
        <f t="array" ref="B6">XLOOKUP('Innovation Project Input'!$A6,'Team and Program Information'!$C$3:$C$202,'Team and Program Information'!$D$3:$D$202,"",0,)</f>
        <v>#VALUE!</v>
      </c>
      <c r="C6" s="38"/>
      <c r="D6" s="38"/>
      <c r="E6" s="38"/>
      <c r="F6" s="38"/>
      <c r="G6" s="38"/>
      <c r="H6" s="38"/>
      <c r="I6" s="38"/>
      <c r="J6" s="38"/>
      <c r="K6" s="38"/>
      <c r="L6" s="38"/>
      <c r="M6" s="38">
        <f>SUM('Innovation Project Input'!$C6:$L6)</f>
        <v>0</v>
      </c>
      <c r="N6" s="80">
        <f>IF('Innovation Project Input'!$A6&gt;0,MIN(_xlfn.RANK.EQ('Innovation Project Input'!$M6,'Innovation Project Input'!$M$2:$M$201,0),NumberOfTeams),NumberOfTeams+1)</f>
        <v>1</v>
      </c>
    </row>
    <row r="7" ht="30.0" customHeight="1">
      <c r="A7" s="38" t="str">
        <f t="array" ref="A7">XLOOKUP(6,'Team and Program Information'!$B$3:$B$202,'Team and Program Information'!$C$3:$C$202,"ERROR",0)</f>
        <v/>
      </c>
      <c r="B7" s="68" t="str">
        <f t="array" ref="B7">XLOOKUP('Innovation Project Input'!$A7,'Team and Program Information'!$C$3:$C$202,'Team and Program Information'!$D$3:$D$202,"",0,)</f>
        <v>#VALUE!</v>
      </c>
      <c r="C7" s="38"/>
      <c r="D7" s="38"/>
      <c r="E7" s="38"/>
      <c r="F7" s="38"/>
      <c r="G7" s="38"/>
      <c r="H7" s="38"/>
      <c r="I7" s="38"/>
      <c r="J7" s="38"/>
      <c r="K7" s="38"/>
      <c r="L7" s="38"/>
      <c r="M7" s="38">
        <f>SUM('Innovation Project Input'!$C7:$L7)</f>
        <v>0</v>
      </c>
      <c r="N7" s="80">
        <f>IF('Innovation Project Input'!$A7&gt;0,MIN(_xlfn.RANK.EQ('Innovation Project Input'!$M7,'Innovation Project Input'!$M$2:$M$201,0),NumberOfTeams),NumberOfTeams+1)</f>
        <v>1</v>
      </c>
    </row>
    <row r="8" ht="30.0" customHeight="1">
      <c r="A8" s="38" t="str">
        <f t="array" ref="A8">XLOOKUP(7,'Team and Program Information'!$B$3:$B$202,'Team and Program Information'!$C$3:$C$202,"ERROR",0)</f>
        <v/>
      </c>
      <c r="B8" s="68" t="str">
        <f t="array" ref="B8">XLOOKUP('Innovation Project Input'!$A8,'Team and Program Information'!$C$3:$C$202,'Team and Program Information'!$D$3:$D$202,"",0,)</f>
        <v>#VALUE!</v>
      </c>
      <c r="C8" s="38"/>
      <c r="D8" s="38"/>
      <c r="E8" s="38"/>
      <c r="F8" s="38"/>
      <c r="G8" s="38"/>
      <c r="H8" s="38"/>
      <c r="I8" s="38"/>
      <c r="J8" s="38"/>
      <c r="K8" s="38"/>
      <c r="L8" s="38"/>
      <c r="M8" s="38">
        <f>SUM('Innovation Project Input'!$C8:$L8)</f>
        <v>0</v>
      </c>
      <c r="N8" s="80">
        <f>IF('Innovation Project Input'!$A8&gt;0,MIN(_xlfn.RANK.EQ('Innovation Project Input'!$M8,'Innovation Project Input'!$M$2:$M$201,0),NumberOfTeams),NumberOfTeams+1)</f>
        <v>1</v>
      </c>
    </row>
    <row r="9" ht="30.0" customHeight="1">
      <c r="A9" s="38" t="str">
        <f t="array" ref="A9">XLOOKUP(8,'Team and Program Information'!$B$3:$B$202,'Team and Program Information'!$C$3:$C$202,"ERROR",0)</f>
        <v/>
      </c>
      <c r="B9" s="68" t="str">
        <f t="array" ref="B9">XLOOKUP('Innovation Project Input'!$A9,'Team and Program Information'!$C$3:$C$202,'Team and Program Information'!$D$3:$D$202,"",0,)</f>
        <v>#VALUE!</v>
      </c>
      <c r="C9" s="38"/>
      <c r="D9" s="38"/>
      <c r="E9" s="38"/>
      <c r="F9" s="38"/>
      <c r="G9" s="38"/>
      <c r="H9" s="38"/>
      <c r="I9" s="38"/>
      <c r="J9" s="38"/>
      <c r="K9" s="38"/>
      <c r="L9" s="38"/>
      <c r="M9" s="38">
        <f>SUM('Innovation Project Input'!$C9:$L9)</f>
        <v>0</v>
      </c>
      <c r="N9" s="80">
        <f>IF('Innovation Project Input'!$A9&gt;0,MIN(_xlfn.RANK.EQ('Innovation Project Input'!$M9,'Innovation Project Input'!$M$2:$M$201,0),NumberOfTeams),NumberOfTeams+1)</f>
        <v>1</v>
      </c>
    </row>
    <row r="10" ht="30.0" customHeight="1">
      <c r="A10" s="38" t="str">
        <f t="array" ref="A10">XLOOKUP(9,'Team and Program Information'!$B$3:$B$202,'Team and Program Information'!$C$3:$C$202,"ERROR",0)</f>
        <v/>
      </c>
      <c r="B10" s="68" t="str">
        <f t="array" ref="B10">XLOOKUP('Innovation Project Input'!$A10,'Team and Program Information'!$C$3:$C$202,'Team and Program Information'!$D$3:$D$202,"",0,)</f>
        <v>#VALUE!</v>
      </c>
      <c r="C10" s="38"/>
      <c r="D10" s="38"/>
      <c r="E10" s="38"/>
      <c r="F10" s="38"/>
      <c r="G10" s="38"/>
      <c r="H10" s="38"/>
      <c r="I10" s="38"/>
      <c r="J10" s="38"/>
      <c r="K10" s="38"/>
      <c r="L10" s="38"/>
      <c r="M10" s="38">
        <f>SUM('Innovation Project Input'!$C10:$L10)</f>
        <v>0</v>
      </c>
      <c r="N10" s="80">
        <f>IF('Innovation Project Input'!$A10&gt;0,MIN(_xlfn.RANK.EQ('Innovation Project Input'!$M10,'Innovation Project Input'!$M$2:$M$201,0),NumberOfTeams),NumberOfTeams+1)</f>
        <v>1</v>
      </c>
    </row>
    <row r="11" ht="30.0" customHeight="1">
      <c r="A11" s="38" t="str">
        <f t="array" ref="A11">XLOOKUP(10,'Team and Program Information'!$B$3:$B$202,'Team and Program Information'!$C$3:$C$202,"ERROR",0)</f>
        <v/>
      </c>
      <c r="B11" s="68" t="str">
        <f t="array" ref="B11">XLOOKUP('Innovation Project Input'!$A11,'Team and Program Information'!$C$3:$C$202,'Team and Program Information'!$D$3:$D$202,"",0,)</f>
        <v>#VALUE!</v>
      </c>
      <c r="C11" s="38"/>
      <c r="D11" s="38"/>
      <c r="E11" s="38"/>
      <c r="F11" s="38"/>
      <c r="G11" s="38"/>
      <c r="H11" s="38"/>
      <c r="I11" s="38"/>
      <c r="J11" s="38"/>
      <c r="K11" s="38"/>
      <c r="L11" s="38"/>
      <c r="M11" s="38">
        <f>SUM('Innovation Project Input'!$C11:$L11)</f>
        <v>0</v>
      </c>
      <c r="N11" s="80">
        <f>IF('Innovation Project Input'!$A11&gt;0,MIN(_xlfn.RANK.EQ('Innovation Project Input'!$M11,'Innovation Project Input'!$M$2:$M$201,0),NumberOfTeams),NumberOfTeams+1)</f>
        <v>1</v>
      </c>
    </row>
    <row r="12" ht="30.0" customHeight="1">
      <c r="A12" s="38" t="str">
        <f t="array" ref="A12">XLOOKUP(11,'Team and Program Information'!$B$3:$B$202,'Team and Program Information'!$C$3:$C$202,"ERROR",0)</f>
        <v/>
      </c>
      <c r="B12" s="68" t="str">
        <f t="array" ref="B12">XLOOKUP('Innovation Project Input'!$A12,'Team and Program Information'!$C$3:$C$202,'Team and Program Information'!$D$3:$D$202,"",0,)</f>
        <v>#VALUE!</v>
      </c>
      <c r="C12" s="38"/>
      <c r="D12" s="38"/>
      <c r="E12" s="38"/>
      <c r="F12" s="38"/>
      <c r="G12" s="38"/>
      <c r="H12" s="38"/>
      <c r="I12" s="38"/>
      <c r="J12" s="38"/>
      <c r="K12" s="38"/>
      <c r="L12" s="38"/>
      <c r="M12" s="38">
        <f>SUM('Innovation Project Input'!$C12:$L12)</f>
        <v>0</v>
      </c>
      <c r="N12" s="80">
        <f>IF('Innovation Project Input'!$A12&gt;0,MIN(_xlfn.RANK.EQ('Innovation Project Input'!$M12,'Innovation Project Input'!$M$2:$M$201,0),NumberOfTeams),NumberOfTeams+1)</f>
        <v>1</v>
      </c>
    </row>
    <row r="13" ht="30.0" customHeight="1">
      <c r="A13" s="38" t="str">
        <f t="array" ref="A13">XLOOKUP(12,'Team and Program Information'!$B$3:$B$202,'Team and Program Information'!$C$3:$C$202,"ERROR",0)</f>
        <v/>
      </c>
      <c r="B13" s="68" t="str">
        <f t="array" ref="B13">XLOOKUP('Innovation Project Input'!$A13,'Team and Program Information'!$C$3:$C$202,'Team and Program Information'!$D$3:$D$202,"",0,)</f>
        <v>#VALUE!</v>
      </c>
      <c r="C13" s="38"/>
      <c r="D13" s="38"/>
      <c r="E13" s="38"/>
      <c r="F13" s="38"/>
      <c r="G13" s="38"/>
      <c r="H13" s="38"/>
      <c r="I13" s="38"/>
      <c r="J13" s="38"/>
      <c r="K13" s="38"/>
      <c r="L13" s="38"/>
      <c r="M13" s="38">
        <f>SUM('Innovation Project Input'!$C13:$L13)</f>
        <v>0</v>
      </c>
      <c r="N13" s="80">
        <f>IF('Innovation Project Input'!$A13&gt;0,MIN(_xlfn.RANK.EQ('Innovation Project Input'!$M13,'Innovation Project Input'!$M$2:$M$201,0),NumberOfTeams),NumberOfTeams+1)</f>
        <v>1</v>
      </c>
    </row>
    <row r="14" ht="30.0" customHeight="1">
      <c r="A14" s="38" t="str">
        <f t="array" ref="A14">XLOOKUP(13,'Team and Program Information'!$B$3:$B$202,'Team and Program Information'!$C$3:$C$202,"ERROR",0)</f>
        <v/>
      </c>
      <c r="B14" s="68" t="str">
        <f t="array" ref="B14">XLOOKUP('Innovation Project Input'!$A14,'Team and Program Information'!$C$3:$C$202,'Team and Program Information'!$D$3:$D$202,"",0,)</f>
        <v>#VALUE!</v>
      </c>
      <c r="C14" s="38"/>
      <c r="D14" s="38"/>
      <c r="E14" s="38"/>
      <c r="F14" s="38"/>
      <c r="G14" s="38"/>
      <c r="H14" s="38"/>
      <c r="I14" s="38"/>
      <c r="J14" s="38"/>
      <c r="K14" s="38"/>
      <c r="L14" s="38"/>
      <c r="M14" s="38">
        <f>SUM('Innovation Project Input'!$C14:$L14)</f>
        <v>0</v>
      </c>
      <c r="N14" s="80">
        <f>IF('Innovation Project Input'!$A14&gt;0,MIN(_xlfn.RANK.EQ('Innovation Project Input'!$M14,'Innovation Project Input'!$M$2:$M$201,0),NumberOfTeams),NumberOfTeams+1)</f>
        <v>1</v>
      </c>
    </row>
    <row r="15" ht="30.0" customHeight="1">
      <c r="A15" s="38" t="str">
        <f t="array" ref="A15">XLOOKUP(14,'Team and Program Information'!$B$3:$B$202,'Team and Program Information'!$C$3:$C$202,"ERROR",0)</f>
        <v/>
      </c>
      <c r="B15" s="68" t="str">
        <f t="array" ref="B15">XLOOKUP('Innovation Project Input'!$A15,'Team and Program Information'!$C$3:$C$202,'Team and Program Information'!$D$3:$D$202,"",0,)</f>
        <v>#VALUE!</v>
      </c>
      <c r="C15" s="38"/>
      <c r="D15" s="38"/>
      <c r="E15" s="38"/>
      <c r="F15" s="38"/>
      <c r="G15" s="38"/>
      <c r="H15" s="38"/>
      <c r="I15" s="38"/>
      <c r="J15" s="38"/>
      <c r="K15" s="38"/>
      <c r="L15" s="38"/>
      <c r="M15" s="38">
        <f>SUM('Innovation Project Input'!$C15:$L15)</f>
        <v>0</v>
      </c>
      <c r="N15" s="80">
        <f>IF('Innovation Project Input'!$A15&gt;0,MIN(_xlfn.RANK.EQ('Innovation Project Input'!$M15,'Innovation Project Input'!$M$2:$M$201,0),NumberOfTeams),NumberOfTeams+1)</f>
        <v>1</v>
      </c>
    </row>
    <row r="16" ht="30.0" customHeight="1">
      <c r="A16" s="38" t="str">
        <f t="array" ref="A16">XLOOKUP(15,'Team and Program Information'!$B$3:$B$202,'Team and Program Information'!$C$3:$C$202,"ERROR",0)</f>
        <v/>
      </c>
      <c r="B16" s="68" t="str">
        <f t="array" ref="B16">XLOOKUP('Innovation Project Input'!$A16,'Team and Program Information'!$C$3:$C$202,'Team and Program Information'!$D$3:$D$202,"",0,)</f>
        <v>#VALUE!</v>
      </c>
      <c r="C16" s="38"/>
      <c r="D16" s="38"/>
      <c r="E16" s="38"/>
      <c r="F16" s="38"/>
      <c r="G16" s="38"/>
      <c r="H16" s="38"/>
      <c r="I16" s="38"/>
      <c r="J16" s="38"/>
      <c r="K16" s="38"/>
      <c r="L16" s="38"/>
      <c r="M16" s="38">
        <f>SUM('Innovation Project Input'!$C16:$L16)</f>
        <v>0</v>
      </c>
      <c r="N16" s="80">
        <f>IF('Innovation Project Input'!$A16&gt;0,MIN(_xlfn.RANK.EQ('Innovation Project Input'!$M16,'Innovation Project Input'!$M$2:$M$201,0),NumberOfTeams),NumberOfTeams+1)</f>
        <v>1</v>
      </c>
    </row>
    <row r="17" ht="30.0" customHeight="1">
      <c r="A17" s="38" t="str">
        <f t="array" ref="A17">XLOOKUP(16,'Team and Program Information'!$B$3:$B$202,'Team and Program Information'!$C$3:$C$202,"ERROR",0)</f>
        <v/>
      </c>
      <c r="B17" s="68" t="str">
        <f t="array" ref="B17">XLOOKUP('Innovation Project Input'!$A17,'Team and Program Information'!$C$3:$C$202,'Team and Program Information'!$D$3:$D$202,"",0,)</f>
        <v>#VALUE!</v>
      </c>
      <c r="C17" s="38"/>
      <c r="D17" s="38"/>
      <c r="E17" s="38"/>
      <c r="F17" s="38"/>
      <c r="G17" s="38"/>
      <c r="H17" s="38"/>
      <c r="I17" s="38"/>
      <c r="J17" s="38"/>
      <c r="K17" s="38"/>
      <c r="L17" s="38"/>
      <c r="M17" s="38">
        <f>SUM('Innovation Project Input'!$C17:$L17)</f>
        <v>0</v>
      </c>
      <c r="N17" s="80">
        <f>IF('Innovation Project Input'!$A17&gt;0,MIN(_xlfn.RANK.EQ('Innovation Project Input'!$M17,'Innovation Project Input'!$M$2:$M$201,0),NumberOfTeams),NumberOfTeams+1)</f>
        <v>1</v>
      </c>
    </row>
    <row r="18" ht="30.0" customHeight="1">
      <c r="A18" s="38" t="str">
        <f t="array" ref="A18">XLOOKUP(17,'Team and Program Information'!$B$3:$B$202,'Team and Program Information'!$C$3:$C$202,"ERROR",0)</f>
        <v/>
      </c>
      <c r="B18" s="68" t="str">
        <f t="array" ref="B18">XLOOKUP('Innovation Project Input'!$A18,'Team and Program Information'!$C$3:$C$202,'Team and Program Information'!$D$3:$D$202,"",0,)</f>
        <v>#VALUE!</v>
      </c>
      <c r="C18" s="38"/>
      <c r="D18" s="38"/>
      <c r="E18" s="38"/>
      <c r="F18" s="38"/>
      <c r="G18" s="38"/>
      <c r="H18" s="38"/>
      <c r="I18" s="38"/>
      <c r="J18" s="38"/>
      <c r="K18" s="38"/>
      <c r="L18" s="38"/>
      <c r="M18" s="38">
        <f>SUM('Innovation Project Input'!$C18:$L18)</f>
        <v>0</v>
      </c>
      <c r="N18" s="80">
        <f>IF('Innovation Project Input'!$A18&gt;0,MIN(_xlfn.RANK.EQ('Innovation Project Input'!$M18,'Innovation Project Input'!$M$2:$M$201,0),NumberOfTeams),NumberOfTeams+1)</f>
        <v>1</v>
      </c>
    </row>
    <row r="19" ht="30.0" customHeight="1">
      <c r="A19" s="38" t="str">
        <f t="array" ref="A19">XLOOKUP(18,'Team and Program Information'!$B$3:$B$202,'Team and Program Information'!$C$3:$C$202,"ERROR",0)</f>
        <v/>
      </c>
      <c r="B19" s="68" t="str">
        <f t="array" ref="B19">XLOOKUP('Innovation Project Input'!$A19,'Team and Program Information'!$C$3:$C$202,'Team and Program Information'!$D$3:$D$202,"",0,)</f>
        <v>#VALUE!</v>
      </c>
      <c r="C19" s="38"/>
      <c r="D19" s="38"/>
      <c r="E19" s="38"/>
      <c r="F19" s="38"/>
      <c r="G19" s="38"/>
      <c r="H19" s="38"/>
      <c r="I19" s="38"/>
      <c r="J19" s="38"/>
      <c r="K19" s="38"/>
      <c r="L19" s="38"/>
      <c r="M19" s="38">
        <f>SUM('Innovation Project Input'!$C19:$L19)</f>
        <v>0</v>
      </c>
      <c r="N19" s="80">
        <f>IF('Innovation Project Input'!$A19&gt;0,MIN(_xlfn.RANK.EQ('Innovation Project Input'!$M19,'Innovation Project Input'!$M$2:$M$201,0),NumberOfTeams),NumberOfTeams+1)</f>
        <v>1</v>
      </c>
    </row>
    <row r="20" ht="30.0" customHeight="1">
      <c r="A20" s="38" t="str">
        <f t="array" ref="A20">XLOOKUP(19,'Team and Program Information'!$B$3:$B$202,'Team and Program Information'!$C$3:$C$202,"ERROR",0)</f>
        <v/>
      </c>
      <c r="B20" s="68" t="str">
        <f t="array" ref="B20">XLOOKUP('Innovation Project Input'!$A20,'Team and Program Information'!$C$3:$C$202,'Team and Program Information'!$D$3:$D$202,"",0,)</f>
        <v>#VALUE!</v>
      </c>
      <c r="C20" s="38"/>
      <c r="D20" s="38"/>
      <c r="E20" s="38"/>
      <c r="F20" s="38"/>
      <c r="G20" s="38"/>
      <c r="H20" s="38"/>
      <c r="I20" s="38"/>
      <c r="J20" s="38"/>
      <c r="K20" s="38"/>
      <c r="L20" s="38"/>
      <c r="M20" s="38">
        <f>SUM('Innovation Project Input'!$C20:$L20)</f>
        <v>0</v>
      </c>
      <c r="N20" s="80">
        <f>IF('Innovation Project Input'!$A20&gt;0,MIN(_xlfn.RANK.EQ('Innovation Project Input'!$M20,'Innovation Project Input'!$M$2:$M$201,0),NumberOfTeams),NumberOfTeams+1)</f>
        <v>1</v>
      </c>
    </row>
    <row r="21" ht="30.0" customHeight="1">
      <c r="A21" s="38" t="str">
        <f t="array" ref="A21">XLOOKUP(20,'Team and Program Information'!$B$3:$B$202,'Team and Program Information'!$C$3:$C$202,"ERROR",0)</f>
        <v/>
      </c>
      <c r="B21" s="68" t="str">
        <f t="array" ref="B21">XLOOKUP('Innovation Project Input'!$A21,'Team and Program Information'!$C$3:$C$202,'Team and Program Information'!$D$3:$D$202,"",0,)</f>
        <v>#VALUE!</v>
      </c>
      <c r="C21" s="38"/>
      <c r="D21" s="38"/>
      <c r="E21" s="38"/>
      <c r="F21" s="38"/>
      <c r="G21" s="38"/>
      <c r="H21" s="38"/>
      <c r="I21" s="38"/>
      <c r="J21" s="38"/>
      <c r="K21" s="38"/>
      <c r="L21" s="38"/>
      <c r="M21" s="38">
        <f>SUM('Innovation Project Input'!$C21:$L21)</f>
        <v>0</v>
      </c>
      <c r="N21" s="80">
        <f>IF('Innovation Project Input'!$A21&gt;0,MIN(_xlfn.RANK.EQ('Innovation Project Input'!$M21,'Innovation Project Input'!$M$2:$M$201,0),NumberOfTeams),NumberOfTeams+1)</f>
        <v>1</v>
      </c>
    </row>
    <row r="22" ht="30.0" customHeight="1">
      <c r="A22" s="38" t="str">
        <f t="array" ref="A22">XLOOKUP(21,'Team and Program Information'!$B$3:$B$202,'Team and Program Information'!$C$3:$C$202,"ERROR",0)</f>
        <v/>
      </c>
      <c r="B22" s="68" t="str">
        <f t="array" ref="B22">XLOOKUP('Innovation Project Input'!$A22,'Team and Program Information'!$C$3:$C$202,'Team and Program Information'!$D$3:$D$202,"",0,)</f>
        <v>#VALUE!</v>
      </c>
      <c r="C22" s="38"/>
      <c r="D22" s="38"/>
      <c r="E22" s="38"/>
      <c r="F22" s="38"/>
      <c r="G22" s="38"/>
      <c r="H22" s="38"/>
      <c r="I22" s="38"/>
      <c r="J22" s="38"/>
      <c r="K22" s="38"/>
      <c r="L22" s="38"/>
      <c r="M22" s="38">
        <f>SUM('Innovation Project Input'!$C22:$L22)</f>
        <v>0</v>
      </c>
      <c r="N22" s="80">
        <f>IF('Innovation Project Input'!$A22&gt;0,MIN(_xlfn.RANK.EQ('Innovation Project Input'!$M22,'Innovation Project Input'!$M$2:$M$201,0),NumberOfTeams),NumberOfTeams+1)</f>
        <v>1</v>
      </c>
    </row>
    <row r="23" ht="30.0" customHeight="1">
      <c r="A23" s="38" t="str">
        <f t="array" ref="A23">XLOOKUP(22,'Team and Program Information'!$B$3:$B$202,'Team and Program Information'!$C$3:$C$202,"ERROR",0)</f>
        <v/>
      </c>
      <c r="B23" s="68" t="str">
        <f t="array" ref="B23">XLOOKUP('Innovation Project Input'!$A23,'Team and Program Information'!$C$3:$C$202,'Team and Program Information'!$D$3:$D$202,"",0,)</f>
        <v>#VALUE!</v>
      </c>
      <c r="C23" s="38"/>
      <c r="D23" s="38"/>
      <c r="E23" s="38"/>
      <c r="F23" s="38"/>
      <c r="G23" s="38"/>
      <c r="H23" s="38"/>
      <c r="I23" s="38"/>
      <c r="J23" s="38"/>
      <c r="K23" s="38"/>
      <c r="L23" s="38"/>
      <c r="M23" s="38">
        <f>SUM('Innovation Project Input'!$C23:$L23)</f>
        <v>0</v>
      </c>
      <c r="N23" s="80">
        <f>IF('Innovation Project Input'!$A23&gt;0,MIN(_xlfn.RANK.EQ('Innovation Project Input'!$M23,'Innovation Project Input'!$M$2:$M$201,0),NumberOfTeams),NumberOfTeams+1)</f>
        <v>1</v>
      </c>
    </row>
    <row r="24" ht="30.0" customHeight="1">
      <c r="A24" s="38" t="str">
        <f t="array" ref="A24">XLOOKUP(23,'Team and Program Information'!$B$3:$B$202,'Team and Program Information'!$C$3:$C$202,"ERROR",0)</f>
        <v/>
      </c>
      <c r="B24" s="68" t="str">
        <f t="array" ref="B24">XLOOKUP('Innovation Project Input'!$A24,'Team and Program Information'!$C$3:$C$202,'Team and Program Information'!$D$3:$D$202,"",0,)</f>
        <v>#VALUE!</v>
      </c>
      <c r="C24" s="38"/>
      <c r="D24" s="38"/>
      <c r="E24" s="38"/>
      <c r="F24" s="38"/>
      <c r="G24" s="38"/>
      <c r="H24" s="38"/>
      <c r="I24" s="38"/>
      <c r="J24" s="38"/>
      <c r="K24" s="38"/>
      <c r="L24" s="38"/>
      <c r="M24" s="38">
        <f>SUM('Innovation Project Input'!$C24:$L24)</f>
        <v>0</v>
      </c>
      <c r="N24" s="80">
        <f>IF('Innovation Project Input'!$A24&gt;0,MIN(_xlfn.RANK.EQ('Innovation Project Input'!$M24,'Innovation Project Input'!$M$2:$M$201,0),NumberOfTeams),NumberOfTeams+1)</f>
        <v>1</v>
      </c>
    </row>
    <row r="25" ht="30.0" customHeight="1">
      <c r="A25" s="38" t="str">
        <f t="array" ref="A25">XLOOKUP(24,'Team and Program Information'!$B$3:$B$202,'Team and Program Information'!$C$3:$C$202,"ERROR",0)</f>
        <v/>
      </c>
      <c r="B25" s="68" t="str">
        <f t="array" ref="B25">XLOOKUP('Innovation Project Input'!$A25,'Team and Program Information'!$C$3:$C$202,'Team and Program Information'!$D$3:$D$202,"",0,)</f>
        <v>#VALUE!</v>
      </c>
      <c r="C25" s="38"/>
      <c r="D25" s="38"/>
      <c r="E25" s="38"/>
      <c r="F25" s="38"/>
      <c r="G25" s="38"/>
      <c r="H25" s="38"/>
      <c r="I25" s="38"/>
      <c r="J25" s="38"/>
      <c r="K25" s="38"/>
      <c r="L25" s="38"/>
      <c r="M25" s="38">
        <f>SUM('Innovation Project Input'!$C25:$L25)</f>
        <v>0</v>
      </c>
      <c r="N25" s="80">
        <f>IF('Innovation Project Input'!$A25&gt;0,MIN(_xlfn.RANK.EQ('Innovation Project Input'!$M25,'Innovation Project Input'!$M$2:$M$201,0),NumberOfTeams),NumberOfTeams+1)</f>
        <v>1</v>
      </c>
    </row>
    <row r="26" ht="30.0" customHeight="1">
      <c r="A26" s="38" t="str">
        <f t="array" ref="A26">XLOOKUP(25,'Team and Program Information'!$B$3:$B$202,'Team and Program Information'!$C$3:$C$202,"ERROR",0)</f>
        <v/>
      </c>
      <c r="B26" s="68" t="str">
        <f t="array" ref="B26">XLOOKUP('Innovation Project Input'!$A26,'Team and Program Information'!$C$3:$C$202,'Team and Program Information'!$D$3:$D$202,"",0,)</f>
        <v>#VALUE!</v>
      </c>
      <c r="C26" s="38"/>
      <c r="D26" s="38"/>
      <c r="E26" s="38"/>
      <c r="F26" s="38"/>
      <c r="G26" s="38"/>
      <c r="H26" s="38"/>
      <c r="I26" s="38"/>
      <c r="J26" s="38"/>
      <c r="K26" s="38"/>
      <c r="L26" s="38"/>
      <c r="M26" s="38">
        <f>SUM('Innovation Project Input'!$C26:$L26)</f>
        <v>0</v>
      </c>
      <c r="N26" s="80">
        <f>IF('Innovation Project Input'!$A26&gt;0,MIN(_xlfn.RANK.EQ('Innovation Project Input'!$M26,'Innovation Project Input'!$M$2:$M$201,0),NumberOfTeams),NumberOfTeams+1)</f>
        <v>1</v>
      </c>
    </row>
    <row r="27" ht="30.0" customHeight="1">
      <c r="A27" s="38" t="str">
        <f t="array" ref="A27">XLOOKUP(26,'Team and Program Information'!$B$3:$B$202,'Team and Program Information'!$C$3:$C$202,"ERROR",0)</f>
        <v/>
      </c>
      <c r="B27" s="68" t="str">
        <f t="array" ref="B27">XLOOKUP('Innovation Project Input'!$A27,'Team and Program Information'!$C$3:$C$202,'Team and Program Information'!$D$3:$D$202,"",0,)</f>
        <v>#VALUE!</v>
      </c>
      <c r="C27" s="38"/>
      <c r="D27" s="38"/>
      <c r="E27" s="38"/>
      <c r="F27" s="38"/>
      <c r="G27" s="38"/>
      <c r="H27" s="38"/>
      <c r="I27" s="38"/>
      <c r="J27" s="38"/>
      <c r="K27" s="38"/>
      <c r="L27" s="38"/>
      <c r="M27" s="38">
        <f>SUM('Innovation Project Input'!$C27:$L27)</f>
        <v>0</v>
      </c>
      <c r="N27" s="80">
        <f>IF('Innovation Project Input'!$A27&gt;0,MIN(_xlfn.RANK.EQ('Innovation Project Input'!$M27,'Innovation Project Input'!$M$2:$M$201,0),NumberOfTeams),NumberOfTeams+1)</f>
        <v>1</v>
      </c>
    </row>
    <row r="28" ht="30.0" customHeight="1">
      <c r="A28" s="38" t="str">
        <f t="array" ref="A28">XLOOKUP(27,'Team and Program Information'!$B$3:$B$202,'Team and Program Information'!$C$3:$C$202,"ERROR",0)</f>
        <v/>
      </c>
      <c r="B28" s="68" t="str">
        <f t="array" ref="B28">XLOOKUP('Innovation Project Input'!$A28,'Team and Program Information'!$C$3:$C$202,'Team and Program Information'!$D$3:$D$202,"",0,)</f>
        <v>#VALUE!</v>
      </c>
      <c r="C28" s="38"/>
      <c r="D28" s="38"/>
      <c r="E28" s="38"/>
      <c r="F28" s="38"/>
      <c r="G28" s="38"/>
      <c r="H28" s="38"/>
      <c r="I28" s="38"/>
      <c r="J28" s="38"/>
      <c r="K28" s="38"/>
      <c r="L28" s="38"/>
      <c r="M28" s="38">
        <f>SUM('Innovation Project Input'!$C28:$L28)</f>
        <v>0</v>
      </c>
      <c r="N28" s="80">
        <f>IF('Innovation Project Input'!$A28&gt;0,MIN(_xlfn.RANK.EQ('Innovation Project Input'!$M28,'Innovation Project Input'!$M$2:$M$201,0),NumberOfTeams),NumberOfTeams+1)</f>
        <v>1</v>
      </c>
    </row>
    <row r="29" ht="30.0" customHeight="1">
      <c r="A29" s="38" t="str">
        <f t="array" ref="A29">XLOOKUP(28,'Team and Program Information'!$B$3:$B$202,'Team and Program Information'!$C$3:$C$202,"ERROR",0)</f>
        <v/>
      </c>
      <c r="B29" s="68" t="str">
        <f t="array" ref="B29">XLOOKUP('Innovation Project Input'!$A29,'Team and Program Information'!$C$3:$C$202,'Team and Program Information'!$D$3:$D$202,"",0,)</f>
        <v>#VALUE!</v>
      </c>
      <c r="C29" s="38"/>
      <c r="D29" s="38"/>
      <c r="E29" s="38"/>
      <c r="F29" s="38"/>
      <c r="G29" s="38"/>
      <c r="H29" s="38"/>
      <c r="I29" s="38"/>
      <c r="J29" s="38"/>
      <c r="K29" s="38"/>
      <c r="L29" s="38"/>
      <c r="M29" s="38">
        <f>SUM('Innovation Project Input'!$C29:$L29)</f>
        <v>0</v>
      </c>
      <c r="N29" s="80">
        <f>IF('Innovation Project Input'!$A29&gt;0,MIN(_xlfn.RANK.EQ('Innovation Project Input'!$M29,'Innovation Project Input'!$M$2:$M$201,0),NumberOfTeams),NumberOfTeams+1)</f>
        <v>1</v>
      </c>
    </row>
    <row r="30" ht="30.0" customHeight="1">
      <c r="A30" s="38" t="str">
        <f t="array" ref="A30">XLOOKUP(29,'Team and Program Information'!$B$3:$B$202,'Team and Program Information'!$C$3:$C$202,"ERROR",0)</f>
        <v/>
      </c>
      <c r="B30" s="68" t="str">
        <f t="array" ref="B30">XLOOKUP('Innovation Project Input'!$A30,'Team and Program Information'!$C$3:$C$202,'Team and Program Information'!$D$3:$D$202,"",0,)</f>
        <v>#VALUE!</v>
      </c>
      <c r="C30" s="38"/>
      <c r="D30" s="38"/>
      <c r="E30" s="38"/>
      <c r="F30" s="38"/>
      <c r="G30" s="38"/>
      <c r="H30" s="38"/>
      <c r="I30" s="38"/>
      <c r="J30" s="38"/>
      <c r="K30" s="38"/>
      <c r="L30" s="38"/>
      <c r="M30" s="38">
        <f>SUM('Innovation Project Input'!$C30:$L30)</f>
        <v>0</v>
      </c>
      <c r="N30" s="80">
        <f>IF('Innovation Project Input'!$A30&gt;0,MIN(_xlfn.RANK.EQ('Innovation Project Input'!$M30,'Innovation Project Input'!$M$2:$M$201,0),NumberOfTeams),NumberOfTeams+1)</f>
        <v>1</v>
      </c>
    </row>
    <row r="31" ht="30.0" customHeight="1">
      <c r="A31" s="38" t="str">
        <f t="array" ref="A31">XLOOKUP(30,'Team and Program Information'!$B$3:$B$202,'Team and Program Information'!$C$3:$C$202,"ERROR",0)</f>
        <v/>
      </c>
      <c r="B31" s="68" t="str">
        <f t="array" ref="B31">XLOOKUP('Innovation Project Input'!$A31,'Team and Program Information'!$C$3:$C$202,'Team and Program Information'!$D$3:$D$202,"",0,)</f>
        <v>#VALUE!</v>
      </c>
      <c r="C31" s="38"/>
      <c r="D31" s="38"/>
      <c r="E31" s="38"/>
      <c r="F31" s="38"/>
      <c r="G31" s="38"/>
      <c r="H31" s="38"/>
      <c r="I31" s="38"/>
      <c r="J31" s="38"/>
      <c r="K31" s="38"/>
      <c r="L31" s="38"/>
      <c r="M31" s="38">
        <f>SUM('Innovation Project Input'!$C31:$L31)</f>
        <v>0</v>
      </c>
      <c r="N31" s="80">
        <f>IF('Innovation Project Input'!$A31&gt;0,MIN(_xlfn.RANK.EQ('Innovation Project Input'!$M31,'Innovation Project Input'!$M$2:$M$201,0),NumberOfTeams),NumberOfTeams+1)</f>
        <v>1</v>
      </c>
    </row>
    <row r="32" ht="30.0" customHeight="1">
      <c r="A32" s="38" t="str">
        <f t="array" ref="A32">XLOOKUP(31,'Team and Program Information'!$B$3:$B$202,'Team and Program Information'!$C$3:$C$202,"ERROR",0)</f>
        <v/>
      </c>
      <c r="B32" s="68" t="str">
        <f t="array" ref="B32">XLOOKUP('Innovation Project Input'!$A32,'Team and Program Information'!$C$3:$C$202,'Team and Program Information'!$D$3:$D$202,"",0,)</f>
        <v>#VALUE!</v>
      </c>
      <c r="C32" s="38"/>
      <c r="D32" s="38"/>
      <c r="E32" s="38"/>
      <c r="F32" s="38"/>
      <c r="G32" s="38"/>
      <c r="H32" s="38"/>
      <c r="I32" s="38"/>
      <c r="J32" s="38"/>
      <c r="K32" s="38"/>
      <c r="L32" s="38"/>
      <c r="M32" s="38">
        <f>SUM('Innovation Project Input'!$C32:$L32)</f>
        <v>0</v>
      </c>
      <c r="N32" s="80">
        <f>IF('Innovation Project Input'!$A32&gt;0,MIN(_xlfn.RANK.EQ('Innovation Project Input'!$M32,'Innovation Project Input'!$M$2:$M$201,0),NumberOfTeams),NumberOfTeams+1)</f>
        <v>1</v>
      </c>
    </row>
    <row r="33" ht="30.0" customHeight="1">
      <c r="A33" s="38" t="str">
        <f t="array" ref="A33">XLOOKUP(32,'Team and Program Information'!$B$3:$B$202,'Team and Program Information'!$C$3:$C$202,"ERROR",0)</f>
        <v/>
      </c>
      <c r="B33" s="68" t="str">
        <f t="array" ref="B33">XLOOKUP('Innovation Project Input'!$A33,'Team and Program Information'!$C$3:$C$202,'Team and Program Information'!$D$3:$D$202,"",0,)</f>
        <v>#VALUE!</v>
      </c>
      <c r="C33" s="38"/>
      <c r="D33" s="38"/>
      <c r="E33" s="38"/>
      <c r="F33" s="38"/>
      <c r="G33" s="38"/>
      <c r="H33" s="38"/>
      <c r="I33" s="38"/>
      <c r="J33" s="38"/>
      <c r="K33" s="38"/>
      <c r="L33" s="38"/>
      <c r="M33" s="38">
        <f>SUM('Innovation Project Input'!$C33:$L33)</f>
        <v>0</v>
      </c>
      <c r="N33" s="80">
        <f>IF('Innovation Project Input'!$A33&gt;0,MIN(_xlfn.RANK.EQ('Innovation Project Input'!$M33,'Innovation Project Input'!$M$2:$M$201,0),NumberOfTeams),NumberOfTeams+1)</f>
        <v>1</v>
      </c>
    </row>
    <row r="34" ht="30.0" customHeight="1">
      <c r="A34" s="38" t="str">
        <f t="array" ref="A34">XLOOKUP(33,'Team and Program Information'!$B$3:$B$202,'Team and Program Information'!$C$3:$C$202,"ERROR",0)</f>
        <v/>
      </c>
      <c r="B34" s="68" t="str">
        <f t="array" ref="B34">XLOOKUP('Innovation Project Input'!$A34,'Team and Program Information'!$C$3:$C$202,'Team and Program Information'!$D$3:$D$202,"",0,)</f>
        <v>#VALUE!</v>
      </c>
      <c r="C34" s="38"/>
      <c r="D34" s="38"/>
      <c r="E34" s="38"/>
      <c r="F34" s="38"/>
      <c r="G34" s="38"/>
      <c r="H34" s="38"/>
      <c r="I34" s="38"/>
      <c r="J34" s="38"/>
      <c r="K34" s="38"/>
      <c r="L34" s="38"/>
      <c r="M34" s="38">
        <f>SUM('Innovation Project Input'!$C34:$L34)</f>
        <v>0</v>
      </c>
      <c r="N34" s="80">
        <f>IF('Innovation Project Input'!$A34&gt;0,MIN(_xlfn.RANK.EQ('Innovation Project Input'!$M34,'Innovation Project Input'!$M$2:$M$201,0),NumberOfTeams),NumberOfTeams+1)</f>
        <v>1</v>
      </c>
    </row>
    <row r="35" ht="30.0" customHeight="1">
      <c r="A35" s="38" t="str">
        <f t="array" ref="A35">XLOOKUP(34,'Team and Program Information'!$B$3:$B$202,'Team and Program Information'!$C$3:$C$202,"ERROR",0)</f>
        <v/>
      </c>
      <c r="B35" s="68" t="str">
        <f t="array" ref="B35">XLOOKUP('Innovation Project Input'!$A35,'Team and Program Information'!$C$3:$C$202,'Team and Program Information'!$D$3:$D$202,"",0,)</f>
        <v>#VALUE!</v>
      </c>
      <c r="C35" s="38"/>
      <c r="D35" s="38"/>
      <c r="E35" s="38"/>
      <c r="F35" s="38"/>
      <c r="G35" s="38"/>
      <c r="H35" s="38"/>
      <c r="I35" s="38"/>
      <c r="J35" s="38"/>
      <c r="K35" s="38"/>
      <c r="L35" s="38"/>
      <c r="M35" s="38">
        <f>SUM('Innovation Project Input'!$C35:$L35)</f>
        <v>0</v>
      </c>
      <c r="N35" s="80">
        <f>IF('Innovation Project Input'!$A35&gt;0,MIN(_xlfn.RANK.EQ('Innovation Project Input'!$M35,'Innovation Project Input'!$M$2:$M$201,0),NumberOfTeams),NumberOfTeams+1)</f>
        <v>1</v>
      </c>
    </row>
    <row r="36" ht="30.0" customHeight="1">
      <c r="A36" s="38" t="str">
        <f t="array" ref="A36">XLOOKUP(35,'Team and Program Information'!$B$3:$B$202,'Team and Program Information'!$C$3:$C$202,"ERROR",0)</f>
        <v/>
      </c>
      <c r="B36" s="68" t="str">
        <f t="array" ref="B36">XLOOKUP('Innovation Project Input'!$A36,'Team and Program Information'!$C$3:$C$202,'Team and Program Information'!$D$3:$D$202,"",0,)</f>
        <v>#VALUE!</v>
      </c>
      <c r="C36" s="38"/>
      <c r="D36" s="38"/>
      <c r="E36" s="38"/>
      <c r="F36" s="38"/>
      <c r="G36" s="38"/>
      <c r="H36" s="38"/>
      <c r="I36" s="38"/>
      <c r="J36" s="38"/>
      <c r="K36" s="38"/>
      <c r="L36" s="38"/>
      <c r="M36" s="38">
        <f>SUM('Innovation Project Input'!$C36:$L36)</f>
        <v>0</v>
      </c>
      <c r="N36" s="80">
        <f>IF('Innovation Project Input'!$A36&gt;0,MIN(_xlfn.RANK.EQ('Innovation Project Input'!$M36,'Innovation Project Input'!$M$2:$M$201,0),NumberOfTeams),NumberOfTeams+1)</f>
        <v>1</v>
      </c>
    </row>
    <row r="37" ht="30.0" customHeight="1">
      <c r="A37" s="38" t="str">
        <f t="array" ref="A37">XLOOKUP(36,'Team and Program Information'!$B$3:$B$202,'Team and Program Information'!$C$3:$C$202,"ERROR",0)</f>
        <v/>
      </c>
      <c r="B37" s="68" t="str">
        <f t="array" ref="B37">XLOOKUP('Innovation Project Input'!$A37,'Team and Program Information'!$C$3:$C$202,'Team and Program Information'!$D$3:$D$202,"",0,)</f>
        <v>#VALUE!</v>
      </c>
      <c r="C37" s="38"/>
      <c r="D37" s="38"/>
      <c r="E37" s="38"/>
      <c r="F37" s="38"/>
      <c r="G37" s="38"/>
      <c r="H37" s="38"/>
      <c r="I37" s="38"/>
      <c r="J37" s="38"/>
      <c r="K37" s="38"/>
      <c r="L37" s="38"/>
      <c r="M37" s="38">
        <f>SUM('Innovation Project Input'!$C37:$L37)</f>
        <v>0</v>
      </c>
      <c r="N37" s="80">
        <f>IF('Innovation Project Input'!$A37&gt;0,MIN(_xlfn.RANK.EQ('Innovation Project Input'!$M37,'Innovation Project Input'!$M$2:$M$201,0),NumberOfTeams),NumberOfTeams+1)</f>
        <v>1</v>
      </c>
    </row>
    <row r="38" ht="30.0" customHeight="1">
      <c r="A38" s="38" t="str">
        <f t="array" ref="A38">XLOOKUP(37,'Team and Program Information'!$B$3:$B$202,'Team and Program Information'!$C$3:$C$202,"ERROR",0)</f>
        <v/>
      </c>
      <c r="B38" s="68" t="str">
        <f t="array" ref="B38">XLOOKUP('Innovation Project Input'!$A38,'Team and Program Information'!$C$3:$C$202,'Team and Program Information'!$D$3:$D$202,"",0,)</f>
        <v>#VALUE!</v>
      </c>
      <c r="C38" s="38"/>
      <c r="D38" s="38"/>
      <c r="E38" s="38"/>
      <c r="F38" s="38"/>
      <c r="G38" s="38"/>
      <c r="H38" s="38"/>
      <c r="I38" s="38"/>
      <c r="J38" s="38"/>
      <c r="K38" s="38"/>
      <c r="L38" s="38"/>
      <c r="M38" s="38">
        <f>SUM('Innovation Project Input'!$C38:$L38)</f>
        <v>0</v>
      </c>
      <c r="N38" s="80">
        <f>IF('Innovation Project Input'!$A38&gt;0,MIN(_xlfn.RANK.EQ('Innovation Project Input'!$M38,'Innovation Project Input'!$M$2:$M$201,0),NumberOfTeams),NumberOfTeams+1)</f>
        <v>1</v>
      </c>
    </row>
    <row r="39" ht="30.0" customHeight="1">
      <c r="A39" s="38" t="str">
        <f t="array" ref="A39">XLOOKUP(38,'Team and Program Information'!$B$3:$B$202,'Team and Program Information'!$C$3:$C$202,"ERROR",0)</f>
        <v/>
      </c>
      <c r="B39" s="68" t="str">
        <f t="array" ref="B39">XLOOKUP('Innovation Project Input'!$A39,'Team and Program Information'!$C$3:$C$202,'Team and Program Information'!$D$3:$D$202,"",0,)</f>
        <v>#VALUE!</v>
      </c>
      <c r="C39" s="38"/>
      <c r="D39" s="38"/>
      <c r="E39" s="38"/>
      <c r="F39" s="38"/>
      <c r="G39" s="38"/>
      <c r="H39" s="38"/>
      <c r="I39" s="38"/>
      <c r="J39" s="38"/>
      <c r="K39" s="38"/>
      <c r="L39" s="38"/>
      <c r="M39" s="38">
        <f>SUM('Innovation Project Input'!$C39:$L39)</f>
        <v>0</v>
      </c>
      <c r="N39" s="80">
        <f>IF('Innovation Project Input'!$A39&gt;0,MIN(_xlfn.RANK.EQ('Innovation Project Input'!$M39,'Innovation Project Input'!$M$2:$M$201,0),NumberOfTeams),NumberOfTeams+1)</f>
        <v>1</v>
      </c>
    </row>
    <row r="40" ht="30.0" customHeight="1">
      <c r="A40" s="38" t="str">
        <f t="array" ref="A40">XLOOKUP(39,'Team and Program Information'!$B$3:$B$202,'Team and Program Information'!$C$3:$C$202,"ERROR",0)</f>
        <v/>
      </c>
      <c r="B40" s="68" t="str">
        <f t="array" ref="B40">XLOOKUP('Innovation Project Input'!$A40,'Team and Program Information'!$C$3:$C$202,'Team and Program Information'!$D$3:$D$202,"",0,)</f>
        <v>#VALUE!</v>
      </c>
      <c r="C40" s="38"/>
      <c r="D40" s="38"/>
      <c r="E40" s="38"/>
      <c r="F40" s="38"/>
      <c r="G40" s="38"/>
      <c r="H40" s="38"/>
      <c r="I40" s="38"/>
      <c r="J40" s="38"/>
      <c r="K40" s="38"/>
      <c r="L40" s="38"/>
      <c r="M40" s="38">
        <f>SUM('Innovation Project Input'!$C40:$L40)</f>
        <v>0</v>
      </c>
      <c r="N40" s="80">
        <f>IF('Innovation Project Input'!$A40&gt;0,MIN(_xlfn.RANK.EQ('Innovation Project Input'!$M40,'Innovation Project Input'!$M$2:$M$201,0),NumberOfTeams),NumberOfTeams+1)</f>
        <v>1</v>
      </c>
    </row>
    <row r="41" ht="30.0" customHeight="1">
      <c r="A41" s="38" t="str">
        <f t="array" ref="A41">XLOOKUP(40,'Team and Program Information'!$B$3:$B$202,'Team and Program Information'!$C$3:$C$202,"ERROR",0)</f>
        <v/>
      </c>
      <c r="B41" s="68" t="str">
        <f t="array" ref="B41">XLOOKUP('Innovation Project Input'!$A41,'Team and Program Information'!$C$3:$C$202,'Team and Program Information'!$D$3:$D$202,"",0,)</f>
        <v>#VALUE!</v>
      </c>
      <c r="C41" s="38"/>
      <c r="D41" s="38"/>
      <c r="E41" s="38"/>
      <c r="F41" s="38"/>
      <c r="G41" s="38"/>
      <c r="H41" s="38"/>
      <c r="I41" s="38"/>
      <c r="J41" s="38"/>
      <c r="K41" s="38"/>
      <c r="L41" s="38"/>
      <c r="M41" s="38">
        <f>SUM('Innovation Project Input'!$C41:$L41)</f>
        <v>0</v>
      </c>
      <c r="N41" s="80">
        <f>IF('Innovation Project Input'!$A41&gt;0,MIN(_xlfn.RANK.EQ('Innovation Project Input'!$M41,'Innovation Project Input'!$M$2:$M$201,0),NumberOfTeams),NumberOfTeams+1)</f>
        <v>1</v>
      </c>
    </row>
    <row r="42" ht="30.0" customHeight="1">
      <c r="A42" s="38" t="str">
        <f t="array" ref="A42">XLOOKUP(41,'Team and Program Information'!$B$3:$B$202,'Team and Program Information'!$C$3:$C$202,"ERROR",0)</f>
        <v/>
      </c>
      <c r="B42" s="68" t="str">
        <f t="array" ref="B42">XLOOKUP('Innovation Project Input'!$A42,'Team and Program Information'!$C$3:$C$202,'Team and Program Information'!$D$3:$D$202,"",0,)</f>
        <v>#VALUE!</v>
      </c>
      <c r="C42" s="38"/>
      <c r="D42" s="38"/>
      <c r="E42" s="38"/>
      <c r="F42" s="38"/>
      <c r="G42" s="38"/>
      <c r="H42" s="38"/>
      <c r="I42" s="38"/>
      <c r="J42" s="38"/>
      <c r="K42" s="38"/>
      <c r="L42" s="38"/>
      <c r="M42" s="38">
        <f>SUM('Innovation Project Input'!$C42:$L42)</f>
        <v>0</v>
      </c>
      <c r="N42" s="80">
        <f>IF('Innovation Project Input'!$A42&gt;0,MIN(_xlfn.RANK.EQ('Innovation Project Input'!$M42,'Innovation Project Input'!$M$2:$M$201,0),NumberOfTeams),NumberOfTeams+1)</f>
        <v>1</v>
      </c>
    </row>
    <row r="43" ht="30.0" customHeight="1">
      <c r="A43" s="38" t="str">
        <f t="array" ref="A43">XLOOKUP(42,'Team and Program Information'!$B$3:$B$202,'Team and Program Information'!$C$3:$C$202,"ERROR",0)</f>
        <v/>
      </c>
      <c r="B43" s="68" t="str">
        <f t="array" ref="B43">XLOOKUP('Innovation Project Input'!$A43,'Team and Program Information'!$C$3:$C$202,'Team and Program Information'!$D$3:$D$202,"",0,)</f>
        <v>#VALUE!</v>
      </c>
      <c r="C43" s="38"/>
      <c r="D43" s="38"/>
      <c r="E43" s="38"/>
      <c r="F43" s="38"/>
      <c r="G43" s="38"/>
      <c r="H43" s="38"/>
      <c r="I43" s="38"/>
      <c r="J43" s="38"/>
      <c r="K43" s="38"/>
      <c r="L43" s="38"/>
      <c r="M43" s="38">
        <f>SUM('Innovation Project Input'!$C43:$L43)</f>
        <v>0</v>
      </c>
      <c r="N43" s="80">
        <f>IF('Innovation Project Input'!$A43&gt;0,MIN(_xlfn.RANK.EQ('Innovation Project Input'!$M43,'Innovation Project Input'!$M$2:$M$201,0),NumberOfTeams),NumberOfTeams+1)</f>
        <v>1</v>
      </c>
    </row>
    <row r="44" ht="30.0" customHeight="1">
      <c r="A44" s="38" t="str">
        <f t="array" ref="A44">XLOOKUP(43,'Team and Program Information'!$B$3:$B$202,'Team and Program Information'!$C$3:$C$202,"ERROR",0)</f>
        <v/>
      </c>
      <c r="B44" s="68" t="str">
        <f t="array" ref="B44">XLOOKUP('Innovation Project Input'!$A44,'Team and Program Information'!$C$3:$C$202,'Team and Program Information'!$D$3:$D$202,"",0,)</f>
        <v>#VALUE!</v>
      </c>
      <c r="C44" s="38"/>
      <c r="D44" s="38"/>
      <c r="E44" s="38"/>
      <c r="F44" s="38"/>
      <c r="G44" s="38"/>
      <c r="H44" s="38"/>
      <c r="I44" s="38"/>
      <c r="J44" s="38"/>
      <c r="K44" s="38"/>
      <c r="L44" s="38"/>
      <c r="M44" s="38">
        <f>SUM('Innovation Project Input'!$C44:$L44)</f>
        <v>0</v>
      </c>
      <c r="N44" s="80">
        <f>IF('Innovation Project Input'!$A44&gt;0,MIN(_xlfn.RANK.EQ('Innovation Project Input'!$M44,'Innovation Project Input'!$M$2:$M$201,0),NumberOfTeams),NumberOfTeams+1)</f>
        <v>1</v>
      </c>
    </row>
    <row r="45" ht="30.0" customHeight="1">
      <c r="A45" s="38" t="str">
        <f t="array" ref="A45">XLOOKUP(44,'Team and Program Information'!$B$3:$B$202,'Team and Program Information'!$C$3:$C$202,"ERROR",0)</f>
        <v/>
      </c>
      <c r="B45" s="68" t="str">
        <f t="array" ref="B45">XLOOKUP('Innovation Project Input'!$A45,'Team and Program Information'!$C$3:$C$202,'Team and Program Information'!$D$3:$D$202,"",0,)</f>
        <v>#VALUE!</v>
      </c>
      <c r="C45" s="81"/>
      <c r="D45" s="81"/>
      <c r="E45" s="81"/>
      <c r="F45" s="81"/>
      <c r="G45" s="81"/>
      <c r="H45" s="81"/>
      <c r="I45" s="81"/>
      <c r="J45" s="81"/>
      <c r="K45" s="81"/>
      <c r="L45" s="81"/>
      <c r="M45" s="38">
        <f>SUM('Innovation Project Input'!$C45:$L45)</f>
        <v>0</v>
      </c>
      <c r="N45" s="80">
        <f>IF('Innovation Project Input'!$A45&gt;0,MIN(_xlfn.RANK.EQ('Innovation Project Input'!$M45,'Innovation Project Input'!$M$2:$M$201,0),NumberOfTeams),NumberOfTeams+1)</f>
        <v>1</v>
      </c>
    </row>
    <row r="46" ht="30.0" customHeight="1">
      <c r="A46" s="38" t="str">
        <f t="array" ref="A46">XLOOKUP(45,'Team and Program Information'!$B$3:$B$202,'Team and Program Information'!$C$3:$C$202,"ERROR",0)</f>
        <v/>
      </c>
      <c r="B46" s="68" t="str">
        <f t="array" ref="B46">XLOOKUP('Innovation Project Input'!$A46,'Team and Program Information'!$C$3:$C$202,'Team and Program Information'!$D$3:$D$202,"",0,)</f>
        <v>#VALUE!</v>
      </c>
      <c r="C46" s="81"/>
      <c r="D46" s="81"/>
      <c r="E46" s="81"/>
      <c r="F46" s="81"/>
      <c r="G46" s="81"/>
      <c r="H46" s="81"/>
      <c r="I46" s="81"/>
      <c r="J46" s="81"/>
      <c r="K46" s="81"/>
      <c r="L46" s="81"/>
      <c r="M46" s="38">
        <f>SUM('Innovation Project Input'!$C46:$L46)</f>
        <v>0</v>
      </c>
      <c r="N46" s="80">
        <f>IF('Innovation Project Input'!$A46&gt;0,MIN(_xlfn.RANK.EQ('Innovation Project Input'!$M46,'Innovation Project Input'!$M$2:$M$201,0),NumberOfTeams),NumberOfTeams+1)</f>
        <v>1</v>
      </c>
    </row>
    <row r="47" ht="30.0" customHeight="1">
      <c r="A47" s="38" t="str">
        <f t="array" ref="A47">XLOOKUP(46,'Team and Program Information'!$B$3:$B$202,'Team and Program Information'!$C$3:$C$202,"ERROR",0)</f>
        <v/>
      </c>
      <c r="B47" s="68" t="str">
        <f t="array" ref="B47">XLOOKUP('Innovation Project Input'!$A47,'Team and Program Information'!$C$3:$C$202,'Team and Program Information'!$D$3:$D$202,"",0,)</f>
        <v>#VALUE!</v>
      </c>
      <c r="C47" s="81"/>
      <c r="D47" s="81"/>
      <c r="E47" s="81"/>
      <c r="F47" s="81"/>
      <c r="G47" s="81"/>
      <c r="H47" s="81"/>
      <c r="I47" s="81"/>
      <c r="J47" s="81"/>
      <c r="K47" s="81"/>
      <c r="L47" s="81"/>
      <c r="M47" s="38">
        <f>SUM('Innovation Project Input'!$C47:$L47)</f>
        <v>0</v>
      </c>
      <c r="N47" s="80">
        <f>IF('Innovation Project Input'!$A47&gt;0,MIN(_xlfn.RANK.EQ('Innovation Project Input'!$M47,'Innovation Project Input'!$M$2:$M$201,0),NumberOfTeams),NumberOfTeams+1)</f>
        <v>1</v>
      </c>
    </row>
    <row r="48" ht="30.0" customHeight="1">
      <c r="A48" s="38" t="str">
        <f t="array" ref="A48">XLOOKUP(47,'Team and Program Information'!$B$3:$B$202,'Team and Program Information'!$C$3:$C$202,"ERROR",0)</f>
        <v/>
      </c>
      <c r="B48" s="68" t="str">
        <f t="array" ref="B48">XLOOKUP('Innovation Project Input'!$A48,'Team and Program Information'!$C$3:$C$202,'Team and Program Information'!$D$3:$D$202,"",0,)</f>
        <v>#VALUE!</v>
      </c>
      <c r="C48" s="81"/>
      <c r="D48" s="81"/>
      <c r="E48" s="81"/>
      <c r="F48" s="81"/>
      <c r="G48" s="81"/>
      <c r="H48" s="81"/>
      <c r="I48" s="81"/>
      <c r="J48" s="81"/>
      <c r="K48" s="81"/>
      <c r="L48" s="81"/>
      <c r="M48" s="38">
        <f>SUM('Innovation Project Input'!$C48:$L48)</f>
        <v>0</v>
      </c>
      <c r="N48" s="80">
        <f>IF('Innovation Project Input'!$A48&gt;0,MIN(_xlfn.RANK.EQ('Innovation Project Input'!$M48,'Innovation Project Input'!$M$2:$M$201,0),NumberOfTeams),NumberOfTeams+1)</f>
        <v>1</v>
      </c>
    </row>
    <row r="49" ht="30.0" customHeight="1">
      <c r="A49" s="38" t="str">
        <f t="array" ref="A49">XLOOKUP(48,'Team and Program Information'!$B$3:$B$202,'Team and Program Information'!$C$3:$C$202,"ERROR",0)</f>
        <v/>
      </c>
      <c r="B49" s="68" t="str">
        <f t="array" ref="B49">XLOOKUP('Innovation Project Input'!$A49,'Team and Program Information'!$C$3:$C$202,'Team and Program Information'!$D$3:$D$202,"",0,)</f>
        <v>#VALUE!</v>
      </c>
      <c r="C49" s="81"/>
      <c r="D49" s="81"/>
      <c r="E49" s="81"/>
      <c r="F49" s="81"/>
      <c r="G49" s="81"/>
      <c r="H49" s="81"/>
      <c r="I49" s="81"/>
      <c r="J49" s="81"/>
      <c r="K49" s="81"/>
      <c r="L49" s="81"/>
      <c r="M49" s="38">
        <f>SUM('Innovation Project Input'!$C49:$L49)</f>
        <v>0</v>
      </c>
      <c r="N49" s="80">
        <f>IF('Innovation Project Input'!$A49&gt;0,MIN(_xlfn.RANK.EQ('Innovation Project Input'!$M49,'Innovation Project Input'!$M$2:$M$201,0),NumberOfTeams),NumberOfTeams+1)</f>
        <v>1</v>
      </c>
    </row>
    <row r="50" ht="30.0" customHeight="1">
      <c r="A50" s="38" t="str">
        <f t="array" ref="A50">XLOOKUP(49,'Team and Program Information'!$B$3:$B$202,'Team and Program Information'!$C$3:$C$202,"ERROR",0)</f>
        <v/>
      </c>
      <c r="B50" s="68" t="str">
        <f t="array" ref="B50">XLOOKUP('Innovation Project Input'!$A50,'Team and Program Information'!$C$3:$C$202,'Team and Program Information'!$D$3:$D$202,"",0,)</f>
        <v>#VALUE!</v>
      </c>
      <c r="C50" s="81"/>
      <c r="D50" s="81"/>
      <c r="E50" s="81"/>
      <c r="F50" s="81"/>
      <c r="G50" s="81"/>
      <c r="H50" s="81"/>
      <c r="I50" s="81"/>
      <c r="J50" s="81"/>
      <c r="K50" s="81"/>
      <c r="L50" s="81"/>
      <c r="M50" s="38">
        <f>SUM('Innovation Project Input'!$C50:$L50)</f>
        <v>0</v>
      </c>
      <c r="N50" s="80">
        <f>IF('Innovation Project Input'!$A50&gt;0,MIN(_xlfn.RANK.EQ('Innovation Project Input'!$M50,'Innovation Project Input'!$M$2:$M$201,0),NumberOfTeams),NumberOfTeams+1)</f>
        <v>1</v>
      </c>
    </row>
    <row r="51" ht="30.0" customHeight="1">
      <c r="A51" s="38" t="str">
        <f t="array" ref="A51">XLOOKUP(50,'Team and Program Information'!$B$3:$B$202,'Team and Program Information'!$C$3:$C$202,"ERROR",0)</f>
        <v/>
      </c>
      <c r="B51" s="68" t="str">
        <f t="array" ref="B51">XLOOKUP('Innovation Project Input'!$A51,'Team and Program Information'!$C$3:$C$202,'Team and Program Information'!$D$3:$D$202,"",0,)</f>
        <v>#VALUE!</v>
      </c>
      <c r="C51" s="81"/>
      <c r="D51" s="81"/>
      <c r="E51" s="81"/>
      <c r="F51" s="81"/>
      <c r="G51" s="81"/>
      <c r="H51" s="81"/>
      <c r="I51" s="81"/>
      <c r="J51" s="81"/>
      <c r="K51" s="81"/>
      <c r="L51" s="81"/>
      <c r="M51" s="38">
        <f>SUM('Innovation Project Input'!$C51:$L51)</f>
        <v>0</v>
      </c>
      <c r="N51" s="80">
        <f>IF('Innovation Project Input'!$A51&gt;0,MIN(_xlfn.RANK.EQ('Innovation Project Input'!$M51,'Innovation Project Input'!$M$2:$M$201,0),NumberOfTeams),NumberOfTeams+1)</f>
        <v>1</v>
      </c>
    </row>
    <row r="52" ht="30.0" customHeight="1">
      <c r="A52" s="38" t="str">
        <f t="array" ref="A52">XLOOKUP(51,'Team and Program Information'!$B$3:$B$202,'Team and Program Information'!$C$3:$C$202,"ERROR",0)</f>
        <v/>
      </c>
      <c r="B52" s="68" t="str">
        <f t="array" ref="B52">XLOOKUP('Innovation Project Input'!$A52,'Team and Program Information'!$C$3:$C$202,'Team and Program Information'!$D$3:$D$202,"",0,)</f>
        <v>#VALUE!</v>
      </c>
      <c r="C52" s="81"/>
      <c r="D52" s="81"/>
      <c r="E52" s="81"/>
      <c r="F52" s="81"/>
      <c r="G52" s="81"/>
      <c r="H52" s="81"/>
      <c r="I52" s="81"/>
      <c r="J52" s="81"/>
      <c r="K52" s="81"/>
      <c r="L52" s="81"/>
      <c r="M52" s="38">
        <f>SUM('Innovation Project Input'!$C52:$L52)</f>
        <v>0</v>
      </c>
      <c r="N52" s="80">
        <f>IF('Innovation Project Input'!$A52&gt;0,MIN(_xlfn.RANK.EQ('Innovation Project Input'!$M52,'Innovation Project Input'!$M$2:$M$201,0),NumberOfTeams),NumberOfTeams+1)</f>
        <v>1</v>
      </c>
    </row>
    <row r="53" ht="30.0" customHeight="1">
      <c r="A53" s="38" t="str">
        <f t="array" ref="A53">XLOOKUP(52,'Team and Program Information'!$B$3:$B$202,'Team and Program Information'!$C$3:$C$202,"ERROR",0)</f>
        <v/>
      </c>
      <c r="B53" s="68" t="str">
        <f t="array" ref="B53">XLOOKUP('Innovation Project Input'!$A53,'Team and Program Information'!$C$3:$C$202,'Team and Program Information'!$D$3:$D$202,"",0,)</f>
        <v>#VALUE!</v>
      </c>
      <c r="C53" s="81"/>
      <c r="D53" s="81"/>
      <c r="E53" s="81"/>
      <c r="F53" s="81"/>
      <c r="G53" s="81"/>
      <c r="H53" s="81"/>
      <c r="I53" s="81"/>
      <c r="J53" s="81"/>
      <c r="K53" s="81"/>
      <c r="L53" s="81"/>
      <c r="M53" s="38">
        <f>SUM('Innovation Project Input'!$C53:$L53)</f>
        <v>0</v>
      </c>
      <c r="N53" s="80">
        <f>IF('Innovation Project Input'!$A53&gt;0,MIN(_xlfn.RANK.EQ('Innovation Project Input'!$M53,'Innovation Project Input'!$M$2:$M$201,0),NumberOfTeams),NumberOfTeams+1)</f>
        <v>1</v>
      </c>
    </row>
    <row r="54" ht="30.0" customHeight="1">
      <c r="A54" s="38" t="str">
        <f t="array" ref="A54">XLOOKUP(53,'Team and Program Information'!$B$3:$B$202,'Team and Program Information'!$C$3:$C$202,"ERROR",0)</f>
        <v/>
      </c>
      <c r="B54" s="68" t="str">
        <f t="array" ref="B54">XLOOKUP('Innovation Project Input'!$A54,'Team and Program Information'!$C$3:$C$202,'Team and Program Information'!$D$3:$D$202,"",0,)</f>
        <v>#VALUE!</v>
      </c>
      <c r="C54" s="81"/>
      <c r="D54" s="81"/>
      <c r="E54" s="81"/>
      <c r="F54" s="81"/>
      <c r="G54" s="81"/>
      <c r="H54" s="81"/>
      <c r="I54" s="81"/>
      <c r="J54" s="81"/>
      <c r="K54" s="81"/>
      <c r="L54" s="81"/>
      <c r="M54" s="38">
        <f>SUM('Innovation Project Input'!$C54:$L54)</f>
        <v>0</v>
      </c>
      <c r="N54" s="80">
        <f>IF('Innovation Project Input'!$A54&gt;0,MIN(_xlfn.RANK.EQ('Innovation Project Input'!$M54,'Innovation Project Input'!$M$2:$M$201,0),NumberOfTeams),NumberOfTeams+1)</f>
        <v>1</v>
      </c>
    </row>
    <row r="55" ht="30.0" customHeight="1">
      <c r="A55" s="38" t="str">
        <f t="array" ref="A55">XLOOKUP(54,'Team and Program Information'!$B$3:$B$202,'Team and Program Information'!$C$3:$C$202,"ERROR",0)</f>
        <v/>
      </c>
      <c r="B55" s="68" t="str">
        <f t="array" ref="B55">XLOOKUP('Innovation Project Input'!$A55,'Team and Program Information'!$C$3:$C$202,'Team and Program Information'!$D$3:$D$202,"",0,)</f>
        <v>#VALUE!</v>
      </c>
      <c r="C55" s="81"/>
      <c r="D55" s="81"/>
      <c r="E55" s="81"/>
      <c r="F55" s="81"/>
      <c r="G55" s="81"/>
      <c r="H55" s="81"/>
      <c r="I55" s="81"/>
      <c r="J55" s="81"/>
      <c r="K55" s="81"/>
      <c r="L55" s="81"/>
      <c r="M55" s="38">
        <f>SUM('Innovation Project Input'!$C55:$L55)</f>
        <v>0</v>
      </c>
      <c r="N55" s="80">
        <f>IF('Innovation Project Input'!$A55&gt;0,MIN(_xlfn.RANK.EQ('Innovation Project Input'!$M55,'Innovation Project Input'!$M$2:$M$201,0),NumberOfTeams),NumberOfTeams+1)</f>
        <v>1</v>
      </c>
    </row>
    <row r="56" ht="30.0" customHeight="1">
      <c r="A56" s="38" t="str">
        <f t="array" ref="A56">XLOOKUP(55,'Team and Program Information'!$B$3:$B$202,'Team and Program Information'!$C$3:$C$202,"ERROR",0)</f>
        <v/>
      </c>
      <c r="B56" s="68" t="str">
        <f t="array" ref="B56">XLOOKUP('Innovation Project Input'!$A56,'Team and Program Information'!$C$3:$C$202,'Team and Program Information'!$D$3:$D$202,"",0,)</f>
        <v>#VALUE!</v>
      </c>
      <c r="C56" s="81"/>
      <c r="D56" s="81"/>
      <c r="E56" s="81"/>
      <c r="F56" s="81"/>
      <c r="G56" s="81"/>
      <c r="H56" s="81"/>
      <c r="I56" s="81"/>
      <c r="J56" s="81"/>
      <c r="K56" s="81"/>
      <c r="L56" s="81"/>
      <c r="M56" s="38">
        <f>SUM('Innovation Project Input'!$C56:$L56)</f>
        <v>0</v>
      </c>
      <c r="N56" s="80">
        <f>IF('Innovation Project Input'!$A56&gt;0,MIN(_xlfn.RANK.EQ('Innovation Project Input'!$M56,'Innovation Project Input'!$M$2:$M$201,0),NumberOfTeams),NumberOfTeams+1)</f>
        <v>1</v>
      </c>
    </row>
    <row r="57" ht="30.0" customHeight="1">
      <c r="A57" s="38" t="str">
        <f t="array" ref="A57">XLOOKUP(56,'Team and Program Information'!$B$3:$B$202,'Team and Program Information'!$C$3:$C$202,"ERROR",0)</f>
        <v/>
      </c>
      <c r="B57" s="68" t="str">
        <f t="array" ref="B57">XLOOKUP('Innovation Project Input'!$A57,'Team and Program Information'!$C$3:$C$202,'Team and Program Information'!$D$3:$D$202,"",0,)</f>
        <v>#VALUE!</v>
      </c>
      <c r="C57" s="81"/>
      <c r="D57" s="81"/>
      <c r="E57" s="81"/>
      <c r="F57" s="81"/>
      <c r="G57" s="81"/>
      <c r="H57" s="81"/>
      <c r="I57" s="81"/>
      <c r="J57" s="81"/>
      <c r="K57" s="81"/>
      <c r="L57" s="81"/>
      <c r="M57" s="38">
        <f>SUM('Innovation Project Input'!$C57:$L57)</f>
        <v>0</v>
      </c>
      <c r="N57" s="80">
        <f>IF('Innovation Project Input'!$A57&gt;0,MIN(_xlfn.RANK.EQ('Innovation Project Input'!$M57,'Innovation Project Input'!$M$2:$M$201,0),NumberOfTeams),NumberOfTeams+1)</f>
        <v>1</v>
      </c>
    </row>
    <row r="58" ht="30.0" customHeight="1">
      <c r="A58" s="38" t="str">
        <f t="array" ref="A58">XLOOKUP(57,'Team and Program Information'!$B$3:$B$202,'Team and Program Information'!$C$3:$C$202,"ERROR",0)</f>
        <v/>
      </c>
      <c r="B58" s="68" t="str">
        <f t="array" ref="B58">XLOOKUP('Innovation Project Input'!$A58,'Team and Program Information'!$C$3:$C$202,'Team and Program Information'!$D$3:$D$202,"",0,)</f>
        <v>#VALUE!</v>
      </c>
      <c r="C58" s="81"/>
      <c r="D58" s="81"/>
      <c r="E58" s="81"/>
      <c r="F58" s="81"/>
      <c r="G58" s="81"/>
      <c r="H58" s="81"/>
      <c r="I58" s="81"/>
      <c r="J58" s="81"/>
      <c r="K58" s="81"/>
      <c r="L58" s="81"/>
      <c r="M58" s="38">
        <f>SUM('Innovation Project Input'!$C58:$L58)</f>
        <v>0</v>
      </c>
      <c r="N58" s="80">
        <f>IF('Innovation Project Input'!$A58&gt;0,MIN(_xlfn.RANK.EQ('Innovation Project Input'!$M58,'Innovation Project Input'!$M$2:$M$201,0),NumberOfTeams),NumberOfTeams+1)</f>
        <v>1</v>
      </c>
    </row>
    <row r="59" ht="30.0" customHeight="1">
      <c r="A59" s="38" t="str">
        <f t="array" ref="A59">XLOOKUP(58,'Team and Program Information'!$B$3:$B$202,'Team and Program Information'!$C$3:$C$202,"ERROR",0)</f>
        <v/>
      </c>
      <c r="B59" s="68" t="str">
        <f t="array" ref="B59">XLOOKUP('Innovation Project Input'!$A59,'Team and Program Information'!$C$3:$C$202,'Team and Program Information'!$D$3:$D$202,"",0,)</f>
        <v>#VALUE!</v>
      </c>
      <c r="C59" s="81"/>
      <c r="D59" s="81"/>
      <c r="E59" s="81"/>
      <c r="F59" s="81"/>
      <c r="G59" s="81"/>
      <c r="H59" s="81"/>
      <c r="I59" s="81"/>
      <c r="J59" s="81"/>
      <c r="K59" s="81"/>
      <c r="L59" s="81"/>
      <c r="M59" s="38">
        <f>SUM('Innovation Project Input'!$C59:$L59)</f>
        <v>0</v>
      </c>
      <c r="N59" s="80">
        <f>IF('Innovation Project Input'!$A59&gt;0,MIN(_xlfn.RANK.EQ('Innovation Project Input'!$M59,'Innovation Project Input'!$M$2:$M$201,0),NumberOfTeams),NumberOfTeams+1)</f>
        <v>1</v>
      </c>
    </row>
    <row r="60" ht="30.0" customHeight="1">
      <c r="A60" s="38" t="str">
        <f t="array" ref="A60">XLOOKUP(59,'Team and Program Information'!$B$3:$B$202,'Team and Program Information'!$C$3:$C$202,"ERROR",0)</f>
        <v/>
      </c>
      <c r="B60" s="68" t="str">
        <f t="array" ref="B60">XLOOKUP('Innovation Project Input'!$A60,'Team and Program Information'!$C$3:$C$202,'Team and Program Information'!$D$3:$D$202,"",0,)</f>
        <v>#VALUE!</v>
      </c>
      <c r="C60" s="81"/>
      <c r="D60" s="81"/>
      <c r="E60" s="81"/>
      <c r="F60" s="81"/>
      <c r="G60" s="81"/>
      <c r="H60" s="81"/>
      <c r="I60" s="81"/>
      <c r="J60" s="81"/>
      <c r="K60" s="81"/>
      <c r="L60" s="81"/>
      <c r="M60" s="38">
        <f>SUM('Innovation Project Input'!$C60:$L60)</f>
        <v>0</v>
      </c>
      <c r="N60" s="80">
        <f>IF('Innovation Project Input'!$A60&gt;0,MIN(_xlfn.RANK.EQ('Innovation Project Input'!$M60,'Innovation Project Input'!$M$2:$M$201,0),NumberOfTeams),NumberOfTeams+1)</f>
        <v>1</v>
      </c>
    </row>
    <row r="61" ht="30.0" customHeight="1">
      <c r="A61" s="38" t="str">
        <f t="array" ref="A61">XLOOKUP(60,'Team and Program Information'!$B$3:$B$202,'Team and Program Information'!$C$3:$C$202,"ERROR",0)</f>
        <v/>
      </c>
      <c r="B61" s="68" t="str">
        <f t="array" ref="B61">XLOOKUP('Innovation Project Input'!$A61,'Team and Program Information'!$C$3:$C$202,'Team and Program Information'!$D$3:$D$202,"",0,)</f>
        <v>#VALUE!</v>
      </c>
      <c r="C61" s="81"/>
      <c r="D61" s="81"/>
      <c r="E61" s="81"/>
      <c r="F61" s="81"/>
      <c r="G61" s="81"/>
      <c r="H61" s="81"/>
      <c r="I61" s="81"/>
      <c r="J61" s="81"/>
      <c r="K61" s="81"/>
      <c r="L61" s="81"/>
      <c r="M61" s="38">
        <f>SUM('Innovation Project Input'!$C61:$L61)</f>
        <v>0</v>
      </c>
      <c r="N61" s="80">
        <f>IF('Innovation Project Input'!$A61&gt;0,MIN(_xlfn.RANK.EQ('Innovation Project Input'!$M61,'Innovation Project Input'!$M$2:$M$201,0),NumberOfTeams),NumberOfTeams+1)</f>
        <v>1</v>
      </c>
    </row>
    <row r="62" ht="30.0" customHeight="1">
      <c r="A62" s="38" t="str">
        <f t="array" ref="A62">XLOOKUP(61,'Team and Program Information'!$B$3:$B$202,'Team and Program Information'!$C$3:$C$202,"ERROR",0)</f>
        <v/>
      </c>
      <c r="B62" s="68" t="str">
        <f t="array" ref="B62">XLOOKUP('Innovation Project Input'!$A62,'Team and Program Information'!$C$3:$C$202,'Team and Program Information'!$D$3:$D$202,"",0,)</f>
        <v>#VALUE!</v>
      </c>
      <c r="C62" s="81"/>
      <c r="D62" s="81"/>
      <c r="E62" s="81"/>
      <c r="F62" s="81"/>
      <c r="G62" s="81"/>
      <c r="H62" s="81"/>
      <c r="I62" s="81"/>
      <c r="J62" s="81"/>
      <c r="K62" s="81"/>
      <c r="L62" s="81"/>
      <c r="M62" s="38">
        <f>SUM('Innovation Project Input'!$C62:$L62)</f>
        <v>0</v>
      </c>
      <c r="N62" s="80">
        <f>IF('Innovation Project Input'!$A62&gt;0,MIN(_xlfn.RANK.EQ('Innovation Project Input'!$M62,'Innovation Project Input'!$M$2:$M$201,0),NumberOfTeams),NumberOfTeams+1)</f>
        <v>1</v>
      </c>
    </row>
    <row r="63" ht="30.0" customHeight="1">
      <c r="A63" s="38" t="str">
        <f t="array" ref="A63">XLOOKUP(62,'Team and Program Information'!$B$3:$B$202,'Team and Program Information'!$C$3:$C$202,"ERROR",0)</f>
        <v/>
      </c>
      <c r="B63" s="68" t="str">
        <f t="array" ref="B63">XLOOKUP('Innovation Project Input'!$A63,'Team and Program Information'!$C$3:$C$202,'Team and Program Information'!$D$3:$D$202,"",0,)</f>
        <v>#VALUE!</v>
      </c>
      <c r="C63" s="81"/>
      <c r="D63" s="81"/>
      <c r="E63" s="81"/>
      <c r="F63" s="81"/>
      <c r="G63" s="81"/>
      <c r="H63" s="81"/>
      <c r="I63" s="81"/>
      <c r="J63" s="81"/>
      <c r="K63" s="81"/>
      <c r="L63" s="81"/>
      <c r="M63" s="38">
        <f>SUM('Innovation Project Input'!$C63:$L63)</f>
        <v>0</v>
      </c>
      <c r="N63" s="80">
        <f>IF('Innovation Project Input'!$A63&gt;0,MIN(_xlfn.RANK.EQ('Innovation Project Input'!$M63,'Innovation Project Input'!$M$2:$M$201,0),NumberOfTeams),NumberOfTeams+1)</f>
        <v>1</v>
      </c>
    </row>
    <row r="64" ht="30.0" customHeight="1">
      <c r="A64" s="38" t="str">
        <f t="array" ref="A64">XLOOKUP(63,'Team and Program Information'!$B$3:$B$202,'Team and Program Information'!$C$3:$C$202,"ERROR",0)</f>
        <v/>
      </c>
      <c r="B64" s="68" t="str">
        <f t="array" ref="B64">XLOOKUP('Innovation Project Input'!$A64,'Team and Program Information'!$C$3:$C$202,'Team and Program Information'!$D$3:$D$202,"",0,)</f>
        <v>#VALUE!</v>
      </c>
      <c r="C64" s="81"/>
      <c r="D64" s="81"/>
      <c r="E64" s="81"/>
      <c r="F64" s="81"/>
      <c r="G64" s="81"/>
      <c r="H64" s="81"/>
      <c r="I64" s="81"/>
      <c r="J64" s="81"/>
      <c r="K64" s="81"/>
      <c r="L64" s="81"/>
      <c r="M64" s="38">
        <f>SUM('Innovation Project Input'!$C64:$L64)</f>
        <v>0</v>
      </c>
      <c r="N64" s="80">
        <f>IF('Innovation Project Input'!$A64&gt;0,MIN(_xlfn.RANK.EQ('Innovation Project Input'!$M64,'Innovation Project Input'!$M$2:$M$201,0),NumberOfTeams),NumberOfTeams+1)</f>
        <v>1</v>
      </c>
    </row>
    <row r="65" ht="30.0" customHeight="1">
      <c r="A65" s="38" t="str">
        <f t="array" ref="A65">XLOOKUP(64,'Team and Program Information'!$B$3:$B$202,'Team and Program Information'!$C$3:$C$202,"ERROR",0)</f>
        <v/>
      </c>
      <c r="B65" s="68" t="str">
        <f t="array" ref="B65">XLOOKUP('Innovation Project Input'!$A65,'Team and Program Information'!$C$3:$C$202,'Team and Program Information'!$D$3:$D$202,"",0,)</f>
        <v>#VALUE!</v>
      </c>
      <c r="C65" s="81"/>
      <c r="D65" s="81"/>
      <c r="E65" s="81"/>
      <c r="F65" s="81"/>
      <c r="G65" s="81"/>
      <c r="H65" s="81"/>
      <c r="I65" s="81"/>
      <c r="J65" s="81"/>
      <c r="K65" s="81"/>
      <c r="L65" s="81"/>
      <c r="M65" s="38">
        <f>SUM('Innovation Project Input'!$C65:$L65)</f>
        <v>0</v>
      </c>
      <c r="N65" s="80">
        <f>IF('Innovation Project Input'!$A65&gt;0,MIN(_xlfn.RANK.EQ('Innovation Project Input'!$M65,'Innovation Project Input'!$M$2:$M$201,0),NumberOfTeams),NumberOfTeams+1)</f>
        <v>1</v>
      </c>
    </row>
    <row r="66" ht="30.0" customHeight="1">
      <c r="A66" s="38" t="str">
        <f t="array" ref="A66">XLOOKUP(65,'Team and Program Information'!$B$3:$B$202,'Team and Program Information'!$C$3:$C$202,"ERROR",0)</f>
        <v/>
      </c>
      <c r="B66" s="68" t="str">
        <f t="array" ref="B66">XLOOKUP('Innovation Project Input'!$A66,'Team and Program Information'!$C$3:$C$202,'Team and Program Information'!$D$3:$D$202,"",0,)</f>
        <v>#VALUE!</v>
      </c>
      <c r="C66" s="81"/>
      <c r="D66" s="81"/>
      <c r="E66" s="81"/>
      <c r="F66" s="81"/>
      <c r="G66" s="81"/>
      <c r="H66" s="81"/>
      <c r="I66" s="81"/>
      <c r="J66" s="81"/>
      <c r="K66" s="81"/>
      <c r="L66" s="81"/>
      <c r="M66" s="38">
        <f>SUM('Innovation Project Input'!$C66:$L66)</f>
        <v>0</v>
      </c>
      <c r="N66" s="80">
        <f>IF('Innovation Project Input'!$A66&gt;0,MIN(_xlfn.RANK.EQ('Innovation Project Input'!$M66,'Innovation Project Input'!$M$2:$M$201,0),NumberOfTeams),NumberOfTeams+1)</f>
        <v>1</v>
      </c>
    </row>
    <row r="67" ht="30.0" customHeight="1">
      <c r="A67" s="38" t="str">
        <f t="array" ref="A67">XLOOKUP(66,'Team and Program Information'!$B$3:$B$202,'Team and Program Information'!$C$3:$C$202,"ERROR",0)</f>
        <v/>
      </c>
      <c r="B67" s="68" t="str">
        <f t="array" ref="B67">XLOOKUP('Innovation Project Input'!$A67,'Team and Program Information'!$C$3:$C$202,'Team and Program Information'!$D$3:$D$202,"",0,)</f>
        <v>#VALUE!</v>
      </c>
      <c r="C67" s="81"/>
      <c r="D67" s="81"/>
      <c r="E67" s="81"/>
      <c r="F67" s="81"/>
      <c r="G67" s="81"/>
      <c r="H67" s="81"/>
      <c r="I67" s="81"/>
      <c r="J67" s="81"/>
      <c r="K67" s="81"/>
      <c r="L67" s="81"/>
      <c r="M67" s="38">
        <f>SUM('Innovation Project Input'!$C67:$L67)</f>
        <v>0</v>
      </c>
      <c r="N67" s="80">
        <f>IF('Innovation Project Input'!$A67&gt;0,MIN(_xlfn.RANK.EQ('Innovation Project Input'!$M67,'Innovation Project Input'!$M$2:$M$201,0),NumberOfTeams),NumberOfTeams+1)</f>
        <v>1</v>
      </c>
    </row>
    <row r="68" ht="30.0" customHeight="1">
      <c r="A68" s="38" t="str">
        <f t="array" ref="A68">XLOOKUP(67,'Team and Program Information'!$B$3:$B$202,'Team and Program Information'!$C$3:$C$202,"ERROR",0)</f>
        <v/>
      </c>
      <c r="B68" s="68" t="str">
        <f t="array" ref="B68">XLOOKUP('Innovation Project Input'!$A68,'Team and Program Information'!$C$3:$C$202,'Team and Program Information'!$D$3:$D$202,"",0,)</f>
        <v>#VALUE!</v>
      </c>
      <c r="C68" s="81"/>
      <c r="D68" s="81"/>
      <c r="E68" s="81"/>
      <c r="F68" s="81"/>
      <c r="G68" s="81"/>
      <c r="H68" s="81"/>
      <c r="I68" s="81"/>
      <c r="J68" s="81"/>
      <c r="K68" s="81"/>
      <c r="L68" s="81"/>
      <c r="M68" s="38">
        <f>SUM('Innovation Project Input'!$C68:$L68)</f>
        <v>0</v>
      </c>
      <c r="N68" s="80">
        <f>IF('Innovation Project Input'!$A68&gt;0,MIN(_xlfn.RANK.EQ('Innovation Project Input'!$M68,'Innovation Project Input'!$M$2:$M$201,0),NumberOfTeams),NumberOfTeams+1)</f>
        <v>1</v>
      </c>
    </row>
    <row r="69" ht="30.0" customHeight="1">
      <c r="A69" s="38" t="str">
        <f t="array" ref="A69">XLOOKUP(68,'Team and Program Information'!$B$3:$B$202,'Team and Program Information'!$C$3:$C$202,"ERROR",0)</f>
        <v/>
      </c>
      <c r="B69" s="68" t="str">
        <f t="array" ref="B69">XLOOKUP('Innovation Project Input'!$A69,'Team and Program Information'!$C$3:$C$202,'Team and Program Information'!$D$3:$D$202,"",0,)</f>
        <v>#VALUE!</v>
      </c>
      <c r="C69" s="81"/>
      <c r="D69" s="81"/>
      <c r="E69" s="81"/>
      <c r="F69" s="81"/>
      <c r="G69" s="81"/>
      <c r="H69" s="81"/>
      <c r="I69" s="81"/>
      <c r="J69" s="81"/>
      <c r="K69" s="81"/>
      <c r="L69" s="81"/>
      <c r="M69" s="38">
        <f>SUM('Innovation Project Input'!$C69:$L69)</f>
        <v>0</v>
      </c>
      <c r="N69" s="80">
        <f>IF('Innovation Project Input'!$A69&gt;0,MIN(_xlfn.RANK.EQ('Innovation Project Input'!$M69,'Innovation Project Input'!$M$2:$M$201,0),NumberOfTeams),NumberOfTeams+1)</f>
        <v>1</v>
      </c>
    </row>
    <row r="70" ht="30.0" customHeight="1">
      <c r="A70" s="38" t="str">
        <f t="array" ref="A70">XLOOKUP(69,'Team and Program Information'!$B$3:$B$202,'Team and Program Information'!$C$3:$C$202,"ERROR",0)</f>
        <v/>
      </c>
      <c r="B70" s="68" t="str">
        <f t="array" ref="B70">XLOOKUP('Innovation Project Input'!$A70,'Team and Program Information'!$C$3:$C$202,'Team and Program Information'!$D$3:$D$202,"",0,)</f>
        <v>#VALUE!</v>
      </c>
      <c r="C70" s="81"/>
      <c r="D70" s="81"/>
      <c r="E70" s="81"/>
      <c r="F70" s="81"/>
      <c r="G70" s="81"/>
      <c r="H70" s="81"/>
      <c r="I70" s="81"/>
      <c r="J70" s="81"/>
      <c r="K70" s="81"/>
      <c r="L70" s="81"/>
      <c r="M70" s="38">
        <f>SUM('Innovation Project Input'!$C70:$L70)</f>
        <v>0</v>
      </c>
      <c r="N70" s="80">
        <f>IF('Innovation Project Input'!$A70&gt;0,MIN(_xlfn.RANK.EQ('Innovation Project Input'!$M70,'Innovation Project Input'!$M$2:$M$201,0),NumberOfTeams),NumberOfTeams+1)</f>
        <v>1</v>
      </c>
    </row>
    <row r="71" ht="30.0" customHeight="1">
      <c r="A71" s="38" t="str">
        <f t="array" ref="A71">XLOOKUP(70,'Team and Program Information'!$B$3:$B$202,'Team and Program Information'!$C$3:$C$202,"ERROR",0)</f>
        <v/>
      </c>
      <c r="B71" s="68" t="str">
        <f t="array" ref="B71">XLOOKUP('Innovation Project Input'!$A71,'Team and Program Information'!$C$3:$C$202,'Team and Program Information'!$D$3:$D$202,"",0,)</f>
        <v>#VALUE!</v>
      </c>
      <c r="C71" s="81"/>
      <c r="D71" s="81"/>
      <c r="E71" s="81"/>
      <c r="F71" s="81"/>
      <c r="G71" s="81"/>
      <c r="H71" s="81"/>
      <c r="I71" s="81"/>
      <c r="J71" s="81"/>
      <c r="K71" s="81"/>
      <c r="L71" s="81"/>
      <c r="M71" s="38">
        <f>SUM('Innovation Project Input'!$C71:$L71)</f>
        <v>0</v>
      </c>
      <c r="N71" s="80">
        <f>IF('Innovation Project Input'!$A71&gt;0,MIN(_xlfn.RANK.EQ('Innovation Project Input'!$M71,'Innovation Project Input'!$M$2:$M$201,0),NumberOfTeams),NumberOfTeams+1)</f>
        <v>1</v>
      </c>
    </row>
    <row r="72" ht="30.0" customHeight="1">
      <c r="A72" s="38" t="str">
        <f t="array" ref="A72">XLOOKUP(71,'Team and Program Information'!$B$3:$B$202,'Team and Program Information'!$C$3:$C$202,"ERROR",0)</f>
        <v/>
      </c>
      <c r="B72" s="68" t="str">
        <f t="array" ref="B72">XLOOKUP('Innovation Project Input'!$A72,'Team and Program Information'!$C$3:$C$202,'Team and Program Information'!$D$3:$D$202,"",0,)</f>
        <v>#VALUE!</v>
      </c>
      <c r="C72" s="81"/>
      <c r="D72" s="81"/>
      <c r="E72" s="81"/>
      <c r="F72" s="81"/>
      <c r="G72" s="81"/>
      <c r="H72" s="81"/>
      <c r="I72" s="81"/>
      <c r="J72" s="81"/>
      <c r="K72" s="81"/>
      <c r="L72" s="81"/>
      <c r="M72" s="38">
        <f>SUM('Innovation Project Input'!$C72:$L72)</f>
        <v>0</v>
      </c>
      <c r="N72" s="80">
        <f>IF('Innovation Project Input'!$A72&gt;0,MIN(_xlfn.RANK.EQ('Innovation Project Input'!$M72,'Innovation Project Input'!$M$2:$M$201,0),NumberOfTeams),NumberOfTeams+1)</f>
        <v>1</v>
      </c>
    </row>
    <row r="73" ht="30.0" customHeight="1">
      <c r="A73" s="38" t="str">
        <f t="array" ref="A73">XLOOKUP(72,'Team and Program Information'!$B$3:$B$202,'Team and Program Information'!$C$3:$C$202,"ERROR",0)</f>
        <v/>
      </c>
      <c r="B73" s="68" t="str">
        <f t="array" ref="B73">XLOOKUP('Innovation Project Input'!$A73,'Team and Program Information'!$C$3:$C$202,'Team and Program Information'!$D$3:$D$202,"",0,)</f>
        <v>#VALUE!</v>
      </c>
      <c r="C73" s="81"/>
      <c r="D73" s="81"/>
      <c r="E73" s="81"/>
      <c r="F73" s="81"/>
      <c r="G73" s="81"/>
      <c r="H73" s="81"/>
      <c r="I73" s="81"/>
      <c r="J73" s="81"/>
      <c r="K73" s="81"/>
      <c r="L73" s="81"/>
      <c r="M73" s="38">
        <f>SUM('Innovation Project Input'!$C73:$L73)</f>
        <v>0</v>
      </c>
      <c r="N73" s="80">
        <f>IF('Innovation Project Input'!$A73&gt;0,MIN(_xlfn.RANK.EQ('Innovation Project Input'!$M73,'Innovation Project Input'!$M$2:$M$201,0),NumberOfTeams),NumberOfTeams+1)</f>
        <v>1</v>
      </c>
    </row>
    <row r="74" ht="30.0" customHeight="1">
      <c r="A74" s="38" t="str">
        <f t="array" ref="A74">XLOOKUP(73,'Team and Program Information'!$B$3:$B$202,'Team and Program Information'!$C$3:$C$202,"ERROR",0)</f>
        <v/>
      </c>
      <c r="B74" s="68" t="str">
        <f t="array" ref="B74">XLOOKUP('Innovation Project Input'!$A74,'Team and Program Information'!$C$3:$C$202,'Team and Program Information'!$D$3:$D$202,"",0,)</f>
        <v>#VALUE!</v>
      </c>
      <c r="C74" s="81"/>
      <c r="D74" s="81"/>
      <c r="E74" s="81"/>
      <c r="F74" s="81"/>
      <c r="G74" s="81"/>
      <c r="H74" s="81"/>
      <c r="I74" s="81"/>
      <c r="J74" s="81"/>
      <c r="K74" s="81"/>
      <c r="L74" s="81"/>
      <c r="M74" s="38">
        <f>SUM('Innovation Project Input'!$C74:$L74)</f>
        <v>0</v>
      </c>
      <c r="N74" s="80">
        <f>IF('Innovation Project Input'!$A74&gt;0,MIN(_xlfn.RANK.EQ('Innovation Project Input'!$M74,'Innovation Project Input'!$M$2:$M$201,0),NumberOfTeams),NumberOfTeams+1)</f>
        <v>1</v>
      </c>
    </row>
    <row r="75" ht="30.0" customHeight="1">
      <c r="A75" s="38" t="str">
        <f t="array" ref="A75">XLOOKUP(74,'Team and Program Information'!$B$3:$B$202,'Team and Program Information'!$C$3:$C$202,"ERROR",0)</f>
        <v/>
      </c>
      <c r="B75" s="68" t="str">
        <f t="array" ref="B75">XLOOKUP('Innovation Project Input'!$A75,'Team and Program Information'!$C$3:$C$202,'Team and Program Information'!$D$3:$D$202,"",0,)</f>
        <v>#VALUE!</v>
      </c>
      <c r="C75" s="81"/>
      <c r="D75" s="81"/>
      <c r="E75" s="81"/>
      <c r="F75" s="81"/>
      <c r="G75" s="81"/>
      <c r="H75" s="81"/>
      <c r="I75" s="81"/>
      <c r="J75" s="81"/>
      <c r="K75" s="81"/>
      <c r="L75" s="81"/>
      <c r="M75" s="38">
        <f>SUM('Innovation Project Input'!$C75:$L75)</f>
        <v>0</v>
      </c>
      <c r="N75" s="80">
        <f>IF('Innovation Project Input'!$A75&gt;0,MIN(_xlfn.RANK.EQ('Innovation Project Input'!$M75,'Innovation Project Input'!$M$2:$M$201,0),NumberOfTeams),NumberOfTeams+1)</f>
        <v>1</v>
      </c>
    </row>
    <row r="76" ht="30.0" customHeight="1">
      <c r="A76" s="38" t="str">
        <f t="array" ref="A76">XLOOKUP(75,'Team and Program Information'!$B$3:$B$202,'Team and Program Information'!$C$3:$C$202,"ERROR",0)</f>
        <v/>
      </c>
      <c r="B76" s="68" t="str">
        <f t="array" ref="B76">XLOOKUP('Innovation Project Input'!$A76,'Team and Program Information'!$C$3:$C$202,'Team and Program Information'!$D$3:$D$202,"",0,)</f>
        <v>#VALUE!</v>
      </c>
      <c r="C76" s="81"/>
      <c r="D76" s="81"/>
      <c r="E76" s="81"/>
      <c r="F76" s="81"/>
      <c r="G76" s="81"/>
      <c r="H76" s="81"/>
      <c r="I76" s="81"/>
      <c r="J76" s="81"/>
      <c r="K76" s="81"/>
      <c r="L76" s="81"/>
      <c r="M76" s="38">
        <f>SUM('Innovation Project Input'!$C76:$L76)</f>
        <v>0</v>
      </c>
      <c r="N76" s="80">
        <f>IF('Innovation Project Input'!$A76&gt;0,MIN(_xlfn.RANK.EQ('Innovation Project Input'!$M76,'Innovation Project Input'!$M$2:$M$201,0),NumberOfTeams),NumberOfTeams+1)</f>
        <v>1</v>
      </c>
    </row>
    <row r="77" ht="30.0" customHeight="1">
      <c r="A77" s="38" t="str">
        <f t="array" ref="A77">XLOOKUP(76,'Team and Program Information'!$B$3:$B$202,'Team and Program Information'!$C$3:$C$202,"ERROR",0)</f>
        <v/>
      </c>
      <c r="B77" s="68" t="str">
        <f t="array" ref="B77">XLOOKUP('Innovation Project Input'!$A77,'Team and Program Information'!$C$3:$C$202,'Team and Program Information'!$D$3:$D$202,"",0,)</f>
        <v>#VALUE!</v>
      </c>
      <c r="C77" s="81"/>
      <c r="D77" s="81"/>
      <c r="E77" s="81"/>
      <c r="F77" s="81"/>
      <c r="G77" s="81"/>
      <c r="H77" s="81"/>
      <c r="I77" s="81"/>
      <c r="J77" s="81"/>
      <c r="K77" s="81"/>
      <c r="L77" s="81"/>
      <c r="M77" s="38">
        <f>SUM('Innovation Project Input'!$C77:$L77)</f>
        <v>0</v>
      </c>
      <c r="N77" s="80">
        <f>IF('Innovation Project Input'!$A77&gt;0,MIN(_xlfn.RANK.EQ('Innovation Project Input'!$M77,'Innovation Project Input'!$M$2:$M$201,0),NumberOfTeams),NumberOfTeams+1)</f>
        <v>1</v>
      </c>
    </row>
    <row r="78" ht="30.0" customHeight="1">
      <c r="A78" s="38" t="str">
        <f t="array" ref="A78">XLOOKUP(77,'Team and Program Information'!$B$3:$B$202,'Team and Program Information'!$C$3:$C$202,"ERROR",0)</f>
        <v/>
      </c>
      <c r="B78" s="68" t="str">
        <f t="array" ref="B78">XLOOKUP('Innovation Project Input'!$A78,'Team and Program Information'!$C$3:$C$202,'Team and Program Information'!$D$3:$D$202,"",0,)</f>
        <v>#VALUE!</v>
      </c>
      <c r="C78" s="81"/>
      <c r="D78" s="81"/>
      <c r="E78" s="81"/>
      <c r="F78" s="81"/>
      <c r="G78" s="81"/>
      <c r="H78" s="81"/>
      <c r="I78" s="81"/>
      <c r="J78" s="81"/>
      <c r="K78" s="81"/>
      <c r="L78" s="81"/>
      <c r="M78" s="38">
        <f>SUM('Innovation Project Input'!$C78:$L78)</f>
        <v>0</v>
      </c>
      <c r="N78" s="80">
        <f>IF('Innovation Project Input'!$A78&gt;0,MIN(_xlfn.RANK.EQ('Innovation Project Input'!$M78,'Innovation Project Input'!$M$2:$M$201,0),NumberOfTeams),NumberOfTeams+1)</f>
        <v>1</v>
      </c>
    </row>
    <row r="79" ht="30.0" customHeight="1">
      <c r="A79" s="38" t="str">
        <f t="array" ref="A79">XLOOKUP(78,'Team and Program Information'!$B$3:$B$202,'Team and Program Information'!$C$3:$C$202,"ERROR",0)</f>
        <v/>
      </c>
      <c r="B79" s="68" t="str">
        <f t="array" ref="B79">XLOOKUP('Innovation Project Input'!$A79,'Team and Program Information'!$C$3:$C$202,'Team and Program Information'!$D$3:$D$202,"",0,)</f>
        <v>#VALUE!</v>
      </c>
      <c r="C79" s="81"/>
      <c r="D79" s="81"/>
      <c r="E79" s="81"/>
      <c r="F79" s="81"/>
      <c r="G79" s="81"/>
      <c r="H79" s="81"/>
      <c r="I79" s="81"/>
      <c r="J79" s="81"/>
      <c r="K79" s="81"/>
      <c r="L79" s="81"/>
      <c r="M79" s="38">
        <f>SUM('Innovation Project Input'!$C79:$L79)</f>
        <v>0</v>
      </c>
      <c r="N79" s="80">
        <f>IF('Innovation Project Input'!$A79&gt;0,MIN(_xlfn.RANK.EQ('Innovation Project Input'!$M79,'Innovation Project Input'!$M$2:$M$201,0),NumberOfTeams),NumberOfTeams+1)</f>
        <v>1</v>
      </c>
    </row>
    <row r="80" ht="30.0" customHeight="1">
      <c r="A80" s="38" t="str">
        <f t="array" ref="A80">XLOOKUP(79,'Team and Program Information'!$B$3:$B$202,'Team and Program Information'!$C$3:$C$202,"ERROR",0)</f>
        <v/>
      </c>
      <c r="B80" s="68" t="str">
        <f t="array" ref="B80">XLOOKUP('Innovation Project Input'!$A80,'Team and Program Information'!$C$3:$C$202,'Team and Program Information'!$D$3:$D$202,"",0,)</f>
        <v>#VALUE!</v>
      </c>
      <c r="C80" s="81"/>
      <c r="D80" s="81"/>
      <c r="E80" s="81"/>
      <c r="F80" s="81"/>
      <c r="G80" s="81"/>
      <c r="H80" s="81"/>
      <c r="I80" s="81"/>
      <c r="J80" s="81"/>
      <c r="K80" s="81"/>
      <c r="L80" s="81"/>
      <c r="M80" s="38">
        <f>SUM('Innovation Project Input'!$C80:$L80)</f>
        <v>0</v>
      </c>
      <c r="N80" s="80">
        <f>IF('Innovation Project Input'!$A80&gt;0,MIN(_xlfn.RANK.EQ('Innovation Project Input'!$M80,'Innovation Project Input'!$M$2:$M$201,0),NumberOfTeams),NumberOfTeams+1)</f>
        <v>1</v>
      </c>
    </row>
    <row r="81" ht="30.0" customHeight="1">
      <c r="A81" s="38" t="str">
        <f t="array" ref="A81">XLOOKUP(80,'Team and Program Information'!$B$3:$B$202,'Team and Program Information'!$C$3:$C$202,"ERROR",0)</f>
        <v/>
      </c>
      <c r="B81" s="68" t="str">
        <f t="array" ref="B81">XLOOKUP('Innovation Project Input'!$A81,'Team and Program Information'!$C$3:$C$202,'Team and Program Information'!$D$3:$D$202,"",0,)</f>
        <v>#VALUE!</v>
      </c>
      <c r="C81" s="81"/>
      <c r="D81" s="81"/>
      <c r="E81" s="81"/>
      <c r="F81" s="81"/>
      <c r="G81" s="81"/>
      <c r="H81" s="81"/>
      <c r="I81" s="81"/>
      <c r="J81" s="81"/>
      <c r="K81" s="81"/>
      <c r="L81" s="81"/>
      <c r="M81" s="38">
        <f>SUM('Innovation Project Input'!$C81:$L81)</f>
        <v>0</v>
      </c>
      <c r="N81" s="80">
        <f>IF('Innovation Project Input'!$A81&gt;0,MIN(_xlfn.RANK.EQ('Innovation Project Input'!$M81,'Innovation Project Input'!$M$2:$M$201,0),NumberOfTeams),NumberOfTeams+1)</f>
        <v>1</v>
      </c>
    </row>
    <row r="82" ht="30.0" customHeight="1">
      <c r="A82" s="38" t="str">
        <f t="array" ref="A82">XLOOKUP(81,'Team and Program Information'!$B$3:$B$202,'Team and Program Information'!$C$3:$C$202,"ERROR",0)</f>
        <v/>
      </c>
      <c r="B82" s="68" t="str">
        <f t="array" ref="B82">XLOOKUP('Innovation Project Input'!$A82,'Team and Program Information'!$C$3:$C$202,'Team and Program Information'!$D$3:$D$202,"",0,)</f>
        <v>#VALUE!</v>
      </c>
      <c r="C82" s="81"/>
      <c r="D82" s="81"/>
      <c r="E82" s="81"/>
      <c r="F82" s="81"/>
      <c r="G82" s="81"/>
      <c r="H82" s="81"/>
      <c r="I82" s="81"/>
      <c r="J82" s="81"/>
      <c r="K82" s="81"/>
      <c r="L82" s="81"/>
      <c r="M82" s="38">
        <f>SUM('Innovation Project Input'!$C82:$L82)</f>
        <v>0</v>
      </c>
      <c r="N82" s="80">
        <f>IF('Innovation Project Input'!$A82&gt;0,MIN(_xlfn.RANK.EQ('Innovation Project Input'!$M82,'Innovation Project Input'!$M$2:$M$201,0),NumberOfTeams),NumberOfTeams+1)</f>
        <v>1</v>
      </c>
    </row>
    <row r="83" ht="30.0" customHeight="1">
      <c r="A83" s="38" t="str">
        <f t="array" ref="A83">XLOOKUP(82,'Team and Program Information'!$B$3:$B$202,'Team and Program Information'!$C$3:$C$202,"ERROR",0)</f>
        <v/>
      </c>
      <c r="B83" s="68" t="str">
        <f t="array" ref="B83">XLOOKUP('Innovation Project Input'!$A83,'Team and Program Information'!$C$3:$C$202,'Team and Program Information'!$D$3:$D$202,"",0,)</f>
        <v>#VALUE!</v>
      </c>
      <c r="C83" s="81"/>
      <c r="D83" s="81"/>
      <c r="E83" s="81"/>
      <c r="F83" s="81"/>
      <c r="G83" s="81"/>
      <c r="H83" s="81"/>
      <c r="I83" s="81"/>
      <c r="J83" s="81"/>
      <c r="K83" s="81"/>
      <c r="L83" s="81"/>
      <c r="M83" s="38">
        <f>SUM('Innovation Project Input'!$C83:$L83)</f>
        <v>0</v>
      </c>
      <c r="N83" s="80">
        <f>IF('Innovation Project Input'!$A83&gt;0,MIN(_xlfn.RANK.EQ('Innovation Project Input'!$M83,'Innovation Project Input'!$M$2:$M$201,0),NumberOfTeams),NumberOfTeams+1)</f>
        <v>1</v>
      </c>
    </row>
    <row r="84" ht="30.0" customHeight="1">
      <c r="A84" s="38" t="str">
        <f t="array" ref="A84">XLOOKUP(83,'Team and Program Information'!$B$3:$B$202,'Team and Program Information'!$C$3:$C$202,"ERROR",0)</f>
        <v/>
      </c>
      <c r="B84" s="68" t="str">
        <f t="array" ref="B84">XLOOKUP('Innovation Project Input'!$A84,'Team and Program Information'!$C$3:$C$202,'Team and Program Information'!$D$3:$D$202,"",0,)</f>
        <v>#VALUE!</v>
      </c>
      <c r="C84" s="81"/>
      <c r="D84" s="81"/>
      <c r="E84" s="81"/>
      <c r="F84" s="81"/>
      <c r="G84" s="81"/>
      <c r="H84" s="81"/>
      <c r="I84" s="81"/>
      <c r="J84" s="81"/>
      <c r="K84" s="81"/>
      <c r="L84" s="81"/>
      <c r="M84" s="38">
        <f>SUM('Innovation Project Input'!$C84:$L84)</f>
        <v>0</v>
      </c>
      <c r="N84" s="80">
        <f>IF('Innovation Project Input'!$A84&gt;0,MIN(_xlfn.RANK.EQ('Innovation Project Input'!$M84,'Innovation Project Input'!$M$2:$M$201,0),NumberOfTeams),NumberOfTeams+1)</f>
        <v>1</v>
      </c>
    </row>
    <row r="85" ht="30.0" customHeight="1">
      <c r="A85" s="38" t="str">
        <f t="array" ref="A85">XLOOKUP(84,'Team and Program Information'!$B$3:$B$202,'Team and Program Information'!$C$3:$C$202,"ERROR",0)</f>
        <v/>
      </c>
      <c r="B85" s="68" t="str">
        <f t="array" ref="B85">XLOOKUP('Innovation Project Input'!$A85,'Team and Program Information'!$C$3:$C$202,'Team and Program Information'!$D$3:$D$202,"",0,)</f>
        <v>#VALUE!</v>
      </c>
      <c r="C85" s="81"/>
      <c r="D85" s="81"/>
      <c r="E85" s="81"/>
      <c r="F85" s="81"/>
      <c r="G85" s="81"/>
      <c r="H85" s="81"/>
      <c r="I85" s="81"/>
      <c r="J85" s="81"/>
      <c r="K85" s="81"/>
      <c r="L85" s="81"/>
      <c r="M85" s="38">
        <f>SUM('Innovation Project Input'!$C85:$L85)</f>
        <v>0</v>
      </c>
      <c r="N85" s="80">
        <f>IF('Innovation Project Input'!$A85&gt;0,MIN(_xlfn.RANK.EQ('Innovation Project Input'!$M85,'Innovation Project Input'!$M$2:$M$201,0),NumberOfTeams),NumberOfTeams+1)</f>
        <v>1</v>
      </c>
    </row>
    <row r="86" ht="30.0" customHeight="1">
      <c r="A86" s="38" t="str">
        <f t="array" ref="A86">XLOOKUP(85,'Team and Program Information'!$B$3:$B$202,'Team and Program Information'!$C$3:$C$202,"ERROR",0)</f>
        <v/>
      </c>
      <c r="B86" s="68" t="str">
        <f t="array" ref="B86">XLOOKUP('Innovation Project Input'!$A86,'Team and Program Information'!$C$3:$C$202,'Team and Program Information'!$D$3:$D$202,"",0,)</f>
        <v>#VALUE!</v>
      </c>
      <c r="C86" s="81"/>
      <c r="D86" s="81"/>
      <c r="E86" s="81"/>
      <c r="F86" s="81"/>
      <c r="G86" s="81"/>
      <c r="H86" s="81"/>
      <c r="I86" s="81"/>
      <c r="J86" s="81"/>
      <c r="K86" s="81"/>
      <c r="L86" s="81"/>
      <c r="M86" s="38">
        <f>SUM('Innovation Project Input'!$C86:$L86)</f>
        <v>0</v>
      </c>
      <c r="N86" s="80">
        <f>IF('Innovation Project Input'!$A86&gt;0,MIN(_xlfn.RANK.EQ('Innovation Project Input'!$M86,'Innovation Project Input'!$M$2:$M$201,0),NumberOfTeams),NumberOfTeams+1)</f>
        <v>1</v>
      </c>
    </row>
    <row r="87" ht="30.0" customHeight="1">
      <c r="A87" s="38" t="str">
        <f t="array" ref="A87">XLOOKUP(86,'Team and Program Information'!$B$3:$B$202,'Team and Program Information'!$C$3:$C$202,"ERROR",0)</f>
        <v/>
      </c>
      <c r="B87" s="68" t="str">
        <f t="array" ref="B87">XLOOKUP('Innovation Project Input'!$A87,'Team and Program Information'!$C$3:$C$202,'Team and Program Information'!$D$3:$D$202,"",0,)</f>
        <v>#VALUE!</v>
      </c>
      <c r="C87" s="81"/>
      <c r="D87" s="81"/>
      <c r="E87" s="81"/>
      <c r="F87" s="81"/>
      <c r="G87" s="81"/>
      <c r="H87" s="81"/>
      <c r="I87" s="81"/>
      <c r="J87" s="81"/>
      <c r="K87" s="81"/>
      <c r="L87" s="81"/>
      <c r="M87" s="38">
        <f>SUM('Innovation Project Input'!$C87:$L87)</f>
        <v>0</v>
      </c>
      <c r="N87" s="80">
        <f>IF('Innovation Project Input'!$A87&gt;0,MIN(_xlfn.RANK.EQ('Innovation Project Input'!$M87,'Innovation Project Input'!$M$2:$M$201,0),NumberOfTeams),NumberOfTeams+1)</f>
        <v>1</v>
      </c>
    </row>
    <row r="88" ht="30.0" customHeight="1">
      <c r="A88" s="38" t="str">
        <f t="array" ref="A88">XLOOKUP(87,'Team and Program Information'!$B$3:$B$202,'Team and Program Information'!$C$3:$C$202,"ERROR",0)</f>
        <v/>
      </c>
      <c r="B88" s="68" t="str">
        <f t="array" ref="B88">XLOOKUP('Innovation Project Input'!$A88,'Team and Program Information'!$C$3:$C$202,'Team and Program Information'!$D$3:$D$202,"",0,)</f>
        <v>#VALUE!</v>
      </c>
      <c r="C88" s="81"/>
      <c r="D88" s="81"/>
      <c r="E88" s="81"/>
      <c r="F88" s="81"/>
      <c r="G88" s="81"/>
      <c r="H88" s="81"/>
      <c r="I88" s="81"/>
      <c r="J88" s="81"/>
      <c r="K88" s="81"/>
      <c r="L88" s="81"/>
      <c r="M88" s="38">
        <f>SUM('Innovation Project Input'!$C88:$L88)</f>
        <v>0</v>
      </c>
      <c r="N88" s="80">
        <f>IF('Innovation Project Input'!$A88&gt;0,MIN(_xlfn.RANK.EQ('Innovation Project Input'!$M88,'Innovation Project Input'!$M$2:$M$201,0),NumberOfTeams),NumberOfTeams+1)</f>
        <v>1</v>
      </c>
    </row>
    <row r="89" ht="30.0" customHeight="1">
      <c r="A89" s="38" t="str">
        <f t="array" ref="A89">XLOOKUP(88,'Team and Program Information'!$B$3:$B$202,'Team and Program Information'!$C$3:$C$202,"ERROR",0)</f>
        <v/>
      </c>
      <c r="B89" s="68" t="str">
        <f t="array" ref="B89">XLOOKUP('Innovation Project Input'!$A89,'Team and Program Information'!$C$3:$C$202,'Team and Program Information'!$D$3:$D$202,"",0,)</f>
        <v>#VALUE!</v>
      </c>
      <c r="C89" s="81"/>
      <c r="D89" s="81"/>
      <c r="E89" s="81"/>
      <c r="F89" s="81"/>
      <c r="G89" s="81"/>
      <c r="H89" s="81"/>
      <c r="I89" s="81"/>
      <c r="J89" s="81"/>
      <c r="K89" s="81"/>
      <c r="L89" s="81"/>
      <c r="M89" s="38">
        <f>SUM('Innovation Project Input'!$C89:$L89)</f>
        <v>0</v>
      </c>
      <c r="N89" s="80">
        <f>IF('Innovation Project Input'!$A89&gt;0,MIN(_xlfn.RANK.EQ('Innovation Project Input'!$M89,'Innovation Project Input'!$M$2:$M$201,0),NumberOfTeams),NumberOfTeams+1)</f>
        <v>1</v>
      </c>
    </row>
    <row r="90" ht="30.0" customHeight="1">
      <c r="A90" s="38" t="str">
        <f t="array" ref="A90">XLOOKUP(89,'Team and Program Information'!$B$3:$B$202,'Team and Program Information'!$C$3:$C$202,"ERROR",0)</f>
        <v/>
      </c>
      <c r="B90" s="68" t="str">
        <f t="array" ref="B90">XLOOKUP('Innovation Project Input'!$A90,'Team and Program Information'!$C$3:$C$202,'Team and Program Information'!$D$3:$D$202,"",0,)</f>
        <v>#VALUE!</v>
      </c>
      <c r="C90" s="81"/>
      <c r="D90" s="81"/>
      <c r="E90" s="81"/>
      <c r="F90" s="81"/>
      <c r="G90" s="81"/>
      <c r="H90" s="81"/>
      <c r="I90" s="81"/>
      <c r="J90" s="81"/>
      <c r="K90" s="81"/>
      <c r="L90" s="81"/>
      <c r="M90" s="38">
        <f>SUM('Innovation Project Input'!$C90:$L90)</f>
        <v>0</v>
      </c>
      <c r="N90" s="80">
        <f>IF('Innovation Project Input'!$A90&gt;0,MIN(_xlfn.RANK.EQ('Innovation Project Input'!$M90,'Innovation Project Input'!$M$2:$M$201,0),NumberOfTeams),NumberOfTeams+1)</f>
        <v>1</v>
      </c>
    </row>
    <row r="91" ht="30.0" customHeight="1">
      <c r="A91" s="38" t="str">
        <f t="array" ref="A91">XLOOKUP(90,'Team and Program Information'!$B$3:$B$202,'Team and Program Information'!$C$3:$C$202,"ERROR",0)</f>
        <v/>
      </c>
      <c r="B91" s="68" t="str">
        <f t="array" ref="B91">XLOOKUP('Innovation Project Input'!$A91,'Team and Program Information'!$C$3:$C$202,'Team and Program Information'!$D$3:$D$202,"",0,)</f>
        <v>#VALUE!</v>
      </c>
      <c r="C91" s="81"/>
      <c r="D91" s="81"/>
      <c r="E91" s="81"/>
      <c r="F91" s="81"/>
      <c r="G91" s="81"/>
      <c r="H91" s="81"/>
      <c r="I91" s="81"/>
      <c r="J91" s="81"/>
      <c r="K91" s="81"/>
      <c r="L91" s="81"/>
      <c r="M91" s="38">
        <f>SUM('Innovation Project Input'!$C91:$L91)</f>
        <v>0</v>
      </c>
      <c r="N91" s="80">
        <f>IF('Innovation Project Input'!$A91&gt;0,MIN(_xlfn.RANK.EQ('Innovation Project Input'!$M91,'Innovation Project Input'!$M$2:$M$201,0),NumberOfTeams),NumberOfTeams+1)</f>
        <v>1</v>
      </c>
    </row>
    <row r="92" ht="30.0" customHeight="1">
      <c r="A92" s="38" t="str">
        <f t="array" ref="A92">XLOOKUP(91,'Team and Program Information'!$B$3:$B$202,'Team and Program Information'!$C$3:$C$202,"ERROR",0)</f>
        <v/>
      </c>
      <c r="B92" s="68" t="str">
        <f t="array" ref="B92">XLOOKUP('Innovation Project Input'!$A92,'Team and Program Information'!$C$3:$C$202,'Team and Program Information'!$D$3:$D$202,"",0,)</f>
        <v>#VALUE!</v>
      </c>
      <c r="C92" s="81"/>
      <c r="D92" s="81"/>
      <c r="E92" s="81"/>
      <c r="F92" s="81"/>
      <c r="G92" s="81"/>
      <c r="H92" s="81"/>
      <c r="I92" s="81"/>
      <c r="J92" s="81"/>
      <c r="K92" s="81"/>
      <c r="L92" s="81"/>
      <c r="M92" s="38">
        <f>SUM('Innovation Project Input'!$C92:$L92)</f>
        <v>0</v>
      </c>
      <c r="N92" s="80">
        <f>IF('Innovation Project Input'!$A92&gt;0,MIN(_xlfn.RANK.EQ('Innovation Project Input'!$M92,'Innovation Project Input'!$M$2:$M$201,0),NumberOfTeams),NumberOfTeams+1)</f>
        <v>1</v>
      </c>
    </row>
    <row r="93" ht="30.0" customHeight="1">
      <c r="A93" s="38" t="str">
        <f t="array" ref="A93">XLOOKUP(92,'Team and Program Information'!$B$3:$B$202,'Team and Program Information'!$C$3:$C$202,"ERROR",0)</f>
        <v/>
      </c>
      <c r="B93" s="68" t="str">
        <f t="array" ref="B93">XLOOKUP('Innovation Project Input'!$A93,'Team and Program Information'!$C$3:$C$202,'Team and Program Information'!$D$3:$D$202,"",0,)</f>
        <v>#VALUE!</v>
      </c>
      <c r="C93" s="81"/>
      <c r="D93" s="81"/>
      <c r="E93" s="81"/>
      <c r="F93" s="81"/>
      <c r="G93" s="81"/>
      <c r="H93" s="81"/>
      <c r="I93" s="81"/>
      <c r="J93" s="81"/>
      <c r="K93" s="81"/>
      <c r="L93" s="81"/>
      <c r="M93" s="38">
        <f>SUM('Innovation Project Input'!$C93:$L93)</f>
        <v>0</v>
      </c>
      <c r="N93" s="80">
        <f>IF('Innovation Project Input'!$A93&gt;0,MIN(_xlfn.RANK.EQ('Innovation Project Input'!$M93,'Innovation Project Input'!$M$2:$M$201,0),NumberOfTeams),NumberOfTeams+1)</f>
        <v>1</v>
      </c>
    </row>
    <row r="94" ht="30.0" customHeight="1">
      <c r="A94" s="38" t="str">
        <f t="array" ref="A94">XLOOKUP(93,'Team and Program Information'!$B$3:$B$202,'Team and Program Information'!$C$3:$C$202,"ERROR",0)</f>
        <v/>
      </c>
      <c r="B94" s="68" t="str">
        <f t="array" ref="B94">XLOOKUP('Innovation Project Input'!$A94,'Team and Program Information'!$C$3:$C$202,'Team and Program Information'!$D$3:$D$202,"",0,)</f>
        <v>#VALUE!</v>
      </c>
      <c r="C94" s="81"/>
      <c r="D94" s="81"/>
      <c r="E94" s="81"/>
      <c r="F94" s="81"/>
      <c r="G94" s="81"/>
      <c r="H94" s="81"/>
      <c r="I94" s="81"/>
      <c r="J94" s="81"/>
      <c r="K94" s="81"/>
      <c r="L94" s="81"/>
      <c r="M94" s="38">
        <f>SUM('Innovation Project Input'!$C94:$L94)</f>
        <v>0</v>
      </c>
      <c r="N94" s="80">
        <f>IF('Innovation Project Input'!$A94&gt;0,MIN(_xlfn.RANK.EQ('Innovation Project Input'!$M94,'Innovation Project Input'!$M$2:$M$201,0),NumberOfTeams),NumberOfTeams+1)</f>
        <v>1</v>
      </c>
    </row>
    <row r="95" ht="30.0" customHeight="1">
      <c r="A95" s="38" t="str">
        <f t="array" ref="A95">XLOOKUP(94,'Team and Program Information'!$B$3:$B$202,'Team and Program Information'!$C$3:$C$202,"ERROR",0)</f>
        <v/>
      </c>
      <c r="B95" s="68" t="str">
        <f t="array" ref="B95">XLOOKUP('Innovation Project Input'!$A95,'Team and Program Information'!$C$3:$C$202,'Team and Program Information'!$D$3:$D$202,"",0,)</f>
        <v>#VALUE!</v>
      </c>
      <c r="C95" s="81"/>
      <c r="D95" s="81"/>
      <c r="E95" s="81"/>
      <c r="F95" s="81"/>
      <c r="G95" s="81"/>
      <c r="H95" s="81"/>
      <c r="I95" s="81"/>
      <c r="J95" s="81"/>
      <c r="K95" s="81"/>
      <c r="L95" s="81"/>
      <c r="M95" s="38">
        <f>SUM('Innovation Project Input'!$C95:$L95)</f>
        <v>0</v>
      </c>
      <c r="N95" s="80">
        <f>IF('Innovation Project Input'!$A95&gt;0,MIN(_xlfn.RANK.EQ('Innovation Project Input'!$M95,'Innovation Project Input'!$M$2:$M$201,0),NumberOfTeams),NumberOfTeams+1)</f>
        <v>1</v>
      </c>
    </row>
    <row r="96" ht="30.0" customHeight="1">
      <c r="A96" s="38" t="str">
        <f t="array" ref="A96">XLOOKUP(95,'Team and Program Information'!$B$3:$B$202,'Team and Program Information'!$C$3:$C$202,"ERROR",0)</f>
        <v/>
      </c>
      <c r="B96" s="68" t="str">
        <f t="array" ref="B96">XLOOKUP('Innovation Project Input'!$A96,'Team and Program Information'!$C$3:$C$202,'Team and Program Information'!$D$3:$D$202,"",0,)</f>
        <v>#VALUE!</v>
      </c>
      <c r="C96" s="81"/>
      <c r="D96" s="81"/>
      <c r="E96" s="81"/>
      <c r="F96" s="81"/>
      <c r="G96" s="81"/>
      <c r="H96" s="81"/>
      <c r="I96" s="81"/>
      <c r="J96" s="81"/>
      <c r="K96" s="81"/>
      <c r="L96" s="81"/>
      <c r="M96" s="38">
        <f>SUM('Innovation Project Input'!$C96:$L96)</f>
        <v>0</v>
      </c>
      <c r="N96" s="80">
        <f>IF('Innovation Project Input'!$A96&gt;0,MIN(_xlfn.RANK.EQ('Innovation Project Input'!$M96,'Innovation Project Input'!$M$2:$M$201,0),NumberOfTeams),NumberOfTeams+1)</f>
        <v>1</v>
      </c>
    </row>
    <row r="97" ht="30.0" customHeight="1">
      <c r="A97" s="38" t="str">
        <f t="array" ref="A97">XLOOKUP(96,'Team and Program Information'!$B$3:$B$202,'Team and Program Information'!$C$3:$C$202,"ERROR",0)</f>
        <v/>
      </c>
      <c r="B97" s="68" t="str">
        <f t="array" ref="B97">XLOOKUP('Innovation Project Input'!$A97,'Team and Program Information'!$C$3:$C$202,'Team and Program Information'!$D$3:$D$202,"",0,)</f>
        <v>#VALUE!</v>
      </c>
      <c r="C97" s="81"/>
      <c r="D97" s="81"/>
      <c r="E97" s="81"/>
      <c r="F97" s="81"/>
      <c r="G97" s="81"/>
      <c r="H97" s="81"/>
      <c r="I97" s="81"/>
      <c r="J97" s="81"/>
      <c r="K97" s="81"/>
      <c r="L97" s="81"/>
      <c r="M97" s="38">
        <f>SUM('Innovation Project Input'!$C97:$L97)</f>
        <v>0</v>
      </c>
      <c r="N97" s="80">
        <f>IF('Innovation Project Input'!$A97&gt;0,MIN(_xlfn.RANK.EQ('Innovation Project Input'!$M97,'Innovation Project Input'!$M$2:$M$201,0),NumberOfTeams),NumberOfTeams+1)</f>
        <v>1</v>
      </c>
    </row>
    <row r="98" ht="30.0" customHeight="1">
      <c r="A98" s="38" t="str">
        <f t="array" ref="A98">XLOOKUP(97,'Team and Program Information'!$B$3:$B$202,'Team and Program Information'!$C$3:$C$202,"ERROR",0)</f>
        <v/>
      </c>
      <c r="B98" s="68" t="str">
        <f t="array" ref="B98">XLOOKUP('Innovation Project Input'!$A98,'Team and Program Information'!$C$3:$C$202,'Team and Program Information'!$D$3:$D$202,"",0,)</f>
        <v>#VALUE!</v>
      </c>
      <c r="C98" s="81"/>
      <c r="D98" s="81"/>
      <c r="E98" s="81"/>
      <c r="F98" s="81"/>
      <c r="G98" s="81"/>
      <c r="H98" s="81"/>
      <c r="I98" s="81"/>
      <c r="J98" s="81"/>
      <c r="K98" s="81"/>
      <c r="L98" s="81"/>
      <c r="M98" s="38">
        <f>SUM('Innovation Project Input'!$C98:$L98)</f>
        <v>0</v>
      </c>
      <c r="N98" s="80">
        <f>IF('Innovation Project Input'!$A98&gt;0,MIN(_xlfn.RANK.EQ('Innovation Project Input'!$M98,'Innovation Project Input'!$M$2:$M$201,0),NumberOfTeams),NumberOfTeams+1)</f>
        <v>1</v>
      </c>
    </row>
    <row r="99" ht="30.0" customHeight="1">
      <c r="A99" s="38" t="str">
        <f t="array" ref="A99">XLOOKUP(98,'Team and Program Information'!$B$3:$B$202,'Team and Program Information'!$C$3:$C$202,"ERROR",0)</f>
        <v/>
      </c>
      <c r="B99" s="68" t="str">
        <f t="array" ref="B99">XLOOKUP('Innovation Project Input'!$A99,'Team and Program Information'!$C$3:$C$202,'Team and Program Information'!$D$3:$D$202,"",0,)</f>
        <v>#VALUE!</v>
      </c>
      <c r="C99" s="81"/>
      <c r="D99" s="81"/>
      <c r="E99" s="81"/>
      <c r="F99" s="81"/>
      <c r="G99" s="81"/>
      <c r="H99" s="81"/>
      <c r="I99" s="81"/>
      <c r="J99" s="81"/>
      <c r="K99" s="81"/>
      <c r="L99" s="81"/>
      <c r="M99" s="38">
        <f>SUM('Innovation Project Input'!$C99:$L99)</f>
        <v>0</v>
      </c>
      <c r="N99" s="80">
        <f>IF('Innovation Project Input'!$A99&gt;0,MIN(_xlfn.RANK.EQ('Innovation Project Input'!$M99,'Innovation Project Input'!$M$2:$M$201,0),NumberOfTeams),NumberOfTeams+1)</f>
        <v>1</v>
      </c>
    </row>
    <row r="100" ht="30.0" customHeight="1">
      <c r="A100" s="38" t="str">
        <f t="array" ref="A100">XLOOKUP(99,'Team and Program Information'!$B$3:$B$202,'Team and Program Information'!$C$3:$C$202,"ERROR",0)</f>
        <v/>
      </c>
      <c r="B100" s="68" t="str">
        <f t="array" ref="B100">XLOOKUP('Innovation Project Input'!$A100,'Team and Program Information'!$C$3:$C$202,'Team and Program Information'!$D$3:$D$202,"",0,)</f>
        <v>#VALUE!</v>
      </c>
      <c r="C100" s="81"/>
      <c r="D100" s="81"/>
      <c r="E100" s="81"/>
      <c r="F100" s="81"/>
      <c r="G100" s="81"/>
      <c r="H100" s="81"/>
      <c r="I100" s="81"/>
      <c r="J100" s="81"/>
      <c r="K100" s="81"/>
      <c r="L100" s="81"/>
      <c r="M100" s="38">
        <f>SUM('Innovation Project Input'!$C100:$L100)</f>
        <v>0</v>
      </c>
      <c r="N100" s="80">
        <f>IF('Innovation Project Input'!$A100&gt;0,MIN(_xlfn.RANK.EQ('Innovation Project Input'!$M100,'Innovation Project Input'!$M$2:$M$201,0),NumberOfTeams),NumberOfTeams+1)</f>
        <v>1</v>
      </c>
    </row>
    <row r="101" ht="30.0" customHeight="1">
      <c r="A101" s="38" t="str">
        <f t="array" ref="A101">XLOOKUP(100,'Team and Program Information'!$B$3:$B$202,'Team and Program Information'!$C$3:$C$202,"ERROR",0)</f>
        <v/>
      </c>
      <c r="B101" s="68" t="str">
        <f t="array" ref="B101">XLOOKUP('Innovation Project Input'!$A101,'Team and Program Information'!$C$3:$C$202,'Team and Program Information'!$D$3:$D$202,"",0,)</f>
        <v>#VALUE!</v>
      </c>
      <c r="C101" s="81"/>
      <c r="D101" s="81"/>
      <c r="E101" s="81"/>
      <c r="F101" s="81"/>
      <c r="G101" s="81"/>
      <c r="H101" s="81"/>
      <c r="I101" s="81"/>
      <c r="J101" s="81"/>
      <c r="K101" s="81"/>
      <c r="L101" s="81"/>
      <c r="M101" s="38">
        <f>SUM('Innovation Project Input'!$C101:$L101)</f>
        <v>0</v>
      </c>
      <c r="N101" s="80">
        <f>IF('Innovation Project Input'!$A101&gt;0,MIN(_xlfn.RANK.EQ('Innovation Project Input'!$M101,'Innovation Project Input'!$M$2:$M$201,0),NumberOfTeams),NumberOfTeams+1)</f>
        <v>1</v>
      </c>
    </row>
    <row r="102" ht="30.0" customHeight="1">
      <c r="A102" s="38" t="str">
        <f t="array" ref="A102">XLOOKUP(101,'Team and Program Information'!$B$3:$B$202,'Team and Program Information'!$C$3:$C$202,"ERROR",0)</f>
        <v/>
      </c>
      <c r="B102" s="68" t="str">
        <f t="array" ref="B102">XLOOKUP('Innovation Project Input'!$A102,'Team and Program Information'!$C$3:$C$202,'Team and Program Information'!$D$3:$D$202,"",0,)</f>
        <v>#VALUE!</v>
      </c>
      <c r="C102" s="81"/>
      <c r="D102" s="81"/>
      <c r="E102" s="81"/>
      <c r="F102" s="81"/>
      <c r="G102" s="81"/>
      <c r="H102" s="81"/>
      <c r="I102" s="81"/>
      <c r="J102" s="81"/>
      <c r="K102" s="81"/>
      <c r="L102" s="81"/>
      <c r="M102" s="38">
        <f>SUM('Innovation Project Input'!$C102:$L102)</f>
        <v>0</v>
      </c>
      <c r="N102" s="80">
        <f>IF('Innovation Project Input'!$A102&gt;0,MIN(_xlfn.RANK.EQ('Innovation Project Input'!$M102,'Innovation Project Input'!$M$2:$M$201,0),NumberOfTeams),NumberOfTeams+1)</f>
        <v>1</v>
      </c>
    </row>
    <row r="103" ht="30.0" customHeight="1">
      <c r="A103" s="38" t="str">
        <f t="array" ref="A103">XLOOKUP(102,'Team and Program Information'!$B$3:$B$202,'Team and Program Information'!$C$3:$C$202,"ERROR",0)</f>
        <v/>
      </c>
      <c r="B103" s="68" t="str">
        <f t="array" ref="B103">XLOOKUP('Innovation Project Input'!$A103,'Team and Program Information'!$C$3:$C$202,'Team and Program Information'!$D$3:$D$202,"",0,)</f>
        <v>#VALUE!</v>
      </c>
      <c r="C103" s="81"/>
      <c r="D103" s="81"/>
      <c r="E103" s="81"/>
      <c r="F103" s="81"/>
      <c r="G103" s="81"/>
      <c r="H103" s="81"/>
      <c r="I103" s="81"/>
      <c r="J103" s="81"/>
      <c r="K103" s="81"/>
      <c r="L103" s="81"/>
      <c r="M103" s="38">
        <f>SUM('Innovation Project Input'!$C103:$L103)</f>
        <v>0</v>
      </c>
      <c r="N103" s="80">
        <f>IF('Innovation Project Input'!$A103&gt;0,MIN(_xlfn.RANK.EQ('Innovation Project Input'!$M103,'Innovation Project Input'!$M$2:$M$201,0),NumberOfTeams),NumberOfTeams+1)</f>
        <v>1</v>
      </c>
    </row>
    <row r="104" ht="30.0" customHeight="1">
      <c r="A104" s="38" t="str">
        <f t="array" ref="A104">XLOOKUP(103,'Team and Program Information'!$B$3:$B$202,'Team and Program Information'!$C$3:$C$202,"ERROR",0)</f>
        <v/>
      </c>
      <c r="B104" s="68" t="str">
        <f t="array" ref="B104">XLOOKUP('Innovation Project Input'!$A104,'Team and Program Information'!$C$3:$C$202,'Team and Program Information'!$D$3:$D$202,"",0,)</f>
        <v>#VALUE!</v>
      </c>
      <c r="C104" s="81"/>
      <c r="D104" s="81"/>
      <c r="E104" s="81"/>
      <c r="F104" s="81"/>
      <c r="G104" s="81"/>
      <c r="H104" s="81"/>
      <c r="I104" s="81"/>
      <c r="J104" s="81"/>
      <c r="K104" s="81"/>
      <c r="L104" s="81"/>
      <c r="M104" s="38">
        <f>SUM('Innovation Project Input'!$C104:$L104)</f>
        <v>0</v>
      </c>
      <c r="N104" s="80">
        <f>IF('Innovation Project Input'!$A104&gt;0,MIN(_xlfn.RANK.EQ('Innovation Project Input'!$M104,'Innovation Project Input'!$M$2:$M$201,0),NumberOfTeams),NumberOfTeams+1)</f>
        <v>1</v>
      </c>
    </row>
    <row r="105" ht="30.0" customHeight="1">
      <c r="A105" s="38" t="str">
        <f t="array" ref="A105">XLOOKUP(104,'Team and Program Information'!$B$3:$B$202,'Team and Program Information'!$C$3:$C$202,"ERROR",0)</f>
        <v/>
      </c>
      <c r="B105" s="68" t="str">
        <f t="array" ref="B105">XLOOKUP('Innovation Project Input'!$A105,'Team and Program Information'!$C$3:$C$202,'Team and Program Information'!$D$3:$D$202,"",0,)</f>
        <v>#VALUE!</v>
      </c>
      <c r="C105" s="81"/>
      <c r="D105" s="81"/>
      <c r="E105" s="81"/>
      <c r="F105" s="81"/>
      <c r="G105" s="81"/>
      <c r="H105" s="81"/>
      <c r="I105" s="81"/>
      <c r="J105" s="81"/>
      <c r="K105" s="81"/>
      <c r="L105" s="81"/>
      <c r="M105" s="38">
        <f>SUM('Innovation Project Input'!$C105:$L105)</f>
        <v>0</v>
      </c>
      <c r="N105" s="80">
        <f>IF('Innovation Project Input'!$A105&gt;0,MIN(_xlfn.RANK.EQ('Innovation Project Input'!$M105,'Innovation Project Input'!$M$2:$M$201,0),NumberOfTeams),NumberOfTeams+1)</f>
        <v>1</v>
      </c>
    </row>
    <row r="106" ht="30.0" customHeight="1">
      <c r="A106" s="38" t="str">
        <f t="array" ref="A106">XLOOKUP(105,'Team and Program Information'!$B$3:$B$202,'Team and Program Information'!$C$3:$C$202,"ERROR",0)</f>
        <v/>
      </c>
      <c r="B106" s="68" t="str">
        <f t="array" ref="B106">XLOOKUP('Innovation Project Input'!$A106,'Team and Program Information'!$C$3:$C$202,'Team and Program Information'!$D$3:$D$202,"",0,)</f>
        <v>#VALUE!</v>
      </c>
      <c r="C106" s="81"/>
      <c r="D106" s="81"/>
      <c r="E106" s="81"/>
      <c r="F106" s="81"/>
      <c r="G106" s="81"/>
      <c r="H106" s="81"/>
      <c r="I106" s="81"/>
      <c r="J106" s="81"/>
      <c r="K106" s="81"/>
      <c r="L106" s="81"/>
      <c r="M106" s="38">
        <f>SUM('Innovation Project Input'!$C106:$L106)</f>
        <v>0</v>
      </c>
      <c r="N106" s="80">
        <f>IF('Innovation Project Input'!$A106&gt;0,MIN(_xlfn.RANK.EQ('Innovation Project Input'!$M106,'Innovation Project Input'!$M$2:$M$201,0),NumberOfTeams),NumberOfTeams+1)</f>
        <v>1</v>
      </c>
    </row>
    <row r="107" ht="30.0" customHeight="1">
      <c r="A107" s="38" t="str">
        <f t="array" ref="A107">XLOOKUP(106,'Team and Program Information'!$B$3:$B$202,'Team and Program Information'!$C$3:$C$202,"ERROR",0)</f>
        <v/>
      </c>
      <c r="B107" s="68" t="str">
        <f t="array" ref="B107">XLOOKUP('Innovation Project Input'!$A107,'Team and Program Information'!$C$3:$C$202,'Team and Program Information'!$D$3:$D$202,"",0,)</f>
        <v>#VALUE!</v>
      </c>
      <c r="C107" s="81"/>
      <c r="D107" s="81"/>
      <c r="E107" s="81"/>
      <c r="F107" s="81"/>
      <c r="G107" s="81"/>
      <c r="H107" s="81"/>
      <c r="I107" s="81"/>
      <c r="J107" s="81"/>
      <c r="K107" s="81"/>
      <c r="L107" s="81"/>
      <c r="M107" s="38">
        <f>SUM('Innovation Project Input'!$C107:$L107)</f>
        <v>0</v>
      </c>
      <c r="N107" s="80">
        <f>IF('Innovation Project Input'!$A107&gt;0,MIN(_xlfn.RANK.EQ('Innovation Project Input'!$M107,'Innovation Project Input'!$M$2:$M$201,0),NumberOfTeams),NumberOfTeams+1)</f>
        <v>1</v>
      </c>
    </row>
    <row r="108" ht="30.0" customHeight="1">
      <c r="A108" s="38" t="str">
        <f t="array" ref="A108">XLOOKUP(107,'Team and Program Information'!$B$3:$B$202,'Team and Program Information'!$C$3:$C$202,"ERROR",0)</f>
        <v/>
      </c>
      <c r="B108" s="68" t="str">
        <f t="array" ref="B108">XLOOKUP('Innovation Project Input'!$A108,'Team and Program Information'!$C$3:$C$202,'Team and Program Information'!$D$3:$D$202,"",0,)</f>
        <v>#VALUE!</v>
      </c>
      <c r="C108" s="81"/>
      <c r="D108" s="81"/>
      <c r="E108" s="81"/>
      <c r="F108" s="81"/>
      <c r="G108" s="81"/>
      <c r="H108" s="81"/>
      <c r="I108" s="81"/>
      <c r="J108" s="81"/>
      <c r="K108" s="81"/>
      <c r="L108" s="81"/>
      <c r="M108" s="38">
        <f>SUM('Innovation Project Input'!$C108:$L108)</f>
        <v>0</v>
      </c>
      <c r="N108" s="80">
        <f>IF('Innovation Project Input'!$A108&gt;0,MIN(_xlfn.RANK.EQ('Innovation Project Input'!$M108,'Innovation Project Input'!$M$2:$M$201,0),NumberOfTeams),NumberOfTeams+1)</f>
        <v>1</v>
      </c>
    </row>
    <row r="109" ht="30.0" customHeight="1">
      <c r="A109" s="38" t="str">
        <f t="array" ref="A109">XLOOKUP(108,'Team and Program Information'!$B$3:$B$202,'Team and Program Information'!$C$3:$C$202,"ERROR",0)</f>
        <v/>
      </c>
      <c r="B109" s="68" t="str">
        <f t="array" ref="B109">XLOOKUP('Innovation Project Input'!$A109,'Team and Program Information'!$C$3:$C$202,'Team and Program Information'!$D$3:$D$202,"",0,)</f>
        <v>#VALUE!</v>
      </c>
      <c r="C109" s="81"/>
      <c r="D109" s="81"/>
      <c r="E109" s="81"/>
      <c r="F109" s="81"/>
      <c r="G109" s="81"/>
      <c r="H109" s="81"/>
      <c r="I109" s="81"/>
      <c r="J109" s="81"/>
      <c r="K109" s="81"/>
      <c r="L109" s="81"/>
      <c r="M109" s="38">
        <f>SUM('Innovation Project Input'!$C109:$L109)</f>
        <v>0</v>
      </c>
      <c r="N109" s="80">
        <f>IF('Innovation Project Input'!$A109&gt;0,MIN(_xlfn.RANK.EQ('Innovation Project Input'!$M109,'Innovation Project Input'!$M$2:$M$201,0),NumberOfTeams),NumberOfTeams+1)</f>
        <v>1</v>
      </c>
    </row>
    <row r="110" ht="30.0" customHeight="1">
      <c r="A110" s="38" t="str">
        <f t="array" ref="A110">XLOOKUP(109,'Team and Program Information'!$B$3:$B$202,'Team and Program Information'!$C$3:$C$202,"ERROR",0)</f>
        <v/>
      </c>
      <c r="B110" s="68" t="str">
        <f t="array" ref="B110">XLOOKUP('Innovation Project Input'!$A110,'Team and Program Information'!$C$3:$C$202,'Team and Program Information'!$D$3:$D$202,"",0,)</f>
        <v>#VALUE!</v>
      </c>
      <c r="C110" s="81"/>
      <c r="D110" s="81"/>
      <c r="E110" s="81"/>
      <c r="F110" s="81"/>
      <c r="G110" s="81"/>
      <c r="H110" s="81"/>
      <c r="I110" s="81"/>
      <c r="J110" s="81"/>
      <c r="K110" s="81"/>
      <c r="L110" s="81"/>
      <c r="M110" s="38">
        <f>SUM('Innovation Project Input'!$C110:$L110)</f>
        <v>0</v>
      </c>
      <c r="N110" s="80">
        <f>IF('Innovation Project Input'!$A110&gt;0,MIN(_xlfn.RANK.EQ('Innovation Project Input'!$M110,'Innovation Project Input'!$M$2:$M$201,0),NumberOfTeams),NumberOfTeams+1)</f>
        <v>1</v>
      </c>
    </row>
    <row r="111" ht="30.0" customHeight="1">
      <c r="A111" s="38" t="str">
        <f t="array" ref="A111">XLOOKUP(110,'Team and Program Information'!$B$3:$B$202,'Team and Program Information'!$C$3:$C$202,"ERROR",0)</f>
        <v/>
      </c>
      <c r="B111" s="68" t="str">
        <f t="array" ref="B111">XLOOKUP('Innovation Project Input'!$A111,'Team and Program Information'!$C$3:$C$202,'Team and Program Information'!$D$3:$D$202,"",0,)</f>
        <v>#VALUE!</v>
      </c>
      <c r="C111" s="81"/>
      <c r="D111" s="81"/>
      <c r="E111" s="81"/>
      <c r="F111" s="81"/>
      <c r="G111" s="81"/>
      <c r="H111" s="81"/>
      <c r="I111" s="81"/>
      <c r="J111" s="81"/>
      <c r="K111" s="81"/>
      <c r="L111" s="81"/>
      <c r="M111" s="38">
        <f>SUM('Innovation Project Input'!$C111:$L111)</f>
        <v>0</v>
      </c>
      <c r="N111" s="80">
        <f>IF('Innovation Project Input'!$A111&gt;0,MIN(_xlfn.RANK.EQ('Innovation Project Input'!$M111,'Innovation Project Input'!$M$2:$M$201,0),NumberOfTeams),NumberOfTeams+1)</f>
        <v>1</v>
      </c>
    </row>
    <row r="112" ht="30.0" customHeight="1">
      <c r="A112" s="38" t="str">
        <f t="array" ref="A112">XLOOKUP(111,'Team and Program Information'!$B$3:$B$202,'Team and Program Information'!$C$3:$C$202,"ERROR",0)</f>
        <v/>
      </c>
      <c r="B112" s="68" t="str">
        <f t="array" ref="B112">XLOOKUP('Innovation Project Input'!$A112,'Team and Program Information'!$C$3:$C$202,'Team and Program Information'!$D$3:$D$202,"",0,)</f>
        <v>#VALUE!</v>
      </c>
      <c r="C112" s="81"/>
      <c r="D112" s="81"/>
      <c r="E112" s="81"/>
      <c r="F112" s="81"/>
      <c r="G112" s="81"/>
      <c r="H112" s="81"/>
      <c r="I112" s="81"/>
      <c r="J112" s="81"/>
      <c r="K112" s="81"/>
      <c r="L112" s="81"/>
      <c r="M112" s="38">
        <f>SUM('Innovation Project Input'!$C112:$L112)</f>
        <v>0</v>
      </c>
      <c r="N112" s="80">
        <f>IF('Innovation Project Input'!$A112&gt;0,MIN(_xlfn.RANK.EQ('Innovation Project Input'!$M112,'Innovation Project Input'!$M$2:$M$201,0),NumberOfTeams),NumberOfTeams+1)</f>
        <v>1</v>
      </c>
    </row>
    <row r="113" ht="30.0" customHeight="1">
      <c r="A113" s="38" t="str">
        <f t="array" ref="A113">XLOOKUP(112,'Team and Program Information'!$B$3:$B$202,'Team and Program Information'!$C$3:$C$202,"ERROR",0)</f>
        <v/>
      </c>
      <c r="B113" s="68" t="str">
        <f t="array" ref="B113">XLOOKUP('Innovation Project Input'!$A113,'Team and Program Information'!$C$3:$C$202,'Team and Program Information'!$D$3:$D$202,"",0,)</f>
        <v>#VALUE!</v>
      </c>
      <c r="C113" s="81"/>
      <c r="D113" s="81"/>
      <c r="E113" s="81"/>
      <c r="F113" s="81"/>
      <c r="G113" s="81"/>
      <c r="H113" s="81"/>
      <c r="I113" s="81"/>
      <c r="J113" s="81"/>
      <c r="K113" s="81"/>
      <c r="L113" s="81"/>
      <c r="M113" s="38">
        <f>SUM('Innovation Project Input'!$C113:$L113)</f>
        <v>0</v>
      </c>
      <c r="N113" s="80">
        <f>IF('Innovation Project Input'!$A113&gt;0,MIN(_xlfn.RANK.EQ('Innovation Project Input'!$M113,'Innovation Project Input'!$M$2:$M$201,0),NumberOfTeams),NumberOfTeams+1)</f>
        <v>1</v>
      </c>
    </row>
    <row r="114" ht="30.0" customHeight="1">
      <c r="A114" s="38" t="str">
        <f t="array" ref="A114">XLOOKUP(113,'Team and Program Information'!$B$3:$B$202,'Team and Program Information'!$C$3:$C$202,"ERROR",0)</f>
        <v/>
      </c>
      <c r="B114" s="68" t="str">
        <f t="array" ref="B114">XLOOKUP('Innovation Project Input'!$A114,'Team and Program Information'!$C$3:$C$202,'Team and Program Information'!$D$3:$D$202,"",0,)</f>
        <v>#VALUE!</v>
      </c>
      <c r="C114" s="81"/>
      <c r="D114" s="81"/>
      <c r="E114" s="81"/>
      <c r="F114" s="81"/>
      <c r="G114" s="81"/>
      <c r="H114" s="81"/>
      <c r="I114" s="81"/>
      <c r="J114" s="81"/>
      <c r="K114" s="81"/>
      <c r="L114" s="81"/>
      <c r="M114" s="38">
        <f>SUM('Innovation Project Input'!$C114:$L114)</f>
        <v>0</v>
      </c>
      <c r="N114" s="80">
        <f>IF('Innovation Project Input'!$A114&gt;0,MIN(_xlfn.RANK.EQ('Innovation Project Input'!$M114,'Innovation Project Input'!$M$2:$M$201,0),NumberOfTeams),NumberOfTeams+1)</f>
        <v>1</v>
      </c>
    </row>
    <row r="115" ht="30.0" customHeight="1">
      <c r="A115" s="38" t="str">
        <f t="array" ref="A115">XLOOKUP(114,'Team and Program Information'!$B$3:$B$202,'Team and Program Information'!$C$3:$C$202,"ERROR",0)</f>
        <v/>
      </c>
      <c r="B115" s="68" t="str">
        <f t="array" ref="B115">XLOOKUP('Innovation Project Input'!$A115,'Team and Program Information'!$C$3:$C$202,'Team and Program Information'!$D$3:$D$202,"",0,)</f>
        <v>#VALUE!</v>
      </c>
      <c r="C115" s="81"/>
      <c r="D115" s="81"/>
      <c r="E115" s="81"/>
      <c r="F115" s="81"/>
      <c r="G115" s="81"/>
      <c r="H115" s="81"/>
      <c r="I115" s="81"/>
      <c r="J115" s="81"/>
      <c r="K115" s="81"/>
      <c r="L115" s="81"/>
      <c r="M115" s="38">
        <f>SUM('Innovation Project Input'!$C115:$L115)</f>
        <v>0</v>
      </c>
      <c r="N115" s="80">
        <f>IF('Innovation Project Input'!$A115&gt;0,MIN(_xlfn.RANK.EQ('Innovation Project Input'!$M115,'Innovation Project Input'!$M$2:$M$201,0),NumberOfTeams),NumberOfTeams+1)</f>
        <v>1</v>
      </c>
    </row>
    <row r="116" ht="30.0" customHeight="1">
      <c r="A116" s="38" t="str">
        <f t="array" ref="A116">XLOOKUP(115,'Team and Program Information'!$B$3:$B$202,'Team and Program Information'!$C$3:$C$202,"ERROR",0)</f>
        <v/>
      </c>
      <c r="B116" s="68" t="str">
        <f t="array" ref="B116">XLOOKUP('Innovation Project Input'!$A116,'Team and Program Information'!$C$3:$C$202,'Team and Program Information'!$D$3:$D$202,"",0,)</f>
        <v>#VALUE!</v>
      </c>
      <c r="C116" s="81"/>
      <c r="D116" s="81"/>
      <c r="E116" s="81"/>
      <c r="F116" s="81"/>
      <c r="G116" s="81"/>
      <c r="H116" s="81"/>
      <c r="I116" s="81"/>
      <c r="J116" s="81"/>
      <c r="K116" s="81"/>
      <c r="L116" s="81"/>
      <c r="M116" s="38">
        <f>SUM('Innovation Project Input'!$C116:$L116)</f>
        <v>0</v>
      </c>
      <c r="N116" s="80">
        <f>IF('Innovation Project Input'!$A116&gt;0,MIN(_xlfn.RANK.EQ('Innovation Project Input'!$M116,'Innovation Project Input'!$M$2:$M$201,0),NumberOfTeams),NumberOfTeams+1)</f>
        <v>1</v>
      </c>
    </row>
    <row r="117" ht="30.0" customHeight="1">
      <c r="A117" s="38" t="str">
        <f t="array" ref="A117">XLOOKUP(116,'Team and Program Information'!$B$3:$B$202,'Team and Program Information'!$C$3:$C$202,"ERROR",0)</f>
        <v/>
      </c>
      <c r="B117" s="68" t="str">
        <f t="array" ref="B117">XLOOKUP('Innovation Project Input'!$A117,'Team and Program Information'!$C$3:$C$202,'Team and Program Information'!$D$3:$D$202,"",0,)</f>
        <v>#VALUE!</v>
      </c>
      <c r="C117" s="81"/>
      <c r="D117" s="81"/>
      <c r="E117" s="81"/>
      <c r="F117" s="81"/>
      <c r="G117" s="81"/>
      <c r="H117" s="81"/>
      <c r="I117" s="81"/>
      <c r="J117" s="81"/>
      <c r="K117" s="81"/>
      <c r="L117" s="81"/>
      <c r="M117" s="38">
        <f>SUM('Innovation Project Input'!$C117:$L117)</f>
        <v>0</v>
      </c>
      <c r="N117" s="80">
        <f>IF('Innovation Project Input'!$A117&gt;0,MIN(_xlfn.RANK.EQ('Innovation Project Input'!$M117,'Innovation Project Input'!$M$2:$M$201,0),NumberOfTeams),NumberOfTeams+1)</f>
        <v>1</v>
      </c>
    </row>
    <row r="118" ht="30.0" customHeight="1">
      <c r="A118" s="38" t="str">
        <f t="array" ref="A118">XLOOKUP(117,'Team and Program Information'!$B$3:$B$202,'Team and Program Information'!$C$3:$C$202,"ERROR",0)</f>
        <v/>
      </c>
      <c r="B118" s="68" t="str">
        <f t="array" ref="B118">XLOOKUP('Innovation Project Input'!$A118,'Team and Program Information'!$C$3:$C$202,'Team and Program Information'!$D$3:$D$202,"",0,)</f>
        <v>#VALUE!</v>
      </c>
      <c r="C118" s="81"/>
      <c r="D118" s="81"/>
      <c r="E118" s="81"/>
      <c r="F118" s="81"/>
      <c r="G118" s="81"/>
      <c r="H118" s="81"/>
      <c r="I118" s="81"/>
      <c r="J118" s="81"/>
      <c r="K118" s="81"/>
      <c r="L118" s="81"/>
      <c r="M118" s="38">
        <f>SUM('Innovation Project Input'!$C118:$L118)</f>
        <v>0</v>
      </c>
      <c r="N118" s="80">
        <f>IF('Innovation Project Input'!$A118&gt;0,MIN(_xlfn.RANK.EQ('Innovation Project Input'!$M118,'Innovation Project Input'!$M$2:$M$201,0),NumberOfTeams),NumberOfTeams+1)</f>
        <v>1</v>
      </c>
    </row>
    <row r="119" ht="30.0" customHeight="1">
      <c r="A119" s="38" t="str">
        <f t="array" ref="A119">XLOOKUP(118,'Team and Program Information'!$B$3:$B$202,'Team and Program Information'!$C$3:$C$202,"ERROR",0)</f>
        <v/>
      </c>
      <c r="B119" s="68" t="str">
        <f t="array" ref="B119">XLOOKUP('Innovation Project Input'!$A119,'Team and Program Information'!$C$3:$C$202,'Team and Program Information'!$D$3:$D$202,"",0,)</f>
        <v>#VALUE!</v>
      </c>
      <c r="C119" s="81"/>
      <c r="D119" s="81"/>
      <c r="E119" s="81"/>
      <c r="F119" s="81"/>
      <c r="G119" s="81"/>
      <c r="H119" s="81"/>
      <c r="I119" s="81"/>
      <c r="J119" s="81"/>
      <c r="K119" s="81"/>
      <c r="L119" s="81"/>
      <c r="M119" s="38">
        <f>SUM('Innovation Project Input'!$C119:$L119)</f>
        <v>0</v>
      </c>
      <c r="N119" s="80">
        <f>IF('Innovation Project Input'!$A119&gt;0,MIN(_xlfn.RANK.EQ('Innovation Project Input'!$M119,'Innovation Project Input'!$M$2:$M$201,0),NumberOfTeams),NumberOfTeams+1)</f>
        <v>1</v>
      </c>
    </row>
    <row r="120" ht="30.0" customHeight="1">
      <c r="A120" s="38" t="str">
        <f t="array" ref="A120">XLOOKUP(119,'Team and Program Information'!$B$3:$B$202,'Team and Program Information'!$C$3:$C$202,"ERROR",0)</f>
        <v/>
      </c>
      <c r="B120" s="68" t="str">
        <f t="array" ref="B120">XLOOKUP('Innovation Project Input'!$A120,'Team and Program Information'!$C$3:$C$202,'Team and Program Information'!$D$3:$D$202,"",0,)</f>
        <v>#VALUE!</v>
      </c>
      <c r="C120" s="81"/>
      <c r="D120" s="81"/>
      <c r="E120" s="81"/>
      <c r="F120" s="81"/>
      <c r="G120" s="81"/>
      <c r="H120" s="81"/>
      <c r="I120" s="81"/>
      <c r="J120" s="81"/>
      <c r="K120" s="81"/>
      <c r="L120" s="81"/>
      <c r="M120" s="38">
        <f>SUM('Innovation Project Input'!$C120:$L120)</f>
        <v>0</v>
      </c>
      <c r="N120" s="80">
        <f>IF('Innovation Project Input'!$A120&gt;0,MIN(_xlfn.RANK.EQ('Innovation Project Input'!$M120,'Innovation Project Input'!$M$2:$M$201,0),NumberOfTeams),NumberOfTeams+1)</f>
        <v>1</v>
      </c>
    </row>
    <row r="121" ht="30.0" customHeight="1">
      <c r="A121" s="38" t="str">
        <f t="array" ref="A121">XLOOKUP(120,'Team and Program Information'!$B$3:$B$202,'Team and Program Information'!$C$3:$C$202,"ERROR",0)</f>
        <v/>
      </c>
      <c r="B121" s="68" t="str">
        <f t="array" ref="B121">XLOOKUP('Innovation Project Input'!$A121,'Team and Program Information'!$C$3:$C$202,'Team and Program Information'!$D$3:$D$202,"",0,)</f>
        <v>#VALUE!</v>
      </c>
      <c r="C121" s="81"/>
      <c r="D121" s="81"/>
      <c r="E121" s="81"/>
      <c r="F121" s="81"/>
      <c r="G121" s="81"/>
      <c r="H121" s="81"/>
      <c r="I121" s="81"/>
      <c r="J121" s="81"/>
      <c r="K121" s="81"/>
      <c r="L121" s="81"/>
      <c r="M121" s="38">
        <f>SUM('Innovation Project Input'!$C121:$L121)</f>
        <v>0</v>
      </c>
      <c r="N121" s="80">
        <f>IF('Innovation Project Input'!$A121&gt;0,MIN(_xlfn.RANK.EQ('Innovation Project Input'!$M121,'Innovation Project Input'!$M$2:$M$201,0),NumberOfTeams),NumberOfTeams+1)</f>
        <v>1</v>
      </c>
    </row>
    <row r="122" ht="30.0" customHeight="1">
      <c r="A122" s="38" t="str">
        <f t="array" ref="A122">XLOOKUP(121,'Team and Program Information'!$B$3:$B$202,'Team and Program Information'!$C$3:$C$202,"ERROR",0)</f>
        <v/>
      </c>
      <c r="B122" s="68" t="str">
        <f t="array" ref="B122">XLOOKUP('Innovation Project Input'!$A122,'Team and Program Information'!$C$3:$C$202,'Team and Program Information'!$D$3:$D$202,"",0,)</f>
        <v>#VALUE!</v>
      </c>
      <c r="C122" s="81"/>
      <c r="D122" s="81"/>
      <c r="E122" s="81"/>
      <c r="F122" s="81"/>
      <c r="G122" s="81"/>
      <c r="H122" s="81"/>
      <c r="I122" s="81"/>
      <c r="J122" s="81"/>
      <c r="K122" s="81"/>
      <c r="L122" s="81"/>
      <c r="M122" s="38">
        <f>SUM('Innovation Project Input'!$C122:$L122)</f>
        <v>0</v>
      </c>
      <c r="N122" s="80">
        <f>IF('Innovation Project Input'!$A122&gt;0,MIN(_xlfn.RANK.EQ('Innovation Project Input'!$M122,'Innovation Project Input'!$M$2:$M$201,0),NumberOfTeams),NumberOfTeams+1)</f>
        <v>1</v>
      </c>
    </row>
    <row r="123" ht="30.0" customHeight="1">
      <c r="A123" s="38" t="str">
        <f t="array" ref="A123">XLOOKUP(122,'Team and Program Information'!$B$3:$B$202,'Team and Program Information'!$C$3:$C$202,"ERROR",0)</f>
        <v/>
      </c>
      <c r="B123" s="68" t="str">
        <f t="array" ref="B123">XLOOKUP('Innovation Project Input'!$A123,'Team and Program Information'!$C$3:$C$202,'Team and Program Information'!$D$3:$D$202,"",0,)</f>
        <v>#VALUE!</v>
      </c>
      <c r="C123" s="81"/>
      <c r="D123" s="81"/>
      <c r="E123" s="81"/>
      <c r="F123" s="81"/>
      <c r="G123" s="81"/>
      <c r="H123" s="81"/>
      <c r="I123" s="81"/>
      <c r="J123" s="81"/>
      <c r="K123" s="81"/>
      <c r="L123" s="81"/>
      <c r="M123" s="38">
        <f>SUM('Innovation Project Input'!$C123:$L123)</f>
        <v>0</v>
      </c>
      <c r="N123" s="80">
        <f>IF('Innovation Project Input'!$A123&gt;0,MIN(_xlfn.RANK.EQ('Innovation Project Input'!$M123,'Innovation Project Input'!$M$2:$M$201,0),NumberOfTeams),NumberOfTeams+1)</f>
        <v>1</v>
      </c>
    </row>
    <row r="124" ht="30.0" customHeight="1">
      <c r="A124" s="38" t="str">
        <f t="array" ref="A124">XLOOKUP(123,'Team and Program Information'!$B$3:$B$202,'Team and Program Information'!$C$3:$C$202,"ERROR",0)</f>
        <v/>
      </c>
      <c r="B124" s="68" t="str">
        <f t="array" ref="B124">XLOOKUP('Innovation Project Input'!$A124,'Team and Program Information'!$C$3:$C$202,'Team and Program Information'!$D$3:$D$202,"",0,)</f>
        <v>#VALUE!</v>
      </c>
      <c r="C124" s="81"/>
      <c r="D124" s="81"/>
      <c r="E124" s="81"/>
      <c r="F124" s="81"/>
      <c r="G124" s="81"/>
      <c r="H124" s="81"/>
      <c r="I124" s="81"/>
      <c r="J124" s="81"/>
      <c r="K124" s="81"/>
      <c r="L124" s="81"/>
      <c r="M124" s="38">
        <f>SUM('Innovation Project Input'!$C124:$L124)</f>
        <v>0</v>
      </c>
      <c r="N124" s="80">
        <f>IF('Innovation Project Input'!$A124&gt;0,MIN(_xlfn.RANK.EQ('Innovation Project Input'!$M124,'Innovation Project Input'!$M$2:$M$201,0),NumberOfTeams),NumberOfTeams+1)</f>
        <v>1</v>
      </c>
    </row>
    <row r="125" ht="30.0" customHeight="1">
      <c r="A125" s="38" t="str">
        <f t="array" ref="A125">XLOOKUP(124,'Team and Program Information'!$B$3:$B$202,'Team and Program Information'!$C$3:$C$202,"ERROR",0)</f>
        <v/>
      </c>
      <c r="B125" s="68" t="str">
        <f t="array" ref="B125">XLOOKUP('Innovation Project Input'!$A125,'Team and Program Information'!$C$3:$C$202,'Team and Program Information'!$D$3:$D$202,"",0,)</f>
        <v>#VALUE!</v>
      </c>
      <c r="C125" s="81"/>
      <c r="D125" s="81"/>
      <c r="E125" s="81"/>
      <c r="F125" s="81"/>
      <c r="G125" s="81"/>
      <c r="H125" s="81"/>
      <c r="I125" s="81"/>
      <c r="J125" s="81"/>
      <c r="K125" s="81"/>
      <c r="L125" s="81"/>
      <c r="M125" s="38">
        <f>SUM('Innovation Project Input'!$C125:$L125)</f>
        <v>0</v>
      </c>
      <c r="N125" s="80">
        <f>IF('Innovation Project Input'!$A125&gt;0,MIN(_xlfn.RANK.EQ('Innovation Project Input'!$M125,'Innovation Project Input'!$M$2:$M$201,0),NumberOfTeams),NumberOfTeams+1)</f>
        <v>1</v>
      </c>
    </row>
    <row r="126" ht="30.0" customHeight="1">
      <c r="A126" s="38" t="str">
        <f t="array" ref="A126">XLOOKUP(125,'Team and Program Information'!$B$3:$B$202,'Team and Program Information'!$C$3:$C$202,"ERROR",0)</f>
        <v/>
      </c>
      <c r="B126" s="68" t="str">
        <f t="array" ref="B126">XLOOKUP('Innovation Project Input'!$A126,'Team and Program Information'!$C$3:$C$202,'Team and Program Information'!$D$3:$D$202,"",0,)</f>
        <v>#VALUE!</v>
      </c>
      <c r="C126" s="81"/>
      <c r="D126" s="81"/>
      <c r="E126" s="81"/>
      <c r="F126" s="81"/>
      <c r="G126" s="81"/>
      <c r="H126" s="81"/>
      <c r="I126" s="81"/>
      <c r="J126" s="81"/>
      <c r="K126" s="81"/>
      <c r="L126" s="81"/>
      <c r="M126" s="38">
        <f>SUM('Innovation Project Input'!$C126:$L126)</f>
        <v>0</v>
      </c>
      <c r="N126" s="80">
        <f>IF('Innovation Project Input'!$A126&gt;0,MIN(_xlfn.RANK.EQ('Innovation Project Input'!$M126,'Innovation Project Input'!$M$2:$M$201,0),NumberOfTeams),NumberOfTeams+1)</f>
        <v>1</v>
      </c>
    </row>
    <row r="127" ht="30.0" customHeight="1">
      <c r="A127" s="38" t="str">
        <f t="array" ref="A127">XLOOKUP(126,'Team and Program Information'!$B$3:$B$202,'Team and Program Information'!$C$3:$C$202,"ERROR",0)</f>
        <v/>
      </c>
      <c r="B127" s="68" t="str">
        <f t="array" ref="B127">XLOOKUP('Innovation Project Input'!$A127,'Team and Program Information'!$C$3:$C$202,'Team and Program Information'!$D$3:$D$202,"",0,)</f>
        <v>#VALUE!</v>
      </c>
      <c r="C127" s="81"/>
      <c r="D127" s="81"/>
      <c r="E127" s="81"/>
      <c r="F127" s="81"/>
      <c r="G127" s="81"/>
      <c r="H127" s="81"/>
      <c r="I127" s="81"/>
      <c r="J127" s="81"/>
      <c r="K127" s="81"/>
      <c r="L127" s="81"/>
      <c r="M127" s="38">
        <f>SUM('Innovation Project Input'!$C127:$L127)</f>
        <v>0</v>
      </c>
      <c r="N127" s="80">
        <f>IF('Innovation Project Input'!$A127&gt;0,MIN(_xlfn.RANK.EQ('Innovation Project Input'!$M127,'Innovation Project Input'!$M$2:$M$201,0),NumberOfTeams),NumberOfTeams+1)</f>
        <v>1</v>
      </c>
    </row>
    <row r="128" ht="30.0" customHeight="1">
      <c r="A128" s="38" t="str">
        <f t="array" ref="A128">XLOOKUP(127,'Team and Program Information'!$B$3:$B$202,'Team and Program Information'!$C$3:$C$202,"ERROR",0)</f>
        <v/>
      </c>
      <c r="B128" s="68" t="str">
        <f t="array" ref="B128">XLOOKUP('Innovation Project Input'!$A128,'Team and Program Information'!$C$3:$C$202,'Team and Program Information'!$D$3:$D$202,"",0,)</f>
        <v>#VALUE!</v>
      </c>
      <c r="C128" s="81"/>
      <c r="D128" s="81"/>
      <c r="E128" s="81"/>
      <c r="F128" s="81"/>
      <c r="G128" s="81"/>
      <c r="H128" s="81"/>
      <c r="I128" s="81"/>
      <c r="J128" s="81"/>
      <c r="K128" s="81"/>
      <c r="L128" s="81"/>
      <c r="M128" s="38">
        <f>SUM('Innovation Project Input'!$C128:$L128)</f>
        <v>0</v>
      </c>
      <c r="N128" s="80">
        <f>IF('Innovation Project Input'!$A128&gt;0,MIN(_xlfn.RANK.EQ('Innovation Project Input'!$M128,'Innovation Project Input'!$M$2:$M$201,0),NumberOfTeams),NumberOfTeams+1)</f>
        <v>1</v>
      </c>
    </row>
    <row r="129" ht="30.0" customHeight="1">
      <c r="A129" s="38" t="str">
        <f t="array" ref="A129">XLOOKUP(128,'Team and Program Information'!$B$3:$B$202,'Team and Program Information'!$C$3:$C$202,"ERROR",0)</f>
        <v/>
      </c>
      <c r="B129" s="68" t="str">
        <f t="array" ref="B129">XLOOKUP('Innovation Project Input'!$A129,'Team and Program Information'!$C$3:$C$202,'Team and Program Information'!$D$3:$D$202,"",0,)</f>
        <v>#VALUE!</v>
      </c>
      <c r="C129" s="81"/>
      <c r="D129" s="81"/>
      <c r="E129" s="81"/>
      <c r="F129" s="81"/>
      <c r="G129" s="81"/>
      <c r="H129" s="81"/>
      <c r="I129" s="81"/>
      <c r="J129" s="81"/>
      <c r="K129" s="81"/>
      <c r="L129" s="81"/>
      <c r="M129" s="38">
        <f>SUM('Innovation Project Input'!$C129:$L129)</f>
        <v>0</v>
      </c>
      <c r="N129" s="80">
        <f>IF('Innovation Project Input'!$A129&gt;0,MIN(_xlfn.RANK.EQ('Innovation Project Input'!$M129,'Innovation Project Input'!$M$2:$M$201,0),NumberOfTeams),NumberOfTeams+1)</f>
        <v>1</v>
      </c>
    </row>
    <row r="130" ht="30.0" customHeight="1">
      <c r="A130" s="38" t="str">
        <f t="array" ref="A130">XLOOKUP(129,'Team and Program Information'!$B$3:$B$202,'Team and Program Information'!$C$3:$C$202,"ERROR",0)</f>
        <v/>
      </c>
      <c r="B130" s="68" t="str">
        <f t="array" ref="B130">XLOOKUP('Innovation Project Input'!$A130,'Team and Program Information'!$C$3:$C$202,'Team and Program Information'!$D$3:$D$202,"",0,)</f>
        <v>#VALUE!</v>
      </c>
      <c r="C130" s="81"/>
      <c r="D130" s="81"/>
      <c r="E130" s="81"/>
      <c r="F130" s="81"/>
      <c r="G130" s="81"/>
      <c r="H130" s="81"/>
      <c r="I130" s="81"/>
      <c r="J130" s="81"/>
      <c r="K130" s="81"/>
      <c r="L130" s="81"/>
      <c r="M130" s="38">
        <f>SUM('Innovation Project Input'!$C130:$L130)</f>
        <v>0</v>
      </c>
      <c r="N130" s="80">
        <f>IF('Innovation Project Input'!$A130&gt;0,MIN(_xlfn.RANK.EQ('Innovation Project Input'!$M130,'Innovation Project Input'!$M$2:$M$201,0),NumberOfTeams),NumberOfTeams+1)</f>
        <v>1</v>
      </c>
    </row>
    <row r="131" ht="30.0" customHeight="1">
      <c r="A131" s="38" t="str">
        <f t="array" ref="A131">XLOOKUP(130,'Team and Program Information'!$B$3:$B$202,'Team and Program Information'!$C$3:$C$202,"ERROR",0)</f>
        <v/>
      </c>
      <c r="B131" s="68" t="str">
        <f t="array" ref="B131">XLOOKUP('Innovation Project Input'!$A131,'Team and Program Information'!$C$3:$C$202,'Team and Program Information'!$D$3:$D$202,"",0,)</f>
        <v>#VALUE!</v>
      </c>
      <c r="C131" s="81"/>
      <c r="D131" s="81"/>
      <c r="E131" s="81"/>
      <c r="F131" s="81"/>
      <c r="G131" s="81"/>
      <c r="H131" s="81"/>
      <c r="I131" s="81"/>
      <c r="J131" s="81"/>
      <c r="K131" s="81"/>
      <c r="L131" s="81"/>
      <c r="M131" s="38">
        <f>SUM('Innovation Project Input'!$C131:$L131)</f>
        <v>0</v>
      </c>
      <c r="N131" s="80">
        <f>IF('Innovation Project Input'!$A131&gt;0,MIN(_xlfn.RANK.EQ('Innovation Project Input'!$M131,'Innovation Project Input'!$M$2:$M$201,0),NumberOfTeams),NumberOfTeams+1)</f>
        <v>1</v>
      </c>
    </row>
    <row r="132" ht="30.0" customHeight="1">
      <c r="A132" s="38" t="str">
        <f t="array" ref="A132">XLOOKUP(131,'Team and Program Information'!$B$3:$B$202,'Team and Program Information'!$C$3:$C$202,"ERROR",0)</f>
        <v/>
      </c>
      <c r="B132" s="68" t="str">
        <f t="array" ref="B132">XLOOKUP('Innovation Project Input'!$A132,'Team and Program Information'!$C$3:$C$202,'Team and Program Information'!$D$3:$D$202,"",0,)</f>
        <v>#VALUE!</v>
      </c>
      <c r="C132" s="81"/>
      <c r="D132" s="81"/>
      <c r="E132" s="81"/>
      <c r="F132" s="81"/>
      <c r="G132" s="81"/>
      <c r="H132" s="81"/>
      <c r="I132" s="81"/>
      <c r="J132" s="81"/>
      <c r="K132" s="81"/>
      <c r="L132" s="81"/>
      <c r="M132" s="38">
        <f>SUM('Innovation Project Input'!$C132:$L132)</f>
        <v>0</v>
      </c>
      <c r="N132" s="80">
        <f>IF('Innovation Project Input'!$A132&gt;0,MIN(_xlfn.RANK.EQ('Innovation Project Input'!$M132,'Innovation Project Input'!$M$2:$M$201,0),NumberOfTeams),NumberOfTeams+1)</f>
        <v>1</v>
      </c>
    </row>
    <row r="133" ht="30.0" customHeight="1">
      <c r="A133" s="38" t="str">
        <f t="array" ref="A133">XLOOKUP(132,'Team and Program Information'!$B$3:$B$202,'Team and Program Information'!$C$3:$C$202,"ERROR",0)</f>
        <v/>
      </c>
      <c r="B133" s="68" t="str">
        <f t="array" ref="B133">XLOOKUP('Innovation Project Input'!$A133,'Team and Program Information'!$C$3:$C$202,'Team and Program Information'!$D$3:$D$202,"",0,)</f>
        <v>#VALUE!</v>
      </c>
      <c r="C133" s="81"/>
      <c r="D133" s="81"/>
      <c r="E133" s="81"/>
      <c r="F133" s="81"/>
      <c r="G133" s="81"/>
      <c r="H133" s="81"/>
      <c r="I133" s="81"/>
      <c r="J133" s="81"/>
      <c r="K133" s="81"/>
      <c r="L133" s="81"/>
      <c r="M133" s="38">
        <f>SUM('Innovation Project Input'!$C133:$L133)</f>
        <v>0</v>
      </c>
      <c r="N133" s="80">
        <f>IF('Innovation Project Input'!$A133&gt;0,MIN(_xlfn.RANK.EQ('Innovation Project Input'!$M133,'Innovation Project Input'!$M$2:$M$201,0),NumberOfTeams),NumberOfTeams+1)</f>
        <v>1</v>
      </c>
    </row>
    <row r="134" ht="30.0" customHeight="1">
      <c r="A134" s="38" t="str">
        <f t="array" ref="A134">XLOOKUP(133,'Team and Program Information'!$B$3:$B$202,'Team and Program Information'!$C$3:$C$202,"ERROR",0)</f>
        <v/>
      </c>
      <c r="B134" s="68" t="str">
        <f t="array" ref="B134">XLOOKUP('Innovation Project Input'!$A134,'Team and Program Information'!$C$3:$C$202,'Team and Program Information'!$D$3:$D$202,"",0,)</f>
        <v>#VALUE!</v>
      </c>
      <c r="C134" s="81"/>
      <c r="D134" s="81"/>
      <c r="E134" s="81"/>
      <c r="F134" s="81"/>
      <c r="G134" s="81"/>
      <c r="H134" s="81"/>
      <c r="I134" s="81"/>
      <c r="J134" s="81"/>
      <c r="K134" s="81"/>
      <c r="L134" s="81"/>
      <c r="M134" s="38">
        <f>SUM('Innovation Project Input'!$C134:$L134)</f>
        <v>0</v>
      </c>
      <c r="N134" s="80">
        <f>IF('Innovation Project Input'!$A134&gt;0,MIN(_xlfn.RANK.EQ('Innovation Project Input'!$M134,'Innovation Project Input'!$M$2:$M$201,0),NumberOfTeams),NumberOfTeams+1)</f>
        <v>1</v>
      </c>
    </row>
    <row r="135" ht="30.0" customHeight="1">
      <c r="A135" s="38" t="str">
        <f t="array" ref="A135">XLOOKUP(134,'Team and Program Information'!$B$3:$B$202,'Team and Program Information'!$C$3:$C$202,"ERROR",0)</f>
        <v/>
      </c>
      <c r="B135" s="68" t="str">
        <f t="array" ref="B135">XLOOKUP('Innovation Project Input'!$A135,'Team and Program Information'!$C$3:$C$202,'Team and Program Information'!$D$3:$D$202,"",0,)</f>
        <v>#VALUE!</v>
      </c>
      <c r="C135" s="81"/>
      <c r="D135" s="81"/>
      <c r="E135" s="81"/>
      <c r="F135" s="81"/>
      <c r="G135" s="81"/>
      <c r="H135" s="81"/>
      <c r="I135" s="81"/>
      <c r="J135" s="81"/>
      <c r="K135" s="81"/>
      <c r="L135" s="81"/>
      <c r="M135" s="38">
        <f>SUM('Innovation Project Input'!$C135:$L135)</f>
        <v>0</v>
      </c>
      <c r="N135" s="80">
        <f>IF('Innovation Project Input'!$A135&gt;0,MIN(_xlfn.RANK.EQ('Innovation Project Input'!$M135,'Innovation Project Input'!$M$2:$M$201,0),NumberOfTeams),NumberOfTeams+1)</f>
        <v>1</v>
      </c>
    </row>
    <row r="136" ht="30.0" customHeight="1">
      <c r="A136" s="38" t="str">
        <f t="array" ref="A136">XLOOKUP(135,'Team and Program Information'!$B$3:$B$202,'Team and Program Information'!$C$3:$C$202,"ERROR",0)</f>
        <v/>
      </c>
      <c r="B136" s="68" t="str">
        <f t="array" ref="B136">XLOOKUP('Innovation Project Input'!$A136,'Team and Program Information'!$C$3:$C$202,'Team and Program Information'!$D$3:$D$202,"",0,)</f>
        <v>#VALUE!</v>
      </c>
      <c r="C136" s="81"/>
      <c r="D136" s="81"/>
      <c r="E136" s="81"/>
      <c r="F136" s="81"/>
      <c r="G136" s="81"/>
      <c r="H136" s="81"/>
      <c r="I136" s="81"/>
      <c r="J136" s="81"/>
      <c r="K136" s="81"/>
      <c r="L136" s="81"/>
      <c r="M136" s="38">
        <f>SUM('Innovation Project Input'!$C136:$L136)</f>
        <v>0</v>
      </c>
      <c r="N136" s="80">
        <f>IF('Innovation Project Input'!$A136&gt;0,MIN(_xlfn.RANK.EQ('Innovation Project Input'!$M136,'Innovation Project Input'!$M$2:$M$201,0),NumberOfTeams),NumberOfTeams+1)</f>
        <v>1</v>
      </c>
    </row>
    <row r="137" ht="30.0" customHeight="1">
      <c r="A137" s="38" t="str">
        <f t="array" ref="A137">XLOOKUP(136,'Team and Program Information'!$B$3:$B$202,'Team and Program Information'!$C$3:$C$202,"ERROR",0)</f>
        <v/>
      </c>
      <c r="B137" s="68" t="str">
        <f t="array" ref="B137">XLOOKUP('Innovation Project Input'!$A137,'Team and Program Information'!$C$3:$C$202,'Team and Program Information'!$D$3:$D$202,"",0,)</f>
        <v>#VALUE!</v>
      </c>
      <c r="C137" s="81"/>
      <c r="D137" s="81"/>
      <c r="E137" s="81"/>
      <c r="F137" s="81"/>
      <c r="G137" s="81"/>
      <c r="H137" s="81"/>
      <c r="I137" s="81"/>
      <c r="J137" s="81"/>
      <c r="K137" s="81"/>
      <c r="L137" s="81"/>
      <c r="M137" s="38">
        <f>SUM('Innovation Project Input'!$C137:$L137)</f>
        <v>0</v>
      </c>
      <c r="N137" s="80">
        <f>IF('Innovation Project Input'!$A137&gt;0,MIN(_xlfn.RANK.EQ('Innovation Project Input'!$M137,'Innovation Project Input'!$M$2:$M$201,0),NumberOfTeams),NumberOfTeams+1)</f>
        <v>1</v>
      </c>
    </row>
    <row r="138" ht="30.0" customHeight="1">
      <c r="A138" s="38" t="str">
        <f t="array" ref="A138">XLOOKUP(137,'Team and Program Information'!$B$3:$B$202,'Team and Program Information'!$C$3:$C$202,"ERROR",0)</f>
        <v/>
      </c>
      <c r="B138" s="68" t="str">
        <f t="array" ref="B138">XLOOKUP('Innovation Project Input'!$A138,'Team and Program Information'!$C$3:$C$202,'Team and Program Information'!$D$3:$D$202,"",0,)</f>
        <v>#VALUE!</v>
      </c>
      <c r="C138" s="81"/>
      <c r="D138" s="81"/>
      <c r="E138" s="81"/>
      <c r="F138" s="81"/>
      <c r="G138" s="81"/>
      <c r="H138" s="81"/>
      <c r="I138" s="81"/>
      <c r="J138" s="81"/>
      <c r="K138" s="81"/>
      <c r="L138" s="81"/>
      <c r="M138" s="38">
        <f>SUM('Innovation Project Input'!$C138:$L138)</f>
        <v>0</v>
      </c>
      <c r="N138" s="80">
        <f>IF('Innovation Project Input'!$A138&gt;0,MIN(_xlfn.RANK.EQ('Innovation Project Input'!$M138,'Innovation Project Input'!$M$2:$M$201,0),NumberOfTeams),NumberOfTeams+1)</f>
        <v>1</v>
      </c>
    </row>
    <row r="139" ht="30.0" customHeight="1">
      <c r="A139" s="38" t="str">
        <f t="array" ref="A139">XLOOKUP(138,'Team and Program Information'!$B$3:$B$202,'Team and Program Information'!$C$3:$C$202,"ERROR",0)</f>
        <v/>
      </c>
      <c r="B139" s="68" t="str">
        <f t="array" ref="B139">XLOOKUP('Innovation Project Input'!$A139,'Team and Program Information'!$C$3:$C$202,'Team and Program Information'!$D$3:$D$202,"",0,)</f>
        <v>#VALUE!</v>
      </c>
      <c r="C139" s="81"/>
      <c r="D139" s="81"/>
      <c r="E139" s="81"/>
      <c r="F139" s="81"/>
      <c r="G139" s="81"/>
      <c r="H139" s="81"/>
      <c r="I139" s="81"/>
      <c r="J139" s="81"/>
      <c r="K139" s="81"/>
      <c r="L139" s="81"/>
      <c r="M139" s="38">
        <f>SUM('Innovation Project Input'!$C139:$L139)</f>
        <v>0</v>
      </c>
      <c r="N139" s="80">
        <f>IF('Innovation Project Input'!$A139&gt;0,MIN(_xlfn.RANK.EQ('Innovation Project Input'!$M139,'Innovation Project Input'!$M$2:$M$201,0),NumberOfTeams),NumberOfTeams+1)</f>
        <v>1</v>
      </c>
    </row>
    <row r="140" ht="30.0" customHeight="1">
      <c r="A140" s="38" t="str">
        <f t="array" ref="A140">XLOOKUP(139,'Team and Program Information'!$B$3:$B$202,'Team and Program Information'!$C$3:$C$202,"ERROR",0)</f>
        <v/>
      </c>
      <c r="B140" s="68" t="str">
        <f t="array" ref="B140">XLOOKUP('Innovation Project Input'!$A140,'Team and Program Information'!$C$3:$C$202,'Team and Program Information'!$D$3:$D$202,"",0,)</f>
        <v>#VALUE!</v>
      </c>
      <c r="C140" s="81"/>
      <c r="D140" s="81"/>
      <c r="E140" s="81"/>
      <c r="F140" s="81"/>
      <c r="G140" s="81"/>
      <c r="H140" s="81"/>
      <c r="I140" s="81"/>
      <c r="J140" s="81"/>
      <c r="K140" s="81"/>
      <c r="L140" s="81"/>
      <c r="M140" s="38">
        <f>SUM('Innovation Project Input'!$C140:$L140)</f>
        <v>0</v>
      </c>
      <c r="N140" s="80">
        <f>IF('Innovation Project Input'!$A140&gt;0,MIN(_xlfn.RANK.EQ('Innovation Project Input'!$M140,'Innovation Project Input'!$M$2:$M$201,0),NumberOfTeams),NumberOfTeams+1)</f>
        <v>1</v>
      </c>
    </row>
    <row r="141" ht="30.0" customHeight="1">
      <c r="A141" s="38" t="str">
        <f t="array" ref="A141">XLOOKUP(140,'Team and Program Information'!$B$3:$B$202,'Team and Program Information'!$C$3:$C$202,"ERROR",0)</f>
        <v/>
      </c>
      <c r="B141" s="68" t="str">
        <f t="array" ref="B141">XLOOKUP('Innovation Project Input'!$A141,'Team and Program Information'!$C$3:$C$202,'Team and Program Information'!$D$3:$D$202,"",0,)</f>
        <v>#VALUE!</v>
      </c>
      <c r="C141" s="81"/>
      <c r="D141" s="81"/>
      <c r="E141" s="81"/>
      <c r="F141" s="81"/>
      <c r="G141" s="81"/>
      <c r="H141" s="81"/>
      <c r="I141" s="81"/>
      <c r="J141" s="81"/>
      <c r="K141" s="81"/>
      <c r="L141" s="81"/>
      <c r="M141" s="38">
        <f>SUM('Innovation Project Input'!$C141:$L141)</f>
        <v>0</v>
      </c>
      <c r="N141" s="80">
        <f>IF('Innovation Project Input'!$A141&gt;0,MIN(_xlfn.RANK.EQ('Innovation Project Input'!$M141,'Innovation Project Input'!$M$2:$M$201,0),NumberOfTeams),NumberOfTeams+1)</f>
        <v>1</v>
      </c>
    </row>
    <row r="142" ht="30.0" customHeight="1">
      <c r="A142" s="38" t="str">
        <f t="array" ref="A142">XLOOKUP(141,'Team and Program Information'!$B$3:$B$202,'Team and Program Information'!$C$3:$C$202,"ERROR",0)</f>
        <v/>
      </c>
      <c r="B142" s="68" t="str">
        <f t="array" ref="B142">XLOOKUP('Innovation Project Input'!$A142,'Team and Program Information'!$C$3:$C$202,'Team and Program Information'!$D$3:$D$202,"",0,)</f>
        <v>#VALUE!</v>
      </c>
      <c r="C142" s="81"/>
      <c r="D142" s="81"/>
      <c r="E142" s="81"/>
      <c r="F142" s="81"/>
      <c r="G142" s="81"/>
      <c r="H142" s="81"/>
      <c r="I142" s="81"/>
      <c r="J142" s="81"/>
      <c r="K142" s="81"/>
      <c r="L142" s="81"/>
      <c r="M142" s="38">
        <f>SUM('Innovation Project Input'!$C142:$L142)</f>
        <v>0</v>
      </c>
      <c r="N142" s="80">
        <f>IF('Innovation Project Input'!$A142&gt;0,MIN(_xlfn.RANK.EQ('Innovation Project Input'!$M142,'Innovation Project Input'!$M$2:$M$201,0),NumberOfTeams),NumberOfTeams+1)</f>
        <v>1</v>
      </c>
    </row>
    <row r="143" ht="30.0" customHeight="1">
      <c r="A143" s="38" t="str">
        <f t="array" ref="A143">XLOOKUP(142,'Team and Program Information'!$B$3:$B$202,'Team and Program Information'!$C$3:$C$202,"ERROR",0)</f>
        <v/>
      </c>
      <c r="B143" s="68" t="str">
        <f t="array" ref="B143">XLOOKUP('Innovation Project Input'!$A143,'Team and Program Information'!$C$3:$C$202,'Team and Program Information'!$D$3:$D$202,"",0,)</f>
        <v>#VALUE!</v>
      </c>
      <c r="C143" s="81"/>
      <c r="D143" s="81"/>
      <c r="E143" s="81"/>
      <c r="F143" s="81"/>
      <c r="G143" s="81"/>
      <c r="H143" s="81"/>
      <c r="I143" s="81"/>
      <c r="J143" s="81"/>
      <c r="K143" s="81"/>
      <c r="L143" s="81"/>
      <c r="M143" s="38">
        <f>SUM('Innovation Project Input'!$C143:$L143)</f>
        <v>0</v>
      </c>
      <c r="N143" s="80">
        <f>IF('Innovation Project Input'!$A143&gt;0,MIN(_xlfn.RANK.EQ('Innovation Project Input'!$M143,'Innovation Project Input'!$M$2:$M$201,0),NumberOfTeams),NumberOfTeams+1)</f>
        <v>1</v>
      </c>
    </row>
    <row r="144" ht="30.0" customHeight="1">
      <c r="A144" s="38" t="str">
        <f t="array" ref="A144">XLOOKUP(143,'Team and Program Information'!$B$3:$B$202,'Team and Program Information'!$C$3:$C$202,"ERROR",0)</f>
        <v/>
      </c>
      <c r="B144" s="68" t="str">
        <f t="array" ref="B144">XLOOKUP('Innovation Project Input'!$A144,'Team and Program Information'!$C$3:$C$202,'Team and Program Information'!$D$3:$D$202,"",0,)</f>
        <v>#VALUE!</v>
      </c>
      <c r="C144" s="81"/>
      <c r="D144" s="81"/>
      <c r="E144" s="81"/>
      <c r="F144" s="81"/>
      <c r="G144" s="81"/>
      <c r="H144" s="81"/>
      <c r="I144" s="81"/>
      <c r="J144" s="81"/>
      <c r="K144" s="81"/>
      <c r="L144" s="81"/>
      <c r="M144" s="38">
        <f>SUM('Innovation Project Input'!$C144:$L144)</f>
        <v>0</v>
      </c>
      <c r="N144" s="80">
        <f>IF('Innovation Project Input'!$A144&gt;0,MIN(_xlfn.RANK.EQ('Innovation Project Input'!$M144,'Innovation Project Input'!$M$2:$M$201,0),NumberOfTeams),NumberOfTeams+1)</f>
        <v>1</v>
      </c>
    </row>
    <row r="145" ht="30.0" customHeight="1">
      <c r="A145" s="38" t="str">
        <f t="array" ref="A145">XLOOKUP(144,'Team and Program Information'!$B$3:$B$202,'Team and Program Information'!$C$3:$C$202,"ERROR",0)</f>
        <v/>
      </c>
      <c r="B145" s="68" t="str">
        <f t="array" ref="B145">XLOOKUP('Innovation Project Input'!$A145,'Team and Program Information'!$C$3:$C$202,'Team and Program Information'!$D$3:$D$202,"",0,)</f>
        <v>#VALUE!</v>
      </c>
      <c r="C145" s="81"/>
      <c r="D145" s="81"/>
      <c r="E145" s="81"/>
      <c r="F145" s="81"/>
      <c r="G145" s="81"/>
      <c r="H145" s="81"/>
      <c r="I145" s="81"/>
      <c r="J145" s="81"/>
      <c r="K145" s="81"/>
      <c r="L145" s="81"/>
      <c r="M145" s="38">
        <f>SUM('Innovation Project Input'!$C145:$L145)</f>
        <v>0</v>
      </c>
      <c r="N145" s="80">
        <f>IF('Innovation Project Input'!$A145&gt;0,MIN(_xlfn.RANK.EQ('Innovation Project Input'!$M145,'Innovation Project Input'!$M$2:$M$201,0),NumberOfTeams),NumberOfTeams+1)</f>
        <v>1</v>
      </c>
    </row>
    <row r="146" ht="30.0" customHeight="1">
      <c r="A146" s="38" t="str">
        <f t="array" ref="A146">XLOOKUP(145,'Team and Program Information'!$B$3:$B$202,'Team and Program Information'!$C$3:$C$202,"ERROR",0)</f>
        <v/>
      </c>
      <c r="B146" s="68" t="str">
        <f t="array" ref="B146">XLOOKUP('Innovation Project Input'!$A146,'Team and Program Information'!$C$3:$C$202,'Team and Program Information'!$D$3:$D$202,"",0,)</f>
        <v>#VALUE!</v>
      </c>
      <c r="C146" s="81"/>
      <c r="D146" s="81"/>
      <c r="E146" s="81"/>
      <c r="F146" s="81"/>
      <c r="G146" s="81"/>
      <c r="H146" s="81"/>
      <c r="I146" s="81"/>
      <c r="J146" s="81"/>
      <c r="K146" s="81"/>
      <c r="L146" s="81"/>
      <c r="M146" s="38">
        <f>SUM('Innovation Project Input'!$C146:$L146)</f>
        <v>0</v>
      </c>
      <c r="N146" s="80">
        <f>IF('Innovation Project Input'!$A146&gt;0,MIN(_xlfn.RANK.EQ('Innovation Project Input'!$M146,'Innovation Project Input'!$M$2:$M$201,0),NumberOfTeams),NumberOfTeams+1)</f>
        <v>1</v>
      </c>
    </row>
    <row r="147" ht="30.0" customHeight="1">
      <c r="A147" s="38" t="str">
        <f t="array" ref="A147">XLOOKUP(146,'Team and Program Information'!$B$3:$B$202,'Team and Program Information'!$C$3:$C$202,"ERROR",0)</f>
        <v/>
      </c>
      <c r="B147" s="68" t="str">
        <f t="array" ref="B147">XLOOKUP('Innovation Project Input'!$A147,'Team and Program Information'!$C$3:$C$202,'Team and Program Information'!$D$3:$D$202,"",0,)</f>
        <v>#VALUE!</v>
      </c>
      <c r="C147" s="81"/>
      <c r="D147" s="81"/>
      <c r="E147" s="81"/>
      <c r="F147" s="81"/>
      <c r="G147" s="81"/>
      <c r="H147" s="81"/>
      <c r="I147" s="81"/>
      <c r="J147" s="81"/>
      <c r="K147" s="81"/>
      <c r="L147" s="81"/>
      <c r="M147" s="38">
        <f>SUM('Innovation Project Input'!$C147:$L147)</f>
        <v>0</v>
      </c>
      <c r="N147" s="80">
        <f>IF('Innovation Project Input'!$A147&gt;0,MIN(_xlfn.RANK.EQ('Innovation Project Input'!$M147,'Innovation Project Input'!$M$2:$M$201,0),NumberOfTeams),NumberOfTeams+1)</f>
        <v>1</v>
      </c>
    </row>
    <row r="148" ht="30.0" customHeight="1">
      <c r="A148" s="38" t="str">
        <f t="array" ref="A148">XLOOKUP(147,'Team and Program Information'!$B$3:$B$202,'Team and Program Information'!$C$3:$C$202,"ERROR",0)</f>
        <v/>
      </c>
      <c r="B148" s="68" t="str">
        <f t="array" ref="B148">XLOOKUP('Innovation Project Input'!$A148,'Team and Program Information'!$C$3:$C$202,'Team and Program Information'!$D$3:$D$202,"",0,)</f>
        <v>#VALUE!</v>
      </c>
      <c r="C148" s="81"/>
      <c r="D148" s="81"/>
      <c r="E148" s="81"/>
      <c r="F148" s="81"/>
      <c r="G148" s="81"/>
      <c r="H148" s="81"/>
      <c r="I148" s="81"/>
      <c r="J148" s="81"/>
      <c r="K148" s="81"/>
      <c r="L148" s="81"/>
      <c r="M148" s="38">
        <f>SUM('Innovation Project Input'!$C148:$L148)</f>
        <v>0</v>
      </c>
      <c r="N148" s="80">
        <f>IF('Innovation Project Input'!$A148&gt;0,MIN(_xlfn.RANK.EQ('Innovation Project Input'!$M148,'Innovation Project Input'!$M$2:$M$201,0),NumberOfTeams),NumberOfTeams+1)</f>
        <v>1</v>
      </c>
    </row>
    <row r="149" ht="30.0" customHeight="1">
      <c r="A149" s="38" t="str">
        <f t="array" ref="A149">XLOOKUP(148,'Team and Program Information'!$B$3:$B$202,'Team and Program Information'!$C$3:$C$202,"ERROR",0)</f>
        <v/>
      </c>
      <c r="B149" s="68" t="str">
        <f t="array" ref="B149">XLOOKUP('Innovation Project Input'!$A149,'Team and Program Information'!$C$3:$C$202,'Team and Program Information'!$D$3:$D$202,"",0,)</f>
        <v>#VALUE!</v>
      </c>
      <c r="C149" s="81"/>
      <c r="D149" s="81"/>
      <c r="E149" s="81"/>
      <c r="F149" s="81"/>
      <c r="G149" s="81"/>
      <c r="H149" s="81"/>
      <c r="I149" s="81"/>
      <c r="J149" s="81"/>
      <c r="K149" s="81"/>
      <c r="L149" s="81"/>
      <c r="M149" s="38">
        <f>SUM('Innovation Project Input'!$C149:$L149)</f>
        <v>0</v>
      </c>
      <c r="N149" s="80">
        <f>IF('Innovation Project Input'!$A149&gt;0,MIN(_xlfn.RANK.EQ('Innovation Project Input'!$M149,'Innovation Project Input'!$M$2:$M$201,0),NumberOfTeams),NumberOfTeams+1)</f>
        <v>1</v>
      </c>
    </row>
    <row r="150" ht="30.0" customHeight="1">
      <c r="A150" s="38" t="str">
        <f t="array" ref="A150">XLOOKUP(149,'Team and Program Information'!$B$3:$B$202,'Team and Program Information'!$C$3:$C$202,"ERROR",0)</f>
        <v/>
      </c>
      <c r="B150" s="68" t="str">
        <f t="array" ref="B150">XLOOKUP('Innovation Project Input'!$A150,'Team and Program Information'!$C$3:$C$202,'Team and Program Information'!$D$3:$D$202,"",0,)</f>
        <v>#VALUE!</v>
      </c>
      <c r="C150" s="81"/>
      <c r="D150" s="81"/>
      <c r="E150" s="81"/>
      <c r="F150" s="81"/>
      <c r="G150" s="81"/>
      <c r="H150" s="81"/>
      <c r="I150" s="81"/>
      <c r="J150" s="81"/>
      <c r="K150" s="81"/>
      <c r="L150" s="81"/>
      <c r="M150" s="38">
        <f>SUM('Innovation Project Input'!$C150:$L150)</f>
        <v>0</v>
      </c>
      <c r="N150" s="80">
        <f>IF('Innovation Project Input'!$A150&gt;0,MIN(_xlfn.RANK.EQ('Innovation Project Input'!$M150,'Innovation Project Input'!$M$2:$M$201,0),NumberOfTeams),NumberOfTeams+1)</f>
        <v>1</v>
      </c>
    </row>
    <row r="151" ht="30.0" customHeight="1">
      <c r="A151" s="38" t="str">
        <f t="array" ref="A151">XLOOKUP(150,'Team and Program Information'!$B$3:$B$202,'Team and Program Information'!$C$3:$C$202,"ERROR",0)</f>
        <v/>
      </c>
      <c r="B151" s="68" t="str">
        <f t="array" ref="B151">XLOOKUP('Innovation Project Input'!$A151,'Team and Program Information'!$C$3:$C$202,'Team and Program Information'!$D$3:$D$202,"",0,)</f>
        <v>#VALUE!</v>
      </c>
      <c r="C151" s="81"/>
      <c r="D151" s="81"/>
      <c r="E151" s="81"/>
      <c r="F151" s="81"/>
      <c r="G151" s="81"/>
      <c r="H151" s="81"/>
      <c r="I151" s="81"/>
      <c r="J151" s="81"/>
      <c r="K151" s="81"/>
      <c r="L151" s="81"/>
      <c r="M151" s="38">
        <f>SUM('Innovation Project Input'!$C151:$L151)</f>
        <v>0</v>
      </c>
      <c r="N151" s="80">
        <f>IF('Innovation Project Input'!$A151&gt;0,MIN(_xlfn.RANK.EQ('Innovation Project Input'!$M151,'Innovation Project Input'!$M$2:$M$201,0),NumberOfTeams),NumberOfTeams+1)</f>
        <v>1</v>
      </c>
    </row>
    <row r="152" ht="30.0" customHeight="1">
      <c r="A152" s="38" t="str">
        <f t="array" ref="A152">XLOOKUP(151,'Team and Program Information'!$B$3:$B$202,'Team and Program Information'!$C$3:$C$202,"ERROR",0)</f>
        <v/>
      </c>
      <c r="B152" s="68" t="str">
        <f t="array" ref="B152">XLOOKUP('Innovation Project Input'!$A152,'Team and Program Information'!$C$3:$C$202,'Team and Program Information'!$D$3:$D$202,"",0,)</f>
        <v>#VALUE!</v>
      </c>
      <c r="C152" s="81"/>
      <c r="D152" s="81"/>
      <c r="E152" s="81"/>
      <c r="F152" s="81"/>
      <c r="G152" s="81"/>
      <c r="H152" s="81"/>
      <c r="I152" s="81"/>
      <c r="J152" s="81"/>
      <c r="K152" s="81"/>
      <c r="L152" s="81"/>
      <c r="M152" s="38">
        <f>SUM('Innovation Project Input'!$C152:$L152)</f>
        <v>0</v>
      </c>
      <c r="N152" s="80">
        <f>IF('Innovation Project Input'!$A152&gt;0,MIN(_xlfn.RANK.EQ('Innovation Project Input'!$M152,'Innovation Project Input'!$M$2:$M$201,0),NumberOfTeams),NumberOfTeams+1)</f>
        <v>1</v>
      </c>
    </row>
    <row r="153" ht="30.0" customHeight="1">
      <c r="A153" s="38" t="str">
        <f t="array" ref="A153">XLOOKUP(152,'Team and Program Information'!$B$3:$B$202,'Team and Program Information'!$C$3:$C$202,"ERROR",0)</f>
        <v/>
      </c>
      <c r="B153" s="68" t="str">
        <f t="array" ref="B153">XLOOKUP('Innovation Project Input'!$A153,'Team and Program Information'!$C$3:$C$202,'Team and Program Information'!$D$3:$D$202,"",0,)</f>
        <v>#VALUE!</v>
      </c>
      <c r="C153" s="81"/>
      <c r="D153" s="81"/>
      <c r="E153" s="81"/>
      <c r="F153" s="81"/>
      <c r="G153" s="81"/>
      <c r="H153" s="81"/>
      <c r="I153" s="81"/>
      <c r="J153" s="81"/>
      <c r="K153" s="81"/>
      <c r="L153" s="81"/>
      <c r="M153" s="38">
        <f>SUM('Innovation Project Input'!$C153:$L153)</f>
        <v>0</v>
      </c>
      <c r="N153" s="80">
        <f>IF('Innovation Project Input'!$A153&gt;0,MIN(_xlfn.RANK.EQ('Innovation Project Input'!$M153,'Innovation Project Input'!$M$2:$M$201,0),NumberOfTeams),NumberOfTeams+1)</f>
        <v>1</v>
      </c>
    </row>
    <row r="154" ht="30.0" customHeight="1">
      <c r="A154" s="38" t="str">
        <f t="array" ref="A154">XLOOKUP(153,'Team and Program Information'!$B$3:$B$202,'Team and Program Information'!$C$3:$C$202,"ERROR",0)</f>
        <v/>
      </c>
      <c r="B154" s="68" t="str">
        <f t="array" ref="B154">XLOOKUP('Innovation Project Input'!$A154,'Team and Program Information'!$C$3:$C$202,'Team and Program Information'!$D$3:$D$202,"",0,)</f>
        <v>#VALUE!</v>
      </c>
      <c r="C154" s="81"/>
      <c r="D154" s="81"/>
      <c r="E154" s="81"/>
      <c r="F154" s="81"/>
      <c r="G154" s="81"/>
      <c r="H154" s="81"/>
      <c r="I154" s="81"/>
      <c r="J154" s="81"/>
      <c r="K154" s="81"/>
      <c r="L154" s="81"/>
      <c r="M154" s="38">
        <f>SUM('Innovation Project Input'!$C154:$L154)</f>
        <v>0</v>
      </c>
      <c r="N154" s="80">
        <f>IF('Innovation Project Input'!$A154&gt;0,MIN(_xlfn.RANK.EQ('Innovation Project Input'!$M154,'Innovation Project Input'!$M$2:$M$201,0),NumberOfTeams),NumberOfTeams+1)</f>
        <v>1</v>
      </c>
    </row>
    <row r="155" ht="30.0" customHeight="1">
      <c r="A155" s="38" t="str">
        <f t="array" ref="A155">XLOOKUP(154,'Team and Program Information'!$B$3:$B$202,'Team and Program Information'!$C$3:$C$202,"ERROR",0)</f>
        <v/>
      </c>
      <c r="B155" s="68" t="str">
        <f t="array" ref="B155">XLOOKUP('Innovation Project Input'!$A155,'Team and Program Information'!$C$3:$C$202,'Team and Program Information'!$D$3:$D$202,"",0,)</f>
        <v>#VALUE!</v>
      </c>
      <c r="C155" s="81"/>
      <c r="D155" s="81"/>
      <c r="E155" s="81"/>
      <c r="F155" s="81"/>
      <c r="G155" s="81"/>
      <c r="H155" s="81"/>
      <c r="I155" s="81"/>
      <c r="J155" s="81"/>
      <c r="K155" s="81"/>
      <c r="L155" s="81"/>
      <c r="M155" s="38">
        <f>SUM('Innovation Project Input'!$C155:$L155)</f>
        <v>0</v>
      </c>
      <c r="N155" s="80">
        <f>IF('Innovation Project Input'!$A155&gt;0,MIN(_xlfn.RANK.EQ('Innovation Project Input'!$M155,'Innovation Project Input'!$M$2:$M$201,0),NumberOfTeams),NumberOfTeams+1)</f>
        <v>1</v>
      </c>
    </row>
    <row r="156" ht="30.0" customHeight="1">
      <c r="A156" s="38" t="str">
        <f t="array" ref="A156">XLOOKUP(155,'Team and Program Information'!$B$3:$B$202,'Team and Program Information'!$C$3:$C$202,"ERROR",0)</f>
        <v/>
      </c>
      <c r="B156" s="68" t="str">
        <f t="array" ref="B156">XLOOKUP('Innovation Project Input'!$A156,'Team and Program Information'!$C$3:$C$202,'Team and Program Information'!$D$3:$D$202,"",0,)</f>
        <v>#VALUE!</v>
      </c>
      <c r="C156" s="81"/>
      <c r="D156" s="81"/>
      <c r="E156" s="81"/>
      <c r="F156" s="81"/>
      <c r="G156" s="81"/>
      <c r="H156" s="81"/>
      <c r="I156" s="81"/>
      <c r="J156" s="81"/>
      <c r="K156" s="81"/>
      <c r="L156" s="81"/>
      <c r="M156" s="38">
        <f>SUM('Innovation Project Input'!$C156:$L156)</f>
        <v>0</v>
      </c>
      <c r="N156" s="80">
        <f>IF('Innovation Project Input'!$A156&gt;0,MIN(_xlfn.RANK.EQ('Innovation Project Input'!$M156,'Innovation Project Input'!$M$2:$M$201,0),NumberOfTeams),NumberOfTeams+1)</f>
        <v>1</v>
      </c>
    </row>
    <row r="157" ht="30.0" customHeight="1">
      <c r="A157" s="38" t="str">
        <f t="array" ref="A157">XLOOKUP(156,'Team and Program Information'!$B$3:$B$202,'Team and Program Information'!$C$3:$C$202,"ERROR",0)</f>
        <v/>
      </c>
      <c r="B157" s="68" t="str">
        <f t="array" ref="B157">XLOOKUP('Innovation Project Input'!$A157,'Team and Program Information'!$C$3:$C$202,'Team and Program Information'!$D$3:$D$202,"",0,)</f>
        <v>#VALUE!</v>
      </c>
      <c r="C157" s="81"/>
      <c r="D157" s="81"/>
      <c r="E157" s="81"/>
      <c r="F157" s="81"/>
      <c r="G157" s="81"/>
      <c r="H157" s="81"/>
      <c r="I157" s="81"/>
      <c r="J157" s="81"/>
      <c r="K157" s="81"/>
      <c r="L157" s="81"/>
      <c r="M157" s="38">
        <f>SUM('Innovation Project Input'!$C157:$L157)</f>
        <v>0</v>
      </c>
      <c r="N157" s="80">
        <f>IF('Innovation Project Input'!$A157&gt;0,MIN(_xlfn.RANK.EQ('Innovation Project Input'!$M157,'Innovation Project Input'!$M$2:$M$201,0),NumberOfTeams),NumberOfTeams+1)</f>
        <v>1</v>
      </c>
    </row>
    <row r="158" ht="30.0" customHeight="1">
      <c r="A158" s="38" t="str">
        <f t="array" ref="A158">XLOOKUP(157,'Team and Program Information'!$B$3:$B$202,'Team and Program Information'!$C$3:$C$202,"ERROR",0)</f>
        <v/>
      </c>
      <c r="B158" s="68" t="str">
        <f t="array" ref="B158">XLOOKUP('Innovation Project Input'!$A158,'Team and Program Information'!$C$3:$C$202,'Team and Program Information'!$D$3:$D$202,"",0,)</f>
        <v>#VALUE!</v>
      </c>
      <c r="C158" s="81"/>
      <c r="D158" s="81"/>
      <c r="E158" s="81"/>
      <c r="F158" s="81"/>
      <c r="G158" s="81"/>
      <c r="H158" s="81"/>
      <c r="I158" s="81"/>
      <c r="J158" s="81"/>
      <c r="K158" s="81"/>
      <c r="L158" s="81"/>
      <c r="M158" s="38">
        <f>SUM('Innovation Project Input'!$C158:$L158)</f>
        <v>0</v>
      </c>
      <c r="N158" s="80">
        <f>IF('Innovation Project Input'!$A158&gt;0,MIN(_xlfn.RANK.EQ('Innovation Project Input'!$M158,'Innovation Project Input'!$M$2:$M$201,0),NumberOfTeams),NumberOfTeams+1)</f>
        <v>1</v>
      </c>
    </row>
    <row r="159" ht="30.0" customHeight="1">
      <c r="A159" s="38" t="str">
        <f t="array" ref="A159">XLOOKUP(158,'Team and Program Information'!$B$3:$B$202,'Team and Program Information'!$C$3:$C$202,"ERROR",0)</f>
        <v/>
      </c>
      <c r="B159" s="68" t="str">
        <f t="array" ref="B159">XLOOKUP('Innovation Project Input'!$A159,'Team and Program Information'!$C$3:$C$202,'Team and Program Information'!$D$3:$D$202,"",0,)</f>
        <v>#VALUE!</v>
      </c>
      <c r="C159" s="81"/>
      <c r="D159" s="81"/>
      <c r="E159" s="81"/>
      <c r="F159" s="81"/>
      <c r="G159" s="81"/>
      <c r="H159" s="81"/>
      <c r="I159" s="81"/>
      <c r="J159" s="81"/>
      <c r="K159" s="81"/>
      <c r="L159" s="81"/>
      <c r="M159" s="38">
        <f>SUM('Innovation Project Input'!$C159:$L159)</f>
        <v>0</v>
      </c>
      <c r="N159" s="80">
        <f>IF('Innovation Project Input'!$A159&gt;0,MIN(_xlfn.RANK.EQ('Innovation Project Input'!$M159,'Innovation Project Input'!$M$2:$M$201,0),NumberOfTeams),NumberOfTeams+1)</f>
        <v>1</v>
      </c>
    </row>
    <row r="160" ht="30.0" customHeight="1">
      <c r="A160" s="38" t="str">
        <f t="array" ref="A160">XLOOKUP(159,'Team and Program Information'!$B$3:$B$202,'Team and Program Information'!$C$3:$C$202,"ERROR",0)</f>
        <v/>
      </c>
      <c r="B160" s="68" t="str">
        <f t="array" ref="B160">XLOOKUP('Innovation Project Input'!$A160,'Team and Program Information'!$C$3:$C$202,'Team and Program Information'!$D$3:$D$202,"",0,)</f>
        <v>#VALUE!</v>
      </c>
      <c r="C160" s="81"/>
      <c r="D160" s="81"/>
      <c r="E160" s="81"/>
      <c r="F160" s="81"/>
      <c r="G160" s="81"/>
      <c r="H160" s="81"/>
      <c r="I160" s="81"/>
      <c r="J160" s="81"/>
      <c r="K160" s="81"/>
      <c r="L160" s="81"/>
      <c r="M160" s="38">
        <f>SUM('Innovation Project Input'!$C160:$L160)</f>
        <v>0</v>
      </c>
      <c r="N160" s="80">
        <f>IF('Innovation Project Input'!$A160&gt;0,MIN(_xlfn.RANK.EQ('Innovation Project Input'!$M160,'Innovation Project Input'!$M$2:$M$201,0),NumberOfTeams),NumberOfTeams+1)</f>
        <v>1</v>
      </c>
    </row>
    <row r="161" ht="30.0" customHeight="1">
      <c r="A161" s="38" t="str">
        <f t="array" ref="A161">XLOOKUP(160,'Team and Program Information'!$B$3:$B$202,'Team and Program Information'!$C$3:$C$202,"ERROR",0)</f>
        <v/>
      </c>
      <c r="B161" s="68" t="str">
        <f t="array" ref="B161">XLOOKUP('Innovation Project Input'!$A161,'Team and Program Information'!$C$3:$C$202,'Team and Program Information'!$D$3:$D$202,"",0,)</f>
        <v>#VALUE!</v>
      </c>
      <c r="C161" s="81"/>
      <c r="D161" s="81"/>
      <c r="E161" s="81"/>
      <c r="F161" s="81"/>
      <c r="G161" s="81"/>
      <c r="H161" s="81"/>
      <c r="I161" s="81"/>
      <c r="J161" s="81"/>
      <c r="K161" s="81"/>
      <c r="L161" s="81"/>
      <c r="M161" s="38">
        <f>SUM('Innovation Project Input'!$C161:$L161)</f>
        <v>0</v>
      </c>
      <c r="N161" s="80">
        <f>IF('Innovation Project Input'!$A161&gt;0,MIN(_xlfn.RANK.EQ('Innovation Project Input'!$M161,'Innovation Project Input'!$M$2:$M$201,0),NumberOfTeams),NumberOfTeams+1)</f>
        <v>1</v>
      </c>
    </row>
    <row r="162" ht="30.0" customHeight="1">
      <c r="A162" s="38" t="str">
        <f t="array" ref="A162">XLOOKUP(161,'Team and Program Information'!$B$3:$B$202,'Team and Program Information'!$C$3:$C$202,"ERROR",0)</f>
        <v/>
      </c>
      <c r="B162" s="68" t="str">
        <f t="array" ref="B162">XLOOKUP('Innovation Project Input'!$A162,'Team and Program Information'!$C$3:$C$202,'Team and Program Information'!$D$3:$D$202,"",0,)</f>
        <v>#VALUE!</v>
      </c>
      <c r="C162" s="81"/>
      <c r="D162" s="81"/>
      <c r="E162" s="81"/>
      <c r="F162" s="81"/>
      <c r="G162" s="81"/>
      <c r="H162" s="81"/>
      <c r="I162" s="81"/>
      <c r="J162" s="81"/>
      <c r="K162" s="81"/>
      <c r="L162" s="81"/>
      <c r="M162" s="38">
        <f>SUM('Innovation Project Input'!$C162:$L162)</f>
        <v>0</v>
      </c>
      <c r="N162" s="80">
        <f>IF('Innovation Project Input'!$A162&gt;0,MIN(_xlfn.RANK.EQ('Innovation Project Input'!$M162,'Innovation Project Input'!$M$2:$M$201,0),NumberOfTeams),NumberOfTeams+1)</f>
        <v>1</v>
      </c>
    </row>
    <row r="163" ht="30.0" customHeight="1">
      <c r="A163" s="38" t="str">
        <f t="array" ref="A163">XLOOKUP(162,'Team and Program Information'!$B$3:$B$202,'Team and Program Information'!$C$3:$C$202,"ERROR",0)</f>
        <v/>
      </c>
      <c r="B163" s="68" t="str">
        <f t="array" ref="B163">XLOOKUP('Innovation Project Input'!$A163,'Team and Program Information'!$C$3:$C$202,'Team and Program Information'!$D$3:$D$202,"",0,)</f>
        <v>#VALUE!</v>
      </c>
      <c r="C163" s="81"/>
      <c r="D163" s="81"/>
      <c r="E163" s="81"/>
      <c r="F163" s="81"/>
      <c r="G163" s="81"/>
      <c r="H163" s="81"/>
      <c r="I163" s="81"/>
      <c r="J163" s="81"/>
      <c r="K163" s="81"/>
      <c r="L163" s="81"/>
      <c r="M163" s="38">
        <f>SUM('Innovation Project Input'!$C163:$L163)</f>
        <v>0</v>
      </c>
      <c r="N163" s="80">
        <f>IF('Innovation Project Input'!$A163&gt;0,MIN(_xlfn.RANK.EQ('Innovation Project Input'!$M163,'Innovation Project Input'!$M$2:$M$201,0),NumberOfTeams),NumberOfTeams+1)</f>
        <v>1</v>
      </c>
    </row>
    <row r="164" ht="30.0" customHeight="1">
      <c r="A164" s="38" t="str">
        <f t="array" ref="A164">XLOOKUP(163,'Team and Program Information'!$B$3:$B$202,'Team and Program Information'!$C$3:$C$202,"ERROR",0)</f>
        <v/>
      </c>
      <c r="B164" s="68" t="str">
        <f t="array" ref="B164">XLOOKUP('Innovation Project Input'!$A164,'Team and Program Information'!$C$3:$C$202,'Team and Program Information'!$D$3:$D$202,"",0,)</f>
        <v>#VALUE!</v>
      </c>
      <c r="C164" s="81"/>
      <c r="D164" s="81"/>
      <c r="E164" s="81"/>
      <c r="F164" s="81"/>
      <c r="G164" s="81"/>
      <c r="H164" s="81"/>
      <c r="I164" s="81"/>
      <c r="J164" s="81"/>
      <c r="K164" s="81"/>
      <c r="L164" s="81"/>
      <c r="M164" s="38">
        <f>SUM('Innovation Project Input'!$C164:$L164)</f>
        <v>0</v>
      </c>
      <c r="N164" s="80">
        <f>IF('Innovation Project Input'!$A164&gt;0,MIN(_xlfn.RANK.EQ('Innovation Project Input'!$M164,'Innovation Project Input'!$M$2:$M$201,0),NumberOfTeams),NumberOfTeams+1)</f>
        <v>1</v>
      </c>
    </row>
    <row r="165" ht="30.0" customHeight="1">
      <c r="A165" s="38" t="str">
        <f t="array" ref="A165">XLOOKUP(164,'Team and Program Information'!$B$3:$B$202,'Team and Program Information'!$C$3:$C$202,"ERROR",0)</f>
        <v/>
      </c>
      <c r="B165" s="68" t="str">
        <f t="array" ref="B165">XLOOKUP('Innovation Project Input'!$A165,'Team and Program Information'!$C$3:$C$202,'Team and Program Information'!$D$3:$D$202,"",0,)</f>
        <v>#VALUE!</v>
      </c>
      <c r="C165" s="81"/>
      <c r="D165" s="81"/>
      <c r="E165" s="81"/>
      <c r="F165" s="81"/>
      <c r="G165" s="81"/>
      <c r="H165" s="81"/>
      <c r="I165" s="81"/>
      <c r="J165" s="81"/>
      <c r="K165" s="81"/>
      <c r="L165" s="81"/>
      <c r="M165" s="38">
        <f>SUM('Innovation Project Input'!$C165:$L165)</f>
        <v>0</v>
      </c>
      <c r="N165" s="80">
        <f>IF('Innovation Project Input'!$A165&gt;0,MIN(_xlfn.RANK.EQ('Innovation Project Input'!$M165,'Innovation Project Input'!$M$2:$M$201,0),NumberOfTeams),NumberOfTeams+1)</f>
        <v>1</v>
      </c>
    </row>
    <row r="166" ht="30.0" customHeight="1">
      <c r="A166" s="38" t="str">
        <f t="array" ref="A166">XLOOKUP(165,'Team and Program Information'!$B$3:$B$202,'Team and Program Information'!$C$3:$C$202,"ERROR",0)</f>
        <v/>
      </c>
      <c r="B166" s="68" t="str">
        <f t="array" ref="B166">XLOOKUP('Innovation Project Input'!$A166,'Team and Program Information'!$C$3:$C$202,'Team and Program Information'!$D$3:$D$202,"",0,)</f>
        <v>#VALUE!</v>
      </c>
      <c r="C166" s="81"/>
      <c r="D166" s="81"/>
      <c r="E166" s="81"/>
      <c r="F166" s="81"/>
      <c r="G166" s="81"/>
      <c r="H166" s="81"/>
      <c r="I166" s="81"/>
      <c r="J166" s="81"/>
      <c r="K166" s="81"/>
      <c r="L166" s="81"/>
      <c r="M166" s="38">
        <f>SUM('Innovation Project Input'!$C166:$L166)</f>
        <v>0</v>
      </c>
      <c r="N166" s="80">
        <f>IF('Innovation Project Input'!$A166&gt;0,MIN(_xlfn.RANK.EQ('Innovation Project Input'!$M166,'Innovation Project Input'!$M$2:$M$201,0),NumberOfTeams),NumberOfTeams+1)</f>
        <v>1</v>
      </c>
    </row>
    <row r="167" ht="30.0" customHeight="1">
      <c r="A167" s="38" t="str">
        <f t="array" ref="A167">XLOOKUP(166,'Team and Program Information'!$B$3:$B$202,'Team and Program Information'!$C$3:$C$202,"ERROR",0)</f>
        <v/>
      </c>
      <c r="B167" s="68" t="str">
        <f t="array" ref="B167">XLOOKUP('Innovation Project Input'!$A167,'Team and Program Information'!$C$3:$C$202,'Team and Program Information'!$D$3:$D$202,"",0,)</f>
        <v>#VALUE!</v>
      </c>
      <c r="C167" s="81"/>
      <c r="D167" s="81"/>
      <c r="E167" s="81"/>
      <c r="F167" s="81"/>
      <c r="G167" s="81"/>
      <c r="H167" s="81"/>
      <c r="I167" s="81"/>
      <c r="J167" s="81"/>
      <c r="K167" s="81"/>
      <c r="L167" s="81"/>
      <c r="M167" s="38">
        <f>SUM('Innovation Project Input'!$C167:$L167)</f>
        <v>0</v>
      </c>
      <c r="N167" s="80">
        <f>IF('Innovation Project Input'!$A167&gt;0,MIN(_xlfn.RANK.EQ('Innovation Project Input'!$M167,'Innovation Project Input'!$M$2:$M$201,0),NumberOfTeams),NumberOfTeams+1)</f>
        <v>1</v>
      </c>
    </row>
    <row r="168" ht="30.0" customHeight="1">
      <c r="A168" s="38" t="str">
        <f t="array" ref="A168">XLOOKUP(167,'Team and Program Information'!$B$3:$B$202,'Team and Program Information'!$C$3:$C$202,"ERROR",0)</f>
        <v/>
      </c>
      <c r="B168" s="68" t="str">
        <f t="array" ref="B168">XLOOKUP('Innovation Project Input'!$A168,'Team and Program Information'!$C$3:$C$202,'Team and Program Information'!$D$3:$D$202,"",0,)</f>
        <v>#VALUE!</v>
      </c>
      <c r="C168" s="81"/>
      <c r="D168" s="81"/>
      <c r="E168" s="81"/>
      <c r="F168" s="81"/>
      <c r="G168" s="81"/>
      <c r="H168" s="81"/>
      <c r="I168" s="81"/>
      <c r="J168" s="81"/>
      <c r="K168" s="81"/>
      <c r="L168" s="81"/>
      <c r="M168" s="38">
        <f>SUM('Innovation Project Input'!$C168:$L168)</f>
        <v>0</v>
      </c>
      <c r="N168" s="80">
        <f>IF('Innovation Project Input'!$A168&gt;0,MIN(_xlfn.RANK.EQ('Innovation Project Input'!$M168,'Innovation Project Input'!$M$2:$M$201,0),NumberOfTeams),NumberOfTeams+1)</f>
        <v>1</v>
      </c>
    </row>
    <row r="169" ht="30.0" customHeight="1">
      <c r="A169" s="38" t="str">
        <f t="array" ref="A169">XLOOKUP(168,'Team and Program Information'!$B$3:$B$202,'Team and Program Information'!$C$3:$C$202,"ERROR",0)</f>
        <v/>
      </c>
      <c r="B169" s="68" t="str">
        <f t="array" ref="B169">XLOOKUP('Innovation Project Input'!$A169,'Team and Program Information'!$C$3:$C$202,'Team and Program Information'!$D$3:$D$202,"",0,)</f>
        <v>#VALUE!</v>
      </c>
      <c r="C169" s="81"/>
      <c r="D169" s="81"/>
      <c r="E169" s="81"/>
      <c r="F169" s="81"/>
      <c r="G169" s="81"/>
      <c r="H169" s="81"/>
      <c r="I169" s="81"/>
      <c r="J169" s="81"/>
      <c r="K169" s="81"/>
      <c r="L169" s="81"/>
      <c r="M169" s="38">
        <f>SUM('Innovation Project Input'!$C169:$L169)</f>
        <v>0</v>
      </c>
      <c r="N169" s="80">
        <f>IF('Innovation Project Input'!$A169&gt;0,MIN(_xlfn.RANK.EQ('Innovation Project Input'!$M169,'Innovation Project Input'!$M$2:$M$201,0),NumberOfTeams),NumberOfTeams+1)</f>
        <v>1</v>
      </c>
    </row>
    <row r="170" ht="30.0" customHeight="1">
      <c r="A170" s="38" t="str">
        <f t="array" ref="A170">XLOOKUP(169,'Team and Program Information'!$B$3:$B$202,'Team and Program Information'!$C$3:$C$202,"ERROR",0)</f>
        <v/>
      </c>
      <c r="B170" s="68" t="str">
        <f t="array" ref="B170">XLOOKUP('Innovation Project Input'!$A170,'Team and Program Information'!$C$3:$C$202,'Team and Program Information'!$D$3:$D$202,"",0,)</f>
        <v>#VALUE!</v>
      </c>
      <c r="C170" s="81"/>
      <c r="D170" s="81"/>
      <c r="E170" s="81"/>
      <c r="F170" s="81"/>
      <c r="G170" s="81"/>
      <c r="H170" s="81"/>
      <c r="I170" s="81"/>
      <c r="J170" s="81"/>
      <c r="K170" s="81"/>
      <c r="L170" s="81"/>
      <c r="M170" s="38">
        <f>SUM('Innovation Project Input'!$C170:$L170)</f>
        <v>0</v>
      </c>
      <c r="N170" s="80">
        <f>IF('Innovation Project Input'!$A170&gt;0,MIN(_xlfn.RANK.EQ('Innovation Project Input'!$M170,'Innovation Project Input'!$M$2:$M$201,0),NumberOfTeams),NumberOfTeams+1)</f>
        <v>1</v>
      </c>
    </row>
    <row r="171" ht="30.0" customHeight="1">
      <c r="A171" s="38" t="str">
        <f t="array" ref="A171">XLOOKUP(170,'Team and Program Information'!$B$3:$B$202,'Team and Program Information'!$C$3:$C$202,"ERROR",0)</f>
        <v/>
      </c>
      <c r="B171" s="68" t="str">
        <f t="array" ref="B171">XLOOKUP('Innovation Project Input'!$A171,'Team and Program Information'!$C$3:$C$202,'Team and Program Information'!$D$3:$D$202,"",0,)</f>
        <v>#VALUE!</v>
      </c>
      <c r="C171" s="81"/>
      <c r="D171" s="81"/>
      <c r="E171" s="81"/>
      <c r="F171" s="81"/>
      <c r="G171" s="81"/>
      <c r="H171" s="81"/>
      <c r="I171" s="81"/>
      <c r="J171" s="81"/>
      <c r="K171" s="81"/>
      <c r="L171" s="81"/>
      <c r="M171" s="38">
        <f>SUM('Innovation Project Input'!$C171:$L171)</f>
        <v>0</v>
      </c>
      <c r="N171" s="80">
        <f>IF('Innovation Project Input'!$A171&gt;0,MIN(_xlfn.RANK.EQ('Innovation Project Input'!$M171,'Innovation Project Input'!$M$2:$M$201,0),NumberOfTeams),NumberOfTeams+1)</f>
        <v>1</v>
      </c>
    </row>
    <row r="172" ht="30.0" customHeight="1">
      <c r="A172" s="38" t="str">
        <f t="array" ref="A172">XLOOKUP(171,'Team and Program Information'!$B$3:$B$202,'Team and Program Information'!$C$3:$C$202,"ERROR",0)</f>
        <v/>
      </c>
      <c r="B172" s="68" t="str">
        <f t="array" ref="B172">XLOOKUP('Innovation Project Input'!$A172,'Team and Program Information'!$C$3:$C$202,'Team and Program Information'!$D$3:$D$202,"",0,)</f>
        <v>#VALUE!</v>
      </c>
      <c r="C172" s="81"/>
      <c r="D172" s="81"/>
      <c r="E172" s="81"/>
      <c r="F172" s="81"/>
      <c r="G172" s="81"/>
      <c r="H172" s="81"/>
      <c r="I172" s="81"/>
      <c r="J172" s="81"/>
      <c r="K172" s="81"/>
      <c r="L172" s="81"/>
      <c r="M172" s="38">
        <f>SUM('Innovation Project Input'!$C172:$L172)</f>
        <v>0</v>
      </c>
      <c r="N172" s="80">
        <f>IF('Innovation Project Input'!$A172&gt;0,MIN(_xlfn.RANK.EQ('Innovation Project Input'!$M172,'Innovation Project Input'!$M$2:$M$201,0),NumberOfTeams),NumberOfTeams+1)</f>
        <v>1</v>
      </c>
    </row>
    <row r="173" ht="30.0" customHeight="1">
      <c r="A173" s="38" t="str">
        <f t="array" ref="A173">XLOOKUP(172,'Team and Program Information'!$B$3:$B$202,'Team and Program Information'!$C$3:$C$202,"ERROR",0)</f>
        <v/>
      </c>
      <c r="B173" s="68" t="str">
        <f t="array" ref="B173">XLOOKUP('Innovation Project Input'!$A173,'Team and Program Information'!$C$3:$C$202,'Team and Program Information'!$D$3:$D$202,"",0,)</f>
        <v>#VALUE!</v>
      </c>
      <c r="C173" s="81"/>
      <c r="D173" s="81"/>
      <c r="E173" s="81"/>
      <c r="F173" s="81"/>
      <c r="G173" s="81"/>
      <c r="H173" s="81"/>
      <c r="I173" s="81"/>
      <c r="J173" s="81"/>
      <c r="K173" s="81"/>
      <c r="L173" s="81"/>
      <c r="M173" s="38">
        <f>SUM('Innovation Project Input'!$C173:$L173)</f>
        <v>0</v>
      </c>
      <c r="N173" s="80">
        <f>IF('Innovation Project Input'!$A173&gt;0,MIN(_xlfn.RANK.EQ('Innovation Project Input'!$M173,'Innovation Project Input'!$M$2:$M$201,0),NumberOfTeams),NumberOfTeams+1)</f>
        <v>1</v>
      </c>
    </row>
    <row r="174" ht="30.0" customHeight="1">
      <c r="A174" s="38" t="str">
        <f t="array" ref="A174">XLOOKUP(173,'Team and Program Information'!$B$3:$B$202,'Team and Program Information'!$C$3:$C$202,"ERROR",0)</f>
        <v/>
      </c>
      <c r="B174" s="68" t="str">
        <f t="array" ref="B174">XLOOKUP('Innovation Project Input'!$A174,'Team and Program Information'!$C$3:$C$202,'Team and Program Information'!$D$3:$D$202,"",0,)</f>
        <v>#VALUE!</v>
      </c>
      <c r="C174" s="81"/>
      <c r="D174" s="81"/>
      <c r="E174" s="81"/>
      <c r="F174" s="81"/>
      <c r="G174" s="81"/>
      <c r="H174" s="81"/>
      <c r="I174" s="81"/>
      <c r="J174" s="81"/>
      <c r="K174" s="81"/>
      <c r="L174" s="81"/>
      <c r="M174" s="38">
        <f>SUM('Innovation Project Input'!$C174:$L174)</f>
        <v>0</v>
      </c>
      <c r="N174" s="80">
        <f>IF('Innovation Project Input'!$A174&gt;0,MIN(_xlfn.RANK.EQ('Innovation Project Input'!$M174,'Innovation Project Input'!$M$2:$M$201,0),NumberOfTeams),NumberOfTeams+1)</f>
        <v>1</v>
      </c>
    </row>
    <row r="175" ht="30.0" customHeight="1">
      <c r="A175" s="38" t="str">
        <f t="array" ref="A175">XLOOKUP(174,'Team and Program Information'!$B$3:$B$202,'Team and Program Information'!$C$3:$C$202,"ERROR",0)</f>
        <v/>
      </c>
      <c r="B175" s="68" t="str">
        <f t="array" ref="B175">XLOOKUP('Innovation Project Input'!$A175,'Team and Program Information'!$C$3:$C$202,'Team and Program Information'!$D$3:$D$202,"",0,)</f>
        <v>#VALUE!</v>
      </c>
      <c r="C175" s="81"/>
      <c r="D175" s="81"/>
      <c r="E175" s="81"/>
      <c r="F175" s="81"/>
      <c r="G175" s="81"/>
      <c r="H175" s="81"/>
      <c r="I175" s="81"/>
      <c r="J175" s="81"/>
      <c r="K175" s="81"/>
      <c r="L175" s="81"/>
      <c r="M175" s="38">
        <f>SUM('Innovation Project Input'!$C175:$L175)</f>
        <v>0</v>
      </c>
      <c r="N175" s="80">
        <f>IF('Innovation Project Input'!$A175&gt;0,MIN(_xlfn.RANK.EQ('Innovation Project Input'!$M175,'Innovation Project Input'!$M$2:$M$201,0),NumberOfTeams),NumberOfTeams+1)</f>
        <v>1</v>
      </c>
    </row>
    <row r="176" ht="30.0" customHeight="1">
      <c r="A176" s="38" t="str">
        <f t="array" ref="A176">XLOOKUP(175,'Team and Program Information'!$B$3:$B$202,'Team and Program Information'!$C$3:$C$202,"ERROR",0)</f>
        <v/>
      </c>
      <c r="B176" s="68" t="str">
        <f t="array" ref="B176">XLOOKUP('Innovation Project Input'!$A176,'Team and Program Information'!$C$3:$C$202,'Team and Program Information'!$D$3:$D$202,"",0,)</f>
        <v>#VALUE!</v>
      </c>
      <c r="C176" s="81"/>
      <c r="D176" s="81"/>
      <c r="E176" s="81"/>
      <c r="F176" s="81"/>
      <c r="G176" s="81"/>
      <c r="H176" s="81"/>
      <c r="I176" s="81"/>
      <c r="J176" s="81"/>
      <c r="K176" s="81"/>
      <c r="L176" s="81"/>
      <c r="M176" s="38">
        <f>SUM('Innovation Project Input'!$C176:$L176)</f>
        <v>0</v>
      </c>
      <c r="N176" s="80">
        <f>IF('Innovation Project Input'!$A176&gt;0,MIN(_xlfn.RANK.EQ('Innovation Project Input'!$M176,'Innovation Project Input'!$M$2:$M$201,0),NumberOfTeams),NumberOfTeams+1)</f>
        <v>1</v>
      </c>
    </row>
    <row r="177" ht="30.0" customHeight="1">
      <c r="A177" s="38" t="str">
        <f t="array" ref="A177">XLOOKUP(176,'Team and Program Information'!$B$3:$B$202,'Team and Program Information'!$C$3:$C$202,"ERROR",0)</f>
        <v/>
      </c>
      <c r="B177" s="68" t="str">
        <f t="array" ref="B177">XLOOKUP('Innovation Project Input'!$A177,'Team and Program Information'!$C$3:$C$202,'Team and Program Information'!$D$3:$D$202,"",0,)</f>
        <v>#VALUE!</v>
      </c>
      <c r="C177" s="81"/>
      <c r="D177" s="81"/>
      <c r="E177" s="81"/>
      <c r="F177" s="81"/>
      <c r="G177" s="81"/>
      <c r="H177" s="81"/>
      <c r="I177" s="81"/>
      <c r="J177" s="81"/>
      <c r="K177" s="81"/>
      <c r="L177" s="81"/>
      <c r="M177" s="38">
        <f>SUM('Innovation Project Input'!$C177:$L177)</f>
        <v>0</v>
      </c>
      <c r="N177" s="80">
        <f>IF('Innovation Project Input'!$A177&gt;0,MIN(_xlfn.RANK.EQ('Innovation Project Input'!$M177,'Innovation Project Input'!$M$2:$M$201,0),NumberOfTeams),NumberOfTeams+1)</f>
        <v>1</v>
      </c>
    </row>
    <row r="178" ht="30.0" customHeight="1">
      <c r="A178" s="38" t="str">
        <f t="array" ref="A178">XLOOKUP(177,'Team and Program Information'!$B$3:$B$202,'Team and Program Information'!$C$3:$C$202,"ERROR",0)</f>
        <v/>
      </c>
      <c r="B178" s="68" t="str">
        <f t="array" ref="B178">XLOOKUP('Innovation Project Input'!$A178,'Team and Program Information'!$C$3:$C$202,'Team and Program Information'!$D$3:$D$202,"",0,)</f>
        <v>#VALUE!</v>
      </c>
      <c r="C178" s="81"/>
      <c r="D178" s="81"/>
      <c r="E178" s="81"/>
      <c r="F178" s="81"/>
      <c r="G178" s="81"/>
      <c r="H178" s="81"/>
      <c r="I178" s="81"/>
      <c r="J178" s="81"/>
      <c r="K178" s="81"/>
      <c r="L178" s="81"/>
      <c r="M178" s="38">
        <f>SUM('Innovation Project Input'!$C178:$L178)</f>
        <v>0</v>
      </c>
      <c r="N178" s="80">
        <f>IF('Innovation Project Input'!$A178&gt;0,MIN(_xlfn.RANK.EQ('Innovation Project Input'!$M178,'Innovation Project Input'!$M$2:$M$201,0),NumberOfTeams),NumberOfTeams+1)</f>
        <v>1</v>
      </c>
    </row>
    <row r="179" ht="30.0" customHeight="1">
      <c r="A179" s="38" t="str">
        <f t="array" ref="A179">XLOOKUP(178,'Team and Program Information'!$B$3:$B$202,'Team and Program Information'!$C$3:$C$202,"ERROR",0)</f>
        <v/>
      </c>
      <c r="B179" s="68" t="str">
        <f t="array" ref="B179">XLOOKUP('Innovation Project Input'!$A179,'Team and Program Information'!$C$3:$C$202,'Team and Program Information'!$D$3:$D$202,"",0,)</f>
        <v>#VALUE!</v>
      </c>
      <c r="C179" s="81"/>
      <c r="D179" s="81"/>
      <c r="E179" s="81"/>
      <c r="F179" s="81"/>
      <c r="G179" s="81"/>
      <c r="H179" s="81"/>
      <c r="I179" s="81"/>
      <c r="J179" s="81"/>
      <c r="K179" s="81"/>
      <c r="L179" s="81"/>
      <c r="M179" s="38">
        <f>SUM('Innovation Project Input'!$C179:$L179)</f>
        <v>0</v>
      </c>
      <c r="N179" s="80">
        <f>IF('Innovation Project Input'!$A179&gt;0,MIN(_xlfn.RANK.EQ('Innovation Project Input'!$M179,'Innovation Project Input'!$M$2:$M$201,0),NumberOfTeams),NumberOfTeams+1)</f>
        <v>1</v>
      </c>
    </row>
    <row r="180" ht="30.0" customHeight="1">
      <c r="A180" s="38" t="str">
        <f t="array" ref="A180">XLOOKUP(179,'Team and Program Information'!$B$3:$B$202,'Team and Program Information'!$C$3:$C$202,"ERROR",0)</f>
        <v/>
      </c>
      <c r="B180" s="68" t="str">
        <f t="array" ref="B180">XLOOKUP('Innovation Project Input'!$A180,'Team and Program Information'!$C$3:$C$202,'Team and Program Information'!$D$3:$D$202,"",0,)</f>
        <v>#VALUE!</v>
      </c>
      <c r="C180" s="81"/>
      <c r="D180" s="81"/>
      <c r="E180" s="81"/>
      <c r="F180" s="81"/>
      <c r="G180" s="81"/>
      <c r="H180" s="81"/>
      <c r="I180" s="81"/>
      <c r="J180" s="81"/>
      <c r="K180" s="81"/>
      <c r="L180" s="81"/>
      <c r="M180" s="38">
        <f>SUM('Innovation Project Input'!$C180:$L180)</f>
        <v>0</v>
      </c>
      <c r="N180" s="80">
        <f>IF('Innovation Project Input'!$A180&gt;0,MIN(_xlfn.RANK.EQ('Innovation Project Input'!$M180,'Innovation Project Input'!$M$2:$M$201,0),NumberOfTeams),NumberOfTeams+1)</f>
        <v>1</v>
      </c>
    </row>
    <row r="181" ht="30.0" customHeight="1">
      <c r="A181" s="38" t="str">
        <f t="array" ref="A181">XLOOKUP(180,'Team and Program Information'!$B$3:$B$202,'Team and Program Information'!$C$3:$C$202,"ERROR",0)</f>
        <v/>
      </c>
      <c r="B181" s="68" t="str">
        <f t="array" ref="B181">XLOOKUP('Innovation Project Input'!$A181,'Team and Program Information'!$C$3:$C$202,'Team and Program Information'!$D$3:$D$202,"",0,)</f>
        <v>#VALUE!</v>
      </c>
      <c r="C181" s="81"/>
      <c r="D181" s="81"/>
      <c r="E181" s="81"/>
      <c r="F181" s="81"/>
      <c r="G181" s="81"/>
      <c r="H181" s="81"/>
      <c r="I181" s="81"/>
      <c r="J181" s="81"/>
      <c r="K181" s="81"/>
      <c r="L181" s="81"/>
      <c r="M181" s="38">
        <f>SUM('Innovation Project Input'!$C181:$L181)</f>
        <v>0</v>
      </c>
      <c r="N181" s="80">
        <f>IF('Innovation Project Input'!$A181&gt;0,MIN(_xlfn.RANK.EQ('Innovation Project Input'!$M181,'Innovation Project Input'!$M$2:$M$201,0),NumberOfTeams),NumberOfTeams+1)</f>
        <v>1</v>
      </c>
    </row>
    <row r="182" ht="30.0" customHeight="1">
      <c r="A182" s="38" t="str">
        <f t="array" ref="A182">XLOOKUP(181,'Team and Program Information'!$B$3:$B$202,'Team and Program Information'!$C$3:$C$202,"ERROR",0)</f>
        <v/>
      </c>
      <c r="B182" s="68" t="str">
        <f t="array" ref="B182">XLOOKUP('Innovation Project Input'!$A182,'Team and Program Information'!$C$3:$C$202,'Team and Program Information'!$D$3:$D$202,"",0,)</f>
        <v>#VALUE!</v>
      </c>
      <c r="C182" s="81"/>
      <c r="D182" s="81"/>
      <c r="E182" s="81"/>
      <c r="F182" s="81"/>
      <c r="G182" s="81"/>
      <c r="H182" s="81"/>
      <c r="I182" s="81"/>
      <c r="J182" s="81"/>
      <c r="K182" s="81"/>
      <c r="L182" s="81"/>
      <c r="M182" s="38">
        <f>SUM('Innovation Project Input'!$C182:$L182)</f>
        <v>0</v>
      </c>
      <c r="N182" s="80">
        <f>IF('Innovation Project Input'!$A182&gt;0,MIN(_xlfn.RANK.EQ('Innovation Project Input'!$M182,'Innovation Project Input'!$M$2:$M$201,0),NumberOfTeams),NumberOfTeams+1)</f>
        <v>1</v>
      </c>
    </row>
    <row r="183" ht="30.0" customHeight="1">
      <c r="A183" s="38" t="str">
        <f t="array" ref="A183">XLOOKUP(182,'Team and Program Information'!$B$3:$B$202,'Team and Program Information'!$C$3:$C$202,"ERROR",0)</f>
        <v/>
      </c>
      <c r="B183" s="68" t="str">
        <f t="array" ref="B183">XLOOKUP('Innovation Project Input'!$A183,'Team and Program Information'!$C$3:$C$202,'Team and Program Information'!$D$3:$D$202,"",0,)</f>
        <v>#VALUE!</v>
      </c>
      <c r="C183" s="81"/>
      <c r="D183" s="81"/>
      <c r="E183" s="81"/>
      <c r="F183" s="81"/>
      <c r="G183" s="81"/>
      <c r="H183" s="81"/>
      <c r="I183" s="81"/>
      <c r="J183" s="81"/>
      <c r="K183" s="81"/>
      <c r="L183" s="81"/>
      <c r="M183" s="38">
        <f>SUM('Innovation Project Input'!$C183:$L183)</f>
        <v>0</v>
      </c>
      <c r="N183" s="80">
        <f>IF('Innovation Project Input'!$A183&gt;0,MIN(_xlfn.RANK.EQ('Innovation Project Input'!$M183,'Innovation Project Input'!$M$2:$M$201,0),NumberOfTeams),NumberOfTeams+1)</f>
        <v>1</v>
      </c>
    </row>
    <row r="184" ht="30.0" customHeight="1">
      <c r="A184" s="38" t="str">
        <f t="array" ref="A184">XLOOKUP(183,'Team and Program Information'!$B$3:$B$202,'Team and Program Information'!$C$3:$C$202,"ERROR",0)</f>
        <v/>
      </c>
      <c r="B184" s="68" t="str">
        <f t="array" ref="B184">XLOOKUP('Innovation Project Input'!$A184,'Team and Program Information'!$C$3:$C$202,'Team and Program Information'!$D$3:$D$202,"",0,)</f>
        <v>#VALUE!</v>
      </c>
      <c r="C184" s="81"/>
      <c r="D184" s="81"/>
      <c r="E184" s="81"/>
      <c r="F184" s="81"/>
      <c r="G184" s="81"/>
      <c r="H184" s="81"/>
      <c r="I184" s="81"/>
      <c r="J184" s="81"/>
      <c r="K184" s="81"/>
      <c r="L184" s="81"/>
      <c r="M184" s="38">
        <f>SUM('Innovation Project Input'!$C184:$L184)</f>
        <v>0</v>
      </c>
      <c r="N184" s="80">
        <f>IF('Innovation Project Input'!$A184&gt;0,MIN(_xlfn.RANK.EQ('Innovation Project Input'!$M184,'Innovation Project Input'!$M$2:$M$201,0),NumberOfTeams),NumberOfTeams+1)</f>
        <v>1</v>
      </c>
    </row>
    <row r="185" ht="30.0" customHeight="1">
      <c r="A185" s="38" t="str">
        <f t="array" ref="A185">XLOOKUP(184,'Team and Program Information'!$B$3:$B$202,'Team and Program Information'!$C$3:$C$202,"ERROR",0)</f>
        <v/>
      </c>
      <c r="B185" s="68" t="str">
        <f t="array" ref="B185">XLOOKUP('Innovation Project Input'!$A185,'Team and Program Information'!$C$3:$C$202,'Team and Program Information'!$D$3:$D$202,"",0,)</f>
        <v>#VALUE!</v>
      </c>
      <c r="C185" s="81"/>
      <c r="D185" s="81"/>
      <c r="E185" s="81"/>
      <c r="F185" s="81"/>
      <c r="G185" s="81"/>
      <c r="H185" s="81"/>
      <c r="I185" s="81"/>
      <c r="J185" s="81"/>
      <c r="K185" s="81"/>
      <c r="L185" s="81"/>
      <c r="M185" s="38">
        <f>SUM('Innovation Project Input'!$C185:$L185)</f>
        <v>0</v>
      </c>
      <c r="N185" s="80">
        <f>IF('Innovation Project Input'!$A185&gt;0,MIN(_xlfn.RANK.EQ('Innovation Project Input'!$M185,'Innovation Project Input'!$M$2:$M$201,0),NumberOfTeams),NumberOfTeams+1)</f>
        <v>1</v>
      </c>
    </row>
    <row r="186" ht="30.0" customHeight="1">
      <c r="A186" s="38" t="str">
        <f t="array" ref="A186">XLOOKUP(185,'Team and Program Information'!$B$3:$B$202,'Team and Program Information'!$C$3:$C$202,"ERROR",0)</f>
        <v/>
      </c>
      <c r="B186" s="68" t="str">
        <f t="array" ref="B186">XLOOKUP('Innovation Project Input'!$A186,'Team and Program Information'!$C$3:$C$202,'Team and Program Information'!$D$3:$D$202,"",0,)</f>
        <v>#VALUE!</v>
      </c>
      <c r="C186" s="81"/>
      <c r="D186" s="81"/>
      <c r="E186" s="81"/>
      <c r="F186" s="81"/>
      <c r="G186" s="81"/>
      <c r="H186" s="81"/>
      <c r="I186" s="81"/>
      <c r="J186" s="81"/>
      <c r="K186" s="81"/>
      <c r="L186" s="81"/>
      <c r="M186" s="38">
        <f>SUM('Innovation Project Input'!$C186:$L186)</f>
        <v>0</v>
      </c>
      <c r="N186" s="80">
        <f>IF('Innovation Project Input'!$A186&gt;0,MIN(_xlfn.RANK.EQ('Innovation Project Input'!$M186,'Innovation Project Input'!$M$2:$M$201,0),NumberOfTeams),NumberOfTeams+1)</f>
        <v>1</v>
      </c>
    </row>
    <row r="187" ht="30.0" customHeight="1">
      <c r="A187" s="38" t="str">
        <f t="array" ref="A187">XLOOKUP(186,'Team and Program Information'!$B$3:$B$202,'Team and Program Information'!$C$3:$C$202,"ERROR",0)</f>
        <v/>
      </c>
      <c r="B187" s="68" t="str">
        <f t="array" ref="B187">XLOOKUP('Innovation Project Input'!$A187,'Team and Program Information'!$C$3:$C$202,'Team and Program Information'!$D$3:$D$202,"",0,)</f>
        <v>#VALUE!</v>
      </c>
      <c r="C187" s="81"/>
      <c r="D187" s="81"/>
      <c r="E187" s="81"/>
      <c r="F187" s="81"/>
      <c r="G187" s="81"/>
      <c r="H187" s="81"/>
      <c r="I187" s="81"/>
      <c r="J187" s="81"/>
      <c r="K187" s="81"/>
      <c r="L187" s="81"/>
      <c r="M187" s="38">
        <f>SUM('Innovation Project Input'!$C187:$L187)</f>
        <v>0</v>
      </c>
      <c r="N187" s="80">
        <f>IF('Innovation Project Input'!$A187&gt;0,MIN(_xlfn.RANK.EQ('Innovation Project Input'!$M187,'Innovation Project Input'!$M$2:$M$201,0),NumberOfTeams),NumberOfTeams+1)</f>
        <v>1</v>
      </c>
    </row>
    <row r="188" ht="30.0" customHeight="1">
      <c r="A188" s="38" t="str">
        <f t="array" ref="A188">XLOOKUP(187,'Team and Program Information'!$B$3:$B$202,'Team and Program Information'!$C$3:$C$202,"ERROR",0)</f>
        <v/>
      </c>
      <c r="B188" s="68" t="str">
        <f t="array" ref="B188">XLOOKUP('Innovation Project Input'!$A188,'Team and Program Information'!$C$3:$C$202,'Team and Program Information'!$D$3:$D$202,"",0,)</f>
        <v>#VALUE!</v>
      </c>
      <c r="C188" s="81"/>
      <c r="D188" s="81"/>
      <c r="E188" s="81"/>
      <c r="F188" s="81"/>
      <c r="G188" s="81"/>
      <c r="H188" s="81"/>
      <c r="I188" s="81"/>
      <c r="J188" s="81"/>
      <c r="K188" s="81"/>
      <c r="L188" s="81"/>
      <c r="M188" s="38">
        <f>SUM('Innovation Project Input'!$C188:$L188)</f>
        <v>0</v>
      </c>
      <c r="N188" s="80">
        <f>IF('Innovation Project Input'!$A188&gt;0,MIN(_xlfn.RANK.EQ('Innovation Project Input'!$M188,'Innovation Project Input'!$M$2:$M$201,0),NumberOfTeams),NumberOfTeams+1)</f>
        <v>1</v>
      </c>
    </row>
    <row r="189" ht="30.0" customHeight="1">
      <c r="A189" s="38" t="str">
        <f t="array" ref="A189">XLOOKUP(188,'Team and Program Information'!$B$3:$B$202,'Team and Program Information'!$C$3:$C$202,"ERROR",0)</f>
        <v/>
      </c>
      <c r="B189" s="68" t="str">
        <f t="array" ref="B189">XLOOKUP('Innovation Project Input'!$A189,'Team and Program Information'!$C$3:$C$202,'Team and Program Information'!$D$3:$D$202,"",0,)</f>
        <v>#VALUE!</v>
      </c>
      <c r="C189" s="81"/>
      <c r="D189" s="81"/>
      <c r="E189" s="81"/>
      <c r="F189" s="81"/>
      <c r="G189" s="81"/>
      <c r="H189" s="81"/>
      <c r="I189" s="81"/>
      <c r="J189" s="81"/>
      <c r="K189" s="81"/>
      <c r="L189" s="81"/>
      <c r="M189" s="38">
        <f>SUM('Innovation Project Input'!$C189:$L189)</f>
        <v>0</v>
      </c>
      <c r="N189" s="80">
        <f>IF('Innovation Project Input'!$A189&gt;0,MIN(_xlfn.RANK.EQ('Innovation Project Input'!$M189,'Innovation Project Input'!$M$2:$M$201,0),NumberOfTeams),NumberOfTeams+1)</f>
        <v>1</v>
      </c>
    </row>
    <row r="190" ht="30.0" customHeight="1">
      <c r="A190" s="38" t="str">
        <f t="array" ref="A190">XLOOKUP(189,'Team and Program Information'!$B$3:$B$202,'Team and Program Information'!$C$3:$C$202,"ERROR",0)</f>
        <v/>
      </c>
      <c r="B190" s="68" t="str">
        <f t="array" ref="B190">XLOOKUP('Innovation Project Input'!$A190,'Team and Program Information'!$C$3:$C$202,'Team and Program Information'!$D$3:$D$202,"",0,)</f>
        <v>#VALUE!</v>
      </c>
      <c r="C190" s="81"/>
      <c r="D190" s="81"/>
      <c r="E190" s="81"/>
      <c r="F190" s="81"/>
      <c r="G190" s="81"/>
      <c r="H190" s="81"/>
      <c r="I190" s="81"/>
      <c r="J190" s="81"/>
      <c r="K190" s="81"/>
      <c r="L190" s="81"/>
      <c r="M190" s="38">
        <f>SUM('Innovation Project Input'!$C190:$L190)</f>
        <v>0</v>
      </c>
      <c r="N190" s="80">
        <f>IF('Innovation Project Input'!$A190&gt;0,MIN(_xlfn.RANK.EQ('Innovation Project Input'!$M190,'Innovation Project Input'!$M$2:$M$201,0),NumberOfTeams),NumberOfTeams+1)</f>
        <v>1</v>
      </c>
    </row>
    <row r="191" ht="30.0" customHeight="1">
      <c r="A191" s="38" t="str">
        <f t="array" ref="A191">XLOOKUP(190,'Team and Program Information'!$B$3:$B$202,'Team and Program Information'!$C$3:$C$202,"ERROR",0)</f>
        <v/>
      </c>
      <c r="B191" s="68" t="str">
        <f t="array" ref="B191">XLOOKUP('Innovation Project Input'!$A191,'Team and Program Information'!$C$3:$C$202,'Team and Program Information'!$D$3:$D$202,"",0,)</f>
        <v>#VALUE!</v>
      </c>
      <c r="C191" s="81"/>
      <c r="D191" s="81"/>
      <c r="E191" s="81"/>
      <c r="F191" s="81"/>
      <c r="G191" s="81"/>
      <c r="H191" s="81"/>
      <c r="I191" s="81"/>
      <c r="J191" s="81"/>
      <c r="K191" s="81"/>
      <c r="L191" s="81"/>
      <c r="M191" s="38">
        <f>SUM('Innovation Project Input'!$C191:$L191)</f>
        <v>0</v>
      </c>
      <c r="N191" s="80">
        <f>IF('Innovation Project Input'!$A191&gt;0,MIN(_xlfn.RANK.EQ('Innovation Project Input'!$M191,'Innovation Project Input'!$M$2:$M$201,0),NumberOfTeams),NumberOfTeams+1)</f>
        <v>1</v>
      </c>
    </row>
    <row r="192" ht="30.0" customHeight="1">
      <c r="A192" s="38" t="str">
        <f t="array" ref="A192">XLOOKUP(191,'Team and Program Information'!$B$3:$B$202,'Team and Program Information'!$C$3:$C$202,"ERROR",0)</f>
        <v/>
      </c>
      <c r="B192" s="68" t="str">
        <f t="array" ref="B192">XLOOKUP('Innovation Project Input'!$A192,'Team and Program Information'!$C$3:$C$202,'Team and Program Information'!$D$3:$D$202,"",0,)</f>
        <v>#VALUE!</v>
      </c>
      <c r="C192" s="81"/>
      <c r="D192" s="81"/>
      <c r="E192" s="81"/>
      <c r="F192" s="81"/>
      <c r="G192" s="81"/>
      <c r="H192" s="81"/>
      <c r="I192" s="81"/>
      <c r="J192" s="81"/>
      <c r="K192" s="81"/>
      <c r="L192" s="81"/>
      <c r="M192" s="38">
        <f>SUM('Innovation Project Input'!$C192:$L192)</f>
        <v>0</v>
      </c>
      <c r="N192" s="80">
        <f>IF('Innovation Project Input'!$A192&gt;0,MIN(_xlfn.RANK.EQ('Innovation Project Input'!$M192,'Innovation Project Input'!$M$2:$M$201,0),NumberOfTeams),NumberOfTeams+1)</f>
        <v>1</v>
      </c>
    </row>
    <row r="193" ht="30.0" customHeight="1">
      <c r="A193" s="38" t="str">
        <f t="array" ref="A193">XLOOKUP(192,'Team and Program Information'!$B$3:$B$202,'Team and Program Information'!$C$3:$C$202,"ERROR",0)</f>
        <v/>
      </c>
      <c r="B193" s="68" t="str">
        <f t="array" ref="B193">XLOOKUP('Innovation Project Input'!$A193,'Team and Program Information'!$C$3:$C$202,'Team and Program Information'!$D$3:$D$202,"",0,)</f>
        <v>#VALUE!</v>
      </c>
      <c r="C193" s="81"/>
      <c r="D193" s="81"/>
      <c r="E193" s="81"/>
      <c r="F193" s="81"/>
      <c r="G193" s="81"/>
      <c r="H193" s="81"/>
      <c r="I193" s="81"/>
      <c r="J193" s="81"/>
      <c r="K193" s="81"/>
      <c r="L193" s="81"/>
      <c r="M193" s="38">
        <f>SUM('Innovation Project Input'!$C193:$L193)</f>
        <v>0</v>
      </c>
      <c r="N193" s="80">
        <f>IF('Innovation Project Input'!$A193&gt;0,MIN(_xlfn.RANK.EQ('Innovation Project Input'!$M193,'Innovation Project Input'!$M$2:$M$201,0),NumberOfTeams),NumberOfTeams+1)</f>
        <v>1</v>
      </c>
    </row>
    <row r="194" ht="30.0" customHeight="1">
      <c r="A194" s="38" t="str">
        <f t="array" ref="A194">XLOOKUP(193,'Team and Program Information'!$B$3:$B$202,'Team and Program Information'!$C$3:$C$202,"ERROR",0)</f>
        <v/>
      </c>
      <c r="B194" s="68" t="str">
        <f t="array" ref="B194">XLOOKUP('Innovation Project Input'!$A194,'Team and Program Information'!$C$3:$C$202,'Team and Program Information'!$D$3:$D$202,"",0,)</f>
        <v>#VALUE!</v>
      </c>
      <c r="C194" s="81"/>
      <c r="D194" s="81"/>
      <c r="E194" s="81"/>
      <c r="F194" s="81"/>
      <c r="G194" s="81"/>
      <c r="H194" s="81"/>
      <c r="I194" s="81"/>
      <c r="J194" s="81"/>
      <c r="K194" s="81"/>
      <c r="L194" s="81"/>
      <c r="M194" s="38">
        <f>SUM('Innovation Project Input'!$C194:$L194)</f>
        <v>0</v>
      </c>
      <c r="N194" s="80">
        <f>IF('Innovation Project Input'!$A194&gt;0,MIN(_xlfn.RANK.EQ('Innovation Project Input'!$M194,'Innovation Project Input'!$M$2:$M$201,0),NumberOfTeams),NumberOfTeams+1)</f>
        <v>1</v>
      </c>
    </row>
    <row r="195" ht="30.0" customHeight="1">
      <c r="A195" s="38" t="str">
        <f t="array" ref="A195">XLOOKUP(194,'Team and Program Information'!$B$3:$B$202,'Team and Program Information'!$C$3:$C$202,"ERROR",0)</f>
        <v/>
      </c>
      <c r="B195" s="68" t="str">
        <f t="array" ref="B195">XLOOKUP('Innovation Project Input'!$A195,'Team and Program Information'!$C$3:$C$202,'Team and Program Information'!$D$3:$D$202,"",0,)</f>
        <v>#VALUE!</v>
      </c>
      <c r="C195" s="81"/>
      <c r="D195" s="81"/>
      <c r="E195" s="81"/>
      <c r="F195" s="81"/>
      <c r="G195" s="81"/>
      <c r="H195" s="81"/>
      <c r="I195" s="81"/>
      <c r="J195" s="81"/>
      <c r="K195" s="81"/>
      <c r="L195" s="81"/>
      <c r="M195" s="38">
        <f>SUM('Innovation Project Input'!$C195:$L195)</f>
        <v>0</v>
      </c>
      <c r="N195" s="80">
        <f>IF('Innovation Project Input'!$A195&gt;0,MIN(_xlfn.RANK.EQ('Innovation Project Input'!$M195,'Innovation Project Input'!$M$2:$M$201,0),NumberOfTeams),NumberOfTeams+1)</f>
        <v>1</v>
      </c>
    </row>
    <row r="196" ht="30.0" customHeight="1">
      <c r="A196" s="38" t="str">
        <f t="array" ref="A196">XLOOKUP(195,'Team and Program Information'!$B$3:$B$202,'Team and Program Information'!$C$3:$C$202,"ERROR",0)</f>
        <v/>
      </c>
      <c r="B196" s="68" t="str">
        <f t="array" ref="B196">XLOOKUP('Innovation Project Input'!$A196,'Team and Program Information'!$C$3:$C$202,'Team and Program Information'!$D$3:$D$202,"",0,)</f>
        <v>#VALUE!</v>
      </c>
      <c r="C196" s="81"/>
      <c r="D196" s="81"/>
      <c r="E196" s="81"/>
      <c r="F196" s="81"/>
      <c r="G196" s="81"/>
      <c r="H196" s="81"/>
      <c r="I196" s="81"/>
      <c r="J196" s="81"/>
      <c r="K196" s="81"/>
      <c r="L196" s="81"/>
      <c r="M196" s="38">
        <f>SUM('Innovation Project Input'!$C196:$L196)</f>
        <v>0</v>
      </c>
      <c r="N196" s="80">
        <f>IF('Innovation Project Input'!$A196&gt;0,MIN(_xlfn.RANK.EQ('Innovation Project Input'!$M196,'Innovation Project Input'!$M$2:$M$201,0),NumberOfTeams),NumberOfTeams+1)</f>
        <v>1</v>
      </c>
    </row>
    <row r="197" ht="30.0" customHeight="1">
      <c r="A197" s="38" t="str">
        <f t="array" ref="A197">XLOOKUP(196,'Team and Program Information'!$B$3:$B$202,'Team and Program Information'!$C$3:$C$202,"ERROR",0)</f>
        <v/>
      </c>
      <c r="B197" s="68" t="str">
        <f t="array" ref="B197">XLOOKUP('Innovation Project Input'!$A197,'Team and Program Information'!$C$3:$C$202,'Team and Program Information'!$D$3:$D$202,"",0,)</f>
        <v>#VALUE!</v>
      </c>
      <c r="C197" s="81"/>
      <c r="D197" s="81"/>
      <c r="E197" s="81"/>
      <c r="F197" s="81"/>
      <c r="G197" s="81"/>
      <c r="H197" s="81"/>
      <c r="I197" s="81"/>
      <c r="J197" s="81"/>
      <c r="K197" s="81"/>
      <c r="L197" s="81"/>
      <c r="M197" s="38">
        <f>SUM('Innovation Project Input'!$C197:$L197)</f>
        <v>0</v>
      </c>
      <c r="N197" s="80">
        <f>IF('Innovation Project Input'!$A197&gt;0,MIN(_xlfn.RANK.EQ('Innovation Project Input'!$M197,'Innovation Project Input'!$M$2:$M$201,0),NumberOfTeams),NumberOfTeams+1)</f>
        <v>1</v>
      </c>
    </row>
    <row r="198" ht="30.0" customHeight="1">
      <c r="A198" s="38" t="str">
        <f t="array" ref="A198">XLOOKUP(197,'Team and Program Information'!$B$3:$B$202,'Team and Program Information'!$C$3:$C$202,"ERROR",0)</f>
        <v/>
      </c>
      <c r="B198" s="68" t="str">
        <f t="array" ref="B198">XLOOKUP('Innovation Project Input'!$A198,'Team and Program Information'!$C$3:$C$202,'Team and Program Information'!$D$3:$D$202,"",0,)</f>
        <v>#VALUE!</v>
      </c>
      <c r="C198" s="81"/>
      <c r="D198" s="81"/>
      <c r="E198" s="81"/>
      <c r="F198" s="81"/>
      <c r="G198" s="81"/>
      <c r="H198" s="81"/>
      <c r="I198" s="81"/>
      <c r="J198" s="81"/>
      <c r="K198" s="81"/>
      <c r="L198" s="81"/>
      <c r="M198" s="38">
        <f>SUM('Innovation Project Input'!$C198:$L198)</f>
        <v>0</v>
      </c>
      <c r="N198" s="80">
        <f>IF('Innovation Project Input'!$A198&gt;0,MIN(_xlfn.RANK.EQ('Innovation Project Input'!$M198,'Innovation Project Input'!$M$2:$M$201,0),NumberOfTeams),NumberOfTeams+1)</f>
        <v>1</v>
      </c>
    </row>
    <row r="199" ht="30.0" customHeight="1">
      <c r="A199" s="38" t="str">
        <f t="array" ref="A199">XLOOKUP(198,'Team and Program Information'!$B$3:$B$202,'Team and Program Information'!$C$3:$C$202,"ERROR",0)</f>
        <v/>
      </c>
      <c r="B199" s="68" t="str">
        <f t="array" ref="B199">XLOOKUP('Innovation Project Input'!$A199,'Team and Program Information'!$C$3:$C$202,'Team and Program Information'!$D$3:$D$202,"",0,)</f>
        <v>#VALUE!</v>
      </c>
      <c r="C199" s="81"/>
      <c r="D199" s="81"/>
      <c r="E199" s="81"/>
      <c r="F199" s="81"/>
      <c r="G199" s="81"/>
      <c r="H199" s="81"/>
      <c r="I199" s="81"/>
      <c r="J199" s="81"/>
      <c r="K199" s="81"/>
      <c r="L199" s="81"/>
      <c r="M199" s="38">
        <f>SUM('Innovation Project Input'!$C199:$L199)</f>
        <v>0</v>
      </c>
      <c r="N199" s="80">
        <f>IF('Innovation Project Input'!$A199&gt;0,MIN(_xlfn.RANK.EQ('Innovation Project Input'!$M199,'Innovation Project Input'!$M$2:$M$201,0),NumberOfTeams),NumberOfTeams+1)</f>
        <v>1</v>
      </c>
    </row>
    <row r="200" ht="30.0" customHeight="1">
      <c r="A200" s="38" t="str">
        <f t="array" ref="A200">XLOOKUP(199,'Team and Program Information'!$B$3:$B$202,'Team and Program Information'!$C$3:$C$202,"ERROR",0)</f>
        <v/>
      </c>
      <c r="B200" s="68" t="str">
        <f t="array" ref="B200">XLOOKUP('Innovation Project Input'!$A200,'Team and Program Information'!$C$3:$C$202,'Team and Program Information'!$D$3:$D$202,"",0,)</f>
        <v>#VALUE!</v>
      </c>
      <c r="C200" s="81"/>
      <c r="D200" s="81"/>
      <c r="E200" s="81"/>
      <c r="F200" s="81"/>
      <c r="G200" s="81"/>
      <c r="H200" s="81"/>
      <c r="I200" s="81"/>
      <c r="J200" s="81"/>
      <c r="K200" s="81"/>
      <c r="L200" s="81"/>
      <c r="M200" s="38">
        <f>SUM('Innovation Project Input'!$C200:$L200)</f>
        <v>0</v>
      </c>
      <c r="N200" s="80">
        <f>IF('Innovation Project Input'!$A200&gt;0,MIN(_xlfn.RANK.EQ('Innovation Project Input'!$M200,'Innovation Project Input'!$M$2:$M$201,0),NumberOfTeams),NumberOfTeams+1)</f>
        <v>1</v>
      </c>
    </row>
    <row r="201" ht="30.0" customHeight="1">
      <c r="A201" s="38" t="str">
        <f t="array" ref="A201">XLOOKUP(200,'Team and Program Information'!$B$3:$B$202,'Team and Program Information'!$C$3:$C$202,"ERROR",0)</f>
        <v/>
      </c>
      <c r="B201" s="68" t="str">
        <f t="array" ref="B201">XLOOKUP('Innovation Project Input'!$A201,'Team and Program Information'!$C$3:$C$202,'Team and Program Information'!$D$3:$D$202,"",0,)</f>
        <v>#VALUE!</v>
      </c>
      <c r="C201" s="81"/>
      <c r="D201" s="81"/>
      <c r="E201" s="81"/>
      <c r="F201" s="81"/>
      <c r="G201" s="81"/>
      <c r="H201" s="81"/>
      <c r="I201" s="81"/>
      <c r="J201" s="81"/>
      <c r="K201" s="81"/>
      <c r="L201" s="81"/>
      <c r="M201" s="38">
        <f>SUM('Innovation Project Input'!$C201:$L201)</f>
        <v>0</v>
      </c>
      <c r="N201" s="80">
        <f>IF('Innovation Project Input'!$A201&gt;0,MIN(_xlfn.RANK.EQ('Innovation Project Input'!$M201,'Innovation Project Input'!$M$2:$M$201,0),NumberOfTeams),NumberOfTeams+1)</f>
        <v>1</v>
      </c>
    </row>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showGridLines="0" workbookViewId="0"/>
  </sheetViews>
  <sheetFormatPr customHeight="1" defaultColWidth="14.43" defaultRowHeight="15.0"/>
  <cols>
    <col customWidth="1" min="1" max="1" width="15.43"/>
    <col customWidth="1" min="2" max="2" width="32.43"/>
    <col customWidth="1" min="3" max="12" width="7.43"/>
    <col customWidth="1" min="13" max="13" width="10.43"/>
    <col customWidth="1" min="14" max="14" width="15.43"/>
    <col customWidth="1" min="15" max="26" width="8.71"/>
  </cols>
  <sheetData>
    <row r="1" ht="169.5" customHeight="1">
      <c r="A1" s="75" t="s">
        <v>24</v>
      </c>
      <c r="B1" s="76" t="s">
        <v>25</v>
      </c>
      <c r="C1" s="82" t="s">
        <v>77</v>
      </c>
      <c r="D1" s="82" t="s">
        <v>67</v>
      </c>
      <c r="E1" s="82" t="s">
        <v>78</v>
      </c>
      <c r="F1" s="82" t="s">
        <v>79</v>
      </c>
      <c r="G1" s="82" t="s">
        <v>80</v>
      </c>
      <c r="H1" s="82" t="s">
        <v>81</v>
      </c>
      <c r="I1" s="82" t="s">
        <v>82</v>
      </c>
      <c r="J1" s="82" t="s">
        <v>83</v>
      </c>
      <c r="K1" s="82" t="s">
        <v>74</v>
      </c>
      <c r="L1" s="82" t="s">
        <v>75</v>
      </c>
      <c r="M1" s="83" t="s">
        <v>63</v>
      </c>
      <c r="N1" s="84" t="s">
        <v>55</v>
      </c>
    </row>
    <row r="2" ht="30.0" customHeight="1">
      <c r="A2" s="38">
        <f t="array" ref="A2">(XLOOKUP(1,'Team and Program Information'!$B$3:$B$202,'Team and Program Information'!$C$3:$C$202,"ERROR",0))+0</f>
        <v>0</v>
      </c>
      <c r="B2" s="68" t="str">
        <f t="array" ref="B2">XLOOKUP('Robot Design Input'!$A2,'Team and Program Information'!$C$3:$C$202,'Team and Program Information'!$D$3:$D$202,"",0,)</f>
        <v>#VALUE!</v>
      </c>
      <c r="C2" s="38"/>
      <c r="D2" s="38"/>
      <c r="E2" s="38"/>
      <c r="F2" s="38"/>
      <c r="G2" s="38"/>
      <c r="H2" s="38"/>
      <c r="I2" s="38"/>
      <c r="J2" s="38"/>
      <c r="K2" s="38"/>
      <c r="L2" s="38"/>
      <c r="M2" s="38">
        <f>SUM('Robot Design Input'!$C2:$L2)</f>
        <v>0</v>
      </c>
      <c r="N2" s="80">
        <f>IF('Robot Design Input'!$A2&gt;0,MIN(_xlfn.RANK.EQ('Robot Design Input'!$M2,'Robot Design Input'!$M$2:$M$201,0),NumberOfTeams),NumberOfTeams+1)</f>
        <v>1</v>
      </c>
    </row>
    <row r="3" ht="30.0" customHeight="1">
      <c r="A3" s="38">
        <f t="array" ref="A3">(XLOOKUP(2,'Team and Program Information'!$B$3:$B$202,'Team and Program Information'!$C$3:$C$202,"ERROR",0))+0</f>
        <v>0</v>
      </c>
      <c r="B3" s="68" t="str">
        <f t="array" ref="B3">XLOOKUP('Robot Design Input'!$A3,'Team and Program Information'!$C$3:$C$202,'Team and Program Information'!$D$3:$D$202,"",0,)</f>
        <v>#VALUE!</v>
      </c>
      <c r="C3" s="38"/>
      <c r="D3" s="38"/>
      <c r="E3" s="38"/>
      <c r="F3" s="38"/>
      <c r="G3" s="38"/>
      <c r="H3" s="38"/>
      <c r="I3" s="38"/>
      <c r="J3" s="38"/>
      <c r="K3" s="38"/>
      <c r="L3" s="38"/>
      <c r="M3" s="38">
        <f>SUM('Robot Design Input'!$C3:$L3)</f>
        <v>0</v>
      </c>
      <c r="N3" s="80">
        <f>IF('Robot Design Input'!$A3&gt;0,MIN(_xlfn.RANK.EQ('Robot Design Input'!$M3,'Robot Design Input'!$M$2:$M$201,0),NumberOfTeams),NumberOfTeams+1)</f>
        <v>1</v>
      </c>
    </row>
    <row r="4" ht="30.0" customHeight="1">
      <c r="A4" s="38">
        <f t="array" ref="A4">(XLOOKUP(3,'Team and Program Information'!$B$3:$B$202,'Team and Program Information'!$C$3:$C$202,"ERROR",0))+0</f>
        <v>0</v>
      </c>
      <c r="B4" s="68" t="str">
        <f t="array" ref="B4">XLOOKUP('Robot Design Input'!$A4,'Team and Program Information'!$C$3:$C$202,'Team and Program Information'!$D$3:$D$202,"",0,)</f>
        <v>#VALUE!</v>
      </c>
      <c r="C4" s="38"/>
      <c r="D4" s="38"/>
      <c r="E4" s="38"/>
      <c r="F4" s="38"/>
      <c r="G4" s="38"/>
      <c r="H4" s="38"/>
      <c r="I4" s="38"/>
      <c r="J4" s="38"/>
      <c r="K4" s="38"/>
      <c r="L4" s="38"/>
      <c r="M4" s="38">
        <f>SUM('Robot Design Input'!$C4:$L4)</f>
        <v>0</v>
      </c>
      <c r="N4" s="80">
        <f>IF('Robot Design Input'!$A4&gt;0,MIN(_xlfn.RANK.EQ('Robot Design Input'!$M4,'Robot Design Input'!$M$2:$M$201,0),NumberOfTeams),NumberOfTeams+1)</f>
        <v>1</v>
      </c>
    </row>
    <row r="5" ht="30.0" customHeight="1">
      <c r="A5" s="38" t="str">
        <f t="array" ref="A5">XLOOKUP(4,'Team and Program Information'!$B$3:$B$202,'Team and Program Information'!$C$3:$C$202,"ERROR",0)</f>
        <v/>
      </c>
      <c r="B5" s="68" t="str">
        <f t="array" ref="B5">XLOOKUP('Robot Design Input'!$A5,'Team and Program Information'!$C$3:$C$202,'Team and Program Information'!$D$3:$D$202,"",0,)</f>
        <v>#VALUE!</v>
      </c>
      <c r="C5" s="38"/>
      <c r="D5" s="38"/>
      <c r="E5" s="38"/>
      <c r="F5" s="38"/>
      <c r="G5" s="38"/>
      <c r="H5" s="38"/>
      <c r="I5" s="38"/>
      <c r="J5" s="38"/>
      <c r="K5" s="38"/>
      <c r="L5" s="38"/>
      <c r="M5" s="38">
        <f>SUM('Robot Design Input'!$C5:$L5)</f>
        <v>0</v>
      </c>
      <c r="N5" s="80">
        <f>IF('Robot Design Input'!$A5&gt;0,MIN(_xlfn.RANK.EQ('Robot Design Input'!$M5,'Robot Design Input'!$M$2:$M$201,0),NumberOfTeams),NumberOfTeams+1)</f>
        <v>1</v>
      </c>
    </row>
    <row r="6" ht="30.0" customHeight="1">
      <c r="A6" s="38" t="str">
        <f t="array" ref="A6">XLOOKUP(5,'Team and Program Information'!$B$3:$B$202,'Team and Program Information'!$C$3:$C$202,"ERROR",0)</f>
        <v/>
      </c>
      <c r="B6" s="68" t="str">
        <f t="array" ref="B6">XLOOKUP('Robot Design Input'!$A6,'Team and Program Information'!$C$3:$C$202,'Team and Program Information'!$D$3:$D$202,"",0,)</f>
        <v>#VALUE!</v>
      </c>
      <c r="C6" s="38"/>
      <c r="D6" s="38"/>
      <c r="E6" s="38"/>
      <c r="F6" s="38"/>
      <c r="G6" s="38"/>
      <c r="H6" s="38"/>
      <c r="I6" s="38"/>
      <c r="J6" s="38"/>
      <c r="K6" s="38"/>
      <c r="L6" s="38"/>
      <c r="M6" s="38">
        <f>SUM('Robot Design Input'!$C6:$L6)</f>
        <v>0</v>
      </c>
      <c r="N6" s="80">
        <f>IF('Robot Design Input'!$A6&gt;0,MIN(_xlfn.RANK.EQ('Robot Design Input'!$M6,'Robot Design Input'!$M$2:$M$201,0),NumberOfTeams),NumberOfTeams+1)</f>
        <v>1</v>
      </c>
    </row>
    <row r="7" ht="30.0" customHeight="1">
      <c r="A7" s="38" t="str">
        <f t="array" ref="A7">XLOOKUP(6,'Team and Program Information'!$B$3:$B$202,'Team and Program Information'!$C$3:$C$202,"ERROR",0)</f>
        <v/>
      </c>
      <c r="B7" s="68" t="str">
        <f t="array" ref="B7">XLOOKUP('Robot Design Input'!$A7,'Team and Program Information'!$C$3:$C$202,'Team and Program Information'!$D$3:$D$202,"",0,)</f>
        <v>#VALUE!</v>
      </c>
      <c r="C7" s="38"/>
      <c r="D7" s="38"/>
      <c r="E7" s="38"/>
      <c r="F7" s="38"/>
      <c r="G7" s="38"/>
      <c r="H7" s="38"/>
      <c r="I7" s="38"/>
      <c r="J7" s="38"/>
      <c r="K7" s="38"/>
      <c r="L7" s="38"/>
      <c r="M7" s="38">
        <f>SUM('Robot Design Input'!$C7:$L7)</f>
        <v>0</v>
      </c>
      <c r="N7" s="80">
        <f>IF('Robot Design Input'!$A7&gt;0,MIN(_xlfn.RANK.EQ('Robot Design Input'!$M7,'Robot Design Input'!$M$2:$M$201,0),NumberOfTeams),NumberOfTeams+1)</f>
        <v>1</v>
      </c>
    </row>
    <row r="8" ht="30.0" customHeight="1">
      <c r="A8" s="38" t="str">
        <f t="array" ref="A8">XLOOKUP(7,'Team and Program Information'!$B$3:$B$202,'Team and Program Information'!$C$3:$C$202,"ERROR",0)</f>
        <v/>
      </c>
      <c r="B8" s="68" t="str">
        <f t="array" ref="B8">XLOOKUP('Robot Design Input'!$A8,'Team and Program Information'!$C$3:$C$202,'Team and Program Information'!$D$3:$D$202,"",0,)</f>
        <v>#VALUE!</v>
      </c>
      <c r="C8" s="38"/>
      <c r="D8" s="38"/>
      <c r="E8" s="38"/>
      <c r="F8" s="38"/>
      <c r="G8" s="38"/>
      <c r="H8" s="38"/>
      <c r="I8" s="38"/>
      <c r="J8" s="38"/>
      <c r="K8" s="38"/>
      <c r="L8" s="38"/>
      <c r="M8" s="38">
        <f>SUM('Robot Design Input'!$C8:$L8)</f>
        <v>0</v>
      </c>
      <c r="N8" s="80">
        <f>IF('Robot Design Input'!$A8&gt;0,MIN(_xlfn.RANK.EQ('Robot Design Input'!$M8,'Robot Design Input'!$M$2:$M$201,0),NumberOfTeams),NumberOfTeams+1)</f>
        <v>1</v>
      </c>
    </row>
    <row r="9" ht="30.0" customHeight="1">
      <c r="A9" s="38" t="str">
        <f t="array" ref="A9">XLOOKUP(8,'Team and Program Information'!$B$3:$B$202,'Team and Program Information'!$C$3:$C$202,"ERROR",0)</f>
        <v/>
      </c>
      <c r="B9" s="68" t="str">
        <f t="array" ref="B9">XLOOKUP('Robot Design Input'!$A9,'Team and Program Information'!$C$3:$C$202,'Team and Program Information'!$D$3:$D$202,"",0,)</f>
        <v>#VALUE!</v>
      </c>
      <c r="C9" s="38"/>
      <c r="D9" s="38"/>
      <c r="E9" s="38"/>
      <c r="F9" s="38"/>
      <c r="G9" s="38"/>
      <c r="H9" s="38"/>
      <c r="I9" s="38"/>
      <c r="J9" s="38"/>
      <c r="K9" s="38"/>
      <c r="L9" s="38"/>
      <c r="M9" s="38">
        <f>SUM('Robot Design Input'!$C9:$L9)</f>
        <v>0</v>
      </c>
      <c r="N9" s="80">
        <f>IF('Robot Design Input'!$A9&gt;0,MIN(_xlfn.RANK.EQ('Robot Design Input'!$M9,'Robot Design Input'!$M$2:$M$201,0),NumberOfTeams),NumberOfTeams+1)</f>
        <v>1</v>
      </c>
    </row>
    <row r="10" ht="30.0" customHeight="1">
      <c r="A10" s="38" t="str">
        <f t="array" ref="A10">XLOOKUP(9,'Team and Program Information'!$B$3:$B$202,'Team and Program Information'!$C$3:$C$202,"ERROR",0)</f>
        <v/>
      </c>
      <c r="B10" s="68" t="str">
        <f t="array" ref="B10">XLOOKUP('Robot Design Input'!$A10,'Team and Program Information'!$C$3:$C$202,'Team and Program Information'!$D$3:$D$202,"",0,)</f>
        <v>#VALUE!</v>
      </c>
      <c r="C10" s="38"/>
      <c r="D10" s="38"/>
      <c r="E10" s="38"/>
      <c r="F10" s="38"/>
      <c r="G10" s="38"/>
      <c r="H10" s="38"/>
      <c r="I10" s="38"/>
      <c r="J10" s="38"/>
      <c r="K10" s="38"/>
      <c r="L10" s="38"/>
      <c r="M10" s="38">
        <f>SUM('Robot Design Input'!$C10:$L10)</f>
        <v>0</v>
      </c>
      <c r="N10" s="80">
        <f>IF('Robot Design Input'!$A10&gt;0,MIN(_xlfn.RANK.EQ('Robot Design Input'!$M10,'Robot Design Input'!$M$2:$M$201,0),NumberOfTeams),NumberOfTeams+1)</f>
        <v>1</v>
      </c>
    </row>
    <row r="11" ht="30.0" customHeight="1">
      <c r="A11" s="38" t="str">
        <f t="array" ref="A11">XLOOKUP(10,'Team and Program Information'!$B$3:$B$202,'Team and Program Information'!$C$3:$C$202,"ERROR",0)</f>
        <v/>
      </c>
      <c r="B11" s="68" t="str">
        <f t="array" ref="B11">XLOOKUP('Robot Design Input'!$A11,'Team and Program Information'!$C$3:$C$202,'Team and Program Information'!$D$3:$D$202,"",0,)</f>
        <v>#VALUE!</v>
      </c>
      <c r="C11" s="38"/>
      <c r="D11" s="38"/>
      <c r="E11" s="38"/>
      <c r="F11" s="38"/>
      <c r="G11" s="38"/>
      <c r="H11" s="38"/>
      <c r="I11" s="38"/>
      <c r="J11" s="38"/>
      <c r="K11" s="38"/>
      <c r="L11" s="38"/>
      <c r="M11" s="38">
        <f>SUM('Robot Design Input'!$C11:$L11)</f>
        <v>0</v>
      </c>
      <c r="N11" s="80">
        <f>IF('Robot Design Input'!$A11&gt;0,MIN(_xlfn.RANK.EQ('Robot Design Input'!$M11,'Robot Design Input'!$M$2:$M$201,0),NumberOfTeams),NumberOfTeams+1)</f>
        <v>1</v>
      </c>
    </row>
    <row r="12" ht="30.0" customHeight="1">
      <c r="A12" s="38" t="str">
        <f t="array" ref="A12">XLOOKUP(11,'Team and Program Information'!$B$3:$B$202,'Team and Program Information'!$C$3:$C$202,"ERROR",0)</f>
        <v/>
      </c>
      <c r="B12" s="68" t="str">
        <f t="array" ref="B12">XLOOKUP('Robot Design Input'!$A12,'Team and Program Information'!$C$3:$C$202,'Team and Program Information'!$D$3:$D$202,"",0,)</f>
        <v>#VALUE!</v>
      </c>
      <c r="C12" s="38"/>
      <c r="D12" s="38"/>
      <c r="E12" s="38"/>
      <c r="F12" s="38"/>
      <c r="G12" s="38"/>
      <c r="H12" s="38"/>
      <c r="I12" s="38"/>
      <c r="J12" s="38"/>
      <c r="K12" s="38"/>
      <c r="L12" s="38"/>
      <c r="M12" s="38">
        <f>SUM('Robot Design Input'!$C12:$L12)</f>
        <v>0</v>
      </c>
      <c r="N12" s="80">
        <f>IF('Robot Design Input'!$A12&gt;0,MIN(_xlfn.RANK.EQ('Robot Design Input'!$M12,'Robot Design Input'!$M$2:$M$201,0),NumberOfTeams),NumberOfTeams+1)</f>
        <v>1</v>
      </c>
    </row>
    <row r="13" ht="30.0" customHeight="1">
      <c r="A13" s="38" t="str">
        <f t="array" ref="A13">XLOOKUP(12,'Team and Program Information'!$B$3:$B$202,'Team and Program Information'!$C$3:$C$202,"ERROR",0)</f>
        <v/>
      </c>
      <c r="B13" s="68" t="str">
        <f t="array" ref="B13">XLOOKUP('Robot Design Input'!$A13,'Team and Program Information'!$C$3:$C$202,'Team and Program Information'!$D$3:$D$202,"",0,)</f>
        <v>#VALUE!</v>
      </c>
      <c r="C13" s="38"/>
      <c r="D13" s="38"/>
      <c r="E13" s="38"/>
      <c r="F13" s="38"/>
      <c r="G13" s="38"/>
      <c r="H13" s="38"/>
      <c r="I13" s="38"/>
      <c r="J13" s="38"/>
      <c r="K13" s="38"/>
      <c r="L13" s="38"/>
      <c r="M13" s="38">
        <f>SUM('Robot Design Input'!$C13:$L13)</f>
        <v>0</v>
      </c>
      <c r="N13" s="80">
        <f>IF('Robot Design Input'!$A13&gt;0,MIN(_xlfn.RANK.EQ('Robot Design Input'!$M13,'Robot Design Input'!$M$2:$M$201,0),NumberOfTeams),NumberOfTeams+1)</f>
        <v>1</v>
      </c>
    </row>
    <row r="14" ht="30.0" customHeight="1">
      <c r="A14" s="38" t="str">
        <f t="array" ref="A14">XLOOKUP(13,'Team and Program Information'!$B$3:$B$202,'Team and Program Information'!$C$3:$C$202,"ERROR",0)</f>
        <v/>
      </c>
      <c r="B14" s="68" t="str">
        <f t="array" ref="B14">XLOOKUP('Robot Design Input'!$A14,'Team and Program Information'!$C$3:$C$202,'Team and Program Information'!$D$3:$D$202,"",0,)</f>
        <v>#VALUE!</v>
      </c>
      <c r="C14" s="38"/>
      <c r="D14" s="38"/>
      <c r="E14" s="38"/>
      <c r="F14" s="38"/>
      <c r="G14" s="38"/>
      <c r="H14" s="38"/>
      <c r="I14" s="38"/>
      <c r="J14" s="38"/>
      <c r="K14" s="38"/>
      <c r="L14" s="38"/>
      <c r="M14" s="38">
        <f>SUM('Robot Design Input'!$C14:$L14)</f>
        <v>0</v>
      </c>
      <c r="N14" s="80">
        <f>IF('Robot Design Input'!$A14&gt;0,MIN(_xlfn.RANK.EQ('Robot Design Input'!$M14,'Robot Design Input'!$M$2:$M$201,0),NumberOfTeams),NumberOfTeams+1)</f>
        <v>1</v>
      </c>
    </row>
    <row r="15" ht="30.0" customHeight="1">
      <c r="A15" s="38" t="str">
        <f t="array" ref="A15">XLOOKUP(14,'Team and Program Information'!$B$3:$B$202,'Team and Program Information'!$C$3:$C$202,"ERROR",0)</f>
        <v/>
      </c>
      <c r="B15" s="68" t="str">
        <f t="array" ref="B15">XLOOKUP('Robot Design Input'!$A15,'Team and Program Information'!$C$3:$C$202,'Team and Program Information'!$D$3:$D$202,"",0,)</f>
        <v>#VALUE!</v>
      </c>
      <c r="C15" s="38"/>
      <c r="D15" s="38"/>
      <c r="E15" s="38"/>
      <c r="F15" s="38"/>
      <c r="G15" s="38"/>
      <c r="H15" s="38"/>
      <c r="I15" s="38"/>
      <c r="J15" s="38"/>
      <c r="K15" s="38"/>
      <c r="L15" s="38"/>
      <c r="M15" s="38">
        <f>SUM('Robot Design Input'!$C15:$L15)</f>
        <v>0</v>
      </c>
      <c r="N15" s="80">
        <f>IF('Robot Design Input'!$A15&gt;0,MIN(_xlfn.RANK.EQ('Robot Design Input'!$M15,'Robot Design Input'!$M$2:$M$201,0),NumberOfTeams),NumberOfTeams+1)</f>
        <v>1</v>
      </c>
    </row>
    <row r="16" ht="30.0" customHeight="1">
      <c r="A16" s="38" t="str">
        <f t="array" ref="A16">XLOOKUP(15,'Team and Program Information'!$B$3:$B$202,'Team and Program Information'!$C$3:$C$202,"ERROR",0)</f>
        <v/>
      </c>
      <c r="B16" s="68" t="str">
        <f t="array" ref="B16">XLOOKUP('Robot Design Input'!$A16,'Team and Program Information'!$C$3:$C$202,'Team and Program Information'!$D$3:$D$202,"",0,)</f>
        <v>#VALUE!</v>
      </c>
      <c r="C16" s="38"/>
      <c r="D16" s="38"/>
      <c r="E16" s="38"/>
      <c r="F16" s="38"/>
      <c r="G16" s="38"/>
      <c r="H16" s="38"/>
      <c r="I16" s="38"/>
      <c r="J16" s="38"/>
      <c r="K16" s="38"/>
      <c r="L16" s="38"/>
      <c r="M16" s="38">
        <f>SUM('Robot Design Input'!$C16:$L16)</f>
        <v>0</v>
      </c>
      <c r="N16" s="80">
        <f>IF('Robot Design Input'!$A16&gt;0,MIN(_xlfn.RANK.EQ('Robot Design Input'!$M16,'Robot Design Input'!$M$2:$M$201,0),NumberOfTeams),NumberOfTeams+1)</f>
        <v>1</v>
      </c>
    </row>
    <row r="17" ht="30.0" customHeight="1">
      <c r="A17" s="38" t="str">
        <f t="array" ref="A17">XLOOKUP(16,'Team and Program Information'!$B$3:$B$202,'Team and Program Information'!$C$3:$C$202,"ERROR",0)</f>
        <v/>
      </c>
      <c r="B17" s="68" t="str">
        <f t="array" ref="B17">XLOOKUP('Robot Design Input'!$A17,'Team and Program Information'!$C$3:$C$202,'Team and Program Information'!$D$3:$D$202,"",0,)</f>
        <v>#VALUE!</v>
      </c>
      <c r="C17" s="38"/>
      <c r="D17" s="38"/>
      <c r="E17" s="38"/>
      <c r="F17" s="38"/>
      <c r="G17" s="38"/>
      <c r="H17" s="38"/>
      <c r="I17" s="38"/>
      <c r="J17" s="38"/>
      <c r="K17" s="38"/>
      <c r="L17" s="38"/>
      <c r="M17" s="38">
        <f>SUM('Robot Design Input'!$C17:$L17)</f>
        <v>0</v>
      </c>
      <c r="N17" s="80">
        <f>IF('Robot Design Input'!$A17&gt;0,MIN(_xlfn.RANK.EQ('Robot Design Input'!$M17,'Robot Design Input'!$M$2:$M$201,0),NumberOfTeams),NumberOfTeams+1)</f>
        <v>1</v>
      </c>
    </row>
    <row r="18" ht="30.0" customHeight="1">
      <c r="A18" s="38" t="str">
        <f t="array" ref="A18">XLOOKUP(17,'Team and Program Information'!$B$3:$B$202,'Team and Program Information'!$C$3:$C$202,"ERROR",0)</f>
        <v/>
      </c>
      <c r="B18" s="68" t="str">
        <f t="array" ref="B18">XLOOKUP('Robot Design Input'!$A18,'Team and Program Information'!$C$3:$C$202,'Team and Program Information'!$D$3:$D$202,"",0,)</f>
        <v>#VALUE!</v>
      </c>
      <c r="C18" s="38"/>
      <c r="D18" s="38"/>
      <c r="E18" s="38"/>
      <c r="F18" s="38"/>
      <c r="G18" s="38"/>
      <c r="H18" s="38"/>
      <c r="I18" s="38"/>
      <c r="J18" s="38"/>
      <c r="K18" s="38"/>
      <c r="L18" s="38"/>
      <c r="M18" s="38">
        <f>SUM('Robot Design Input'!$C18:$L18)</f>
        <v>0</v>
      </c>
      <c r="N18" s="80">
        <f>IF('Robot Design Input'!$A18&gt;0,MIN(_xlfn.RANK.EQ('Robot Design Input'!$M18,'Robot Design Input'!$M$2:$M$201,0),NumberOfTeams),NumberOfTeams+1)</f>
        <v>1</v>
      </c>
    </row>
    <row r="19" ht="30.0" customHeight="1">
      <c r="A19" s="38" t="str">
        <f t="array" ref="A19">XLOOKUP(18,'Team and Program Information'!$B$3:$B$202,'Team and Program Information'!$C$3:$C$202,"ERROR",0)</f>
        <v/>
      </c>
      <c r="B19" s="68" t="str">
        <f t="array" ref="B19">XLOOKUP('Robot Design Input'!$A19,'Team and Program Information'!$C$3:$C$202,'Team and Program Information'!$D$3:$D$202,"",0,)</f>
        <v>#VALUE!</v>
      </c>
      <c r="C19" s="38"/>
      <c r="D19" s="38"/>
      <c r="E19" s="38"/>
      <c r="F19" s="38"/>
      <c r="G19" s="38"/>
      <c r="H19" s="38"/>
      <c r="I19" s="38"/>
      <c r="J19" s="38"/>
      <c r="K19" s="38"/>
      <c r="L19" s="38"/>
      <c r="M19" s="38">
        <f>SUM('Robot Design Input'!$C19:$L19)</f>
        <v>0</v>
      </c>
      <c r="N19" s="80">
        <f>IF('Robot Design Input'!$A19&gt;0,MIN(_xlfn.RANK.EQ('Robot Design Input'!$M19,'Robot Design Input'!$M$2:$M$201,0),NumberOfTeams),NumberOfTeams+1)</f>
        <v>1</v>
      </c>
    </row>
    <row r="20" ht="30.0" customHeight="1">
      <c r="A20" s="38" t="str">
        <f t="array" ref="A20">XLOOKUP(19,'Team and Program Information'!$B$3:$B$202,'Team and Program Information'!$C$3:$C$202,"ERROR",0)</f>
        <v/>
      </c>
      <c r="B20" s="68" t="str">
        <f t="array" ref="B20">XLOOKUP('Robot Design Input'!$A20,'Team and Program Information'!$C$3:$C$202,'Team and Program Information'!$D$3:$D$202,"",0,)</f>
        <v>#VALUE!</v>
      </c>
      <c r="C20" s="38"/>
      <c r="D20" s="38"/>
      <c r="E20" s="38"/>
      <c r="F20" s="38"/>
      <c r="G20" s="38"/>
      <c r="H20" s="38"/>
      <c r="I20" s="38"/>
      <c r="J20" s="38"/>
      <c r="K20" s="38"/>
      <c r="L20" s="38"/>
      <c r="M20" s="38">
        <f>SUM('Robot Design Input'!$C20:$L20)</f>
        <v>0</v>
      </c>
      <c r="N20" s="80">
        <f>IF('Robot Design Input'!$A20&gt;0,MIN(_xlfn.RANK.EQ('Robot Design Input'!$M20,'Robot Design Input'!$M$2:$M$201,0),NumberOfTeams),NumberOfTeams+1)</f>
        <v>1</v>
      </c>
    </row>
    <row r="21" ht="30.0" customHeight="1">
      <c r="A21" s="38" t="str">
        <f t="array" ref="A21">XLOOKUP(20,'Team and Program Information'!$B$3:$B$202,'Team and Program Information'!$C$3:$C$202,"ERROR",0)</f>
        <v/>
      </c>
      <c r="B21" s="68" t="str">
        <f t="array" ref="B21">XLOOKUP('Robot Design Input'!$A21,'Team and Program Information'!$C$3:$C$202,'Team and Program Information'!$D$3:$D$202,"",0,)</f>
        <v>#VALUE!</v>
      </c>
      <c r="C21" s="38"/>
      <c r="D21" s="38"/>
      <c r="E21" s="38"/>
      <c r="F21" s="38"/>
      <c r="G21" s="38"/>
      <c r="H21" s="38"/>
      <c r="I21" s="38"/>
      <c r="J21" s="38"/>
      <c r="K21" s="38"/>
      <c r="L21" s="38"/>
      <c r="M21" s="38">
        <f>SUM('Robot Design Input'!$C21:$L21)</f>
        <v>0</v>
      </c>
      <c r="N21" s="80">
        <f>IF('Robot Design Input'!$A21&gt;0,MIN(_xlfn.RANK.EQ('Robot Design Input'!$M21,'Robot Design Input'!$M$2:$M$201,0),NumberOfTeams),NumberOfTeams+1)</f>
        <v>1</v>
      </c>
    </row>
    <row r="22" ht="30.0" customHeight="1">
      <c r="A22" s="38" t="str">
        <f t="array" ref="A22">XLOOKUP(21,'Team and Program Information'!$B$3:$B$202,'Team and Program Information'!$C$3:$C$202,"ERROR",0)</f>
        <v/>
      </c>
      <c r="B22" s="68" t="str">
        <f t="array" ref="B22">XLOOKUP('Robot Design Input'!$A22,'Team and Program Information'!$C$3:$C$202,'Team and Program Information'!$D$3:$D$202,"",0,)</f>
        <v>#VALUE!</v>
      </c>
      <c r="C22" s="38"/>
      <c r="D22" s="38"/>
      <c r="E22" s="38"/>
      <c r="F22" s="38"/>
      <c r="G22" s="38"/>
      <c r="H22" s="38"/>
      <c r="I22" s="38"/>
      <c r="J22" s="38"/>
      <c r="K22" s="38"/>
      <c r="L22" s="38"/>
      <c r="M22" s="38">
        <f>SUM('Robot Design Input'!$C22:$L22)</f>
        <v>0</v>
      </c>
      <c r="N22" s="80">
        <f>IF('Robot Design Input'!$A22&gt;0,MIN(_xlfn.RANK.EQ('Robot Design Input'!$M22,'Robot Design Input'!$M$2:$M$201,0),NumberOfTeams),NumberOfTeams+1)</f>
        <v>1</v>
      </c>
    </row>
    <row r="23" ht="30.0" customHeight="1">
      <c r="A23" s="38" t="str">
        <f t="array" ref="A23">XLOOKUP(22,'Team and Program Information'!$B$3:$B$202,'Team and Program Information'!$C$3:$C$202,"ERROR",0)</f>
        <v/>
      </c>
      <c r="B23" s="68" t="str">
        <f t="array" ref="B23">XLOOKUP('Robot Design Input'!$A23,'Team and Program Information'!$C$3:$C$202,'Team and Program Information'!$D$3:$D$202,"",0,)</f>
        <v>#VALUE!</v>
      </c>
      <c r="C23" s="38"/>
      <c r="D23" s="38"/>
      <c r="E23" s="38"/>
      <c r="F23" s="38"/>
      <c r="G23" s="38"/>
      <c r="H23" s="38"/>
      <c r="I23" s="38"/>
      <c r="J23" s="38"/>
      <c r="K23" s="38"/>
      <c r="L23" s="38"/>
      <c r="M23" s="38">
        <f>SUM('Robot Design Input'!$C23:$L23)</f>
        <v>0</v>
      </c>
      <c r="N23" s="80">
        <f>IF('Robot Design Input'!$A23&gt;0,MIN(_xlfn.RANK.EQ('Robot Design Input'!$M23,'Robot Design Input'!$M$2:$M$201,0),NumberOfTeams),NumberOfTeams+1)</f>
        <v>1</v>
      </c>
    </row>
    <row r="24" ht="30.0" customHeight="1">
      <c r="A24" s="38" t="str">
        <f t="array" ref="A24">XLOOKUP(23,'Team and Program Information'!$B$3:$B$202,'Team and Program Information'!$C$3:$C$202,"ERROR",0)</f>
        <v/>
      </c>
      <c r="B24" s="68" t="str">
        <f t="array" ref="B24">XLOOKUP('Robot Design Input'!$A24,'Team and Program Information'!$C$3:$C$202,'Team and Program Information'!$D$3:$D$202,"",0,)</f>
        <v>#VALUE!</v>
      </c>
      <c r="C24" s="38"/>
      <c r="D24" s="38"/>
      <c r="E24" s="38"/>
      <c r="F24" s="38"/>
      <c r="G24" s="38"/>
      <c r="H24" s="38"/>
      <c r="I24" s="38"/>
      <c r="J24" s="38"/>
      <c r="K24" s="38"/>
      <c r="L24" s="38"/>
      <c r="M24" s="38">
        <f>SUM('Robot Design Input'!$C24:$L24)</f>
        <v>0</v>
      </c>
      <c r="N24" s="80">
        <f>IF('Robot Design Input'!$A24&gt;0,MIN(_xlfn.RANK.EQ('Robot Design Input'!$M24,'Robot Design Input'!$M$2:$M$201,0),NumberOfTeams),NumberOfTeams+1)</f>
        <v>1</v>
      </c>
    </row>
    <row r="25" ht="30.0" customHeight="1">
      <c r="A25" s="38" t="str">
        <f t="array" ref="A25">XLOOKUP(24,'Team and Program Information'!$B$3:$B$202,'Team and Program Information'!$C$3:$C$202,"ERROR",0)</f>
        <v/>
      </c>
      <c r="B25" s="68" t="str">
        <f t="array" ref="B25">XLOOKUP('Robot Design Input'!$A25,'Team and Program Information'!$C$3:$C$202,'Team and Program Information'!$D$3:$D$202,"",0,)</f>
        <v>#VALUE!</v>
      </c>
      <c r="C25" s="38"/>
      <c r="D25" s="38"/>
      <c r="E25" s="38"/>
      <c r="F25" s="38"/>
      <c r="G25" s="38"/>
      <c r="H25" s="38"/>
      <c r="I25" s="38"/>
      <c r="J25" s="38"/>
      <c r="K25" s="38"/>
      <c r="L25" s="38"/>
      <c r="M25" s="38">
        <f>SUM('Robot Design Input'!$C25:$L25)</f>
        <v>0</v>
      </c>
      <c r="N25" s="80">
        <f>IF('Robot Design Input'!$A25&gt;0,MIN(_xlfn.RANK.EQ('Robot Design Input'!$M25,'Robot Design Input'!$M$2:$M$201,0),NumberOfTeams),NumberOfTeams+1)</f>
        <v>1</v>
      </c>
    </row>
    <row r="26" ht="30.0" customHeight="1">
      <c r="A26" s="38" t="str">
        <f t="array" ref="A26">XLOOKUP(25,'Team and Program Information'!$B$3:$B$202,'Team and Program Information'!$C$3:$C$202,"ERROR",0)</f>
        <v/>
      </c>
      <c r="B26" s="68" t="str">
        <f t="array" ref="B26">XLOOKUP('Robot Design Input'!$A26,'Team and Program Information'!$C$3:$C$202,'Team and Program Information'!$D$3:$D$202,"",0,)</f>
        <v>#VALUE!</v>
      </c>
      <c r="C26" s="38"/>
      <c r="D26" s="38"/>
      <c r="E26" s="38"/>
      <c r="F26" s="38"/>
      <c r="G26" s="38"/>
      <c r="H26" s="38"/>
      <c r="I26" s="38"/>
      <c r="J26" s="38"/>
      <c r="K26" s="38"/>
      <c r="L26" s="38"/>
      <c r="M26" s="38">
        <f>SUM('Robot Design Input'!$C26:$L26)</f>
        <v>0</v>
      </c>
      <c r="N26" s="80">
        <f>IF('Robot Design Input'!$A26&gt;0,MIN(_xlfn.RANK.EQ('Robot Design Input'!$M26,'Robot Design Input'!$M$2:$M$201,0),NumberOfTeams),NumberOfTeams+1)</f>
        <v>1</v>
      </c>
    </row>
    <row r="27" ht="30.0" customHeight="1">
      <c r="A27" s="38" t="str">
        <f t="array" ref="A27">XLOOKUP(26,'Team and Program Information'!$B$3:$B$202,'Team and Program Information'!$C$3:$C$202,"ERROR",0)</f>
        <v/>
      </c>
      <c r="B27" s="68" t="str">
        <f t="array" ref="B27">XLOOKUP('Robot Design Input'!$A27,'Team and Program Information'!$C$3:$C$202,'Team and Program Information'!$D$3:$D$202,"",0,)</f>
        <v>#VALUE!</v>
      </c>
      <c r="C27" s="38"/>
      <c r="D27" s="38"/>
      <c r="E27" s="38"/>
      <c r="F27" s="38"/>
      <c r="G27" s="38"/>
      <c r="H27" s="38"/>
      <c r="I27" s="38"/>
      <c r="J27" s="38"/>
      <c r="K27" s="38"/>
      <c r="L27" s="38"/>
      <c r="M27" s="38">
        <f>SUM('Robot Design Input'!$C27:$L27)</f>
        <v>0</v>
      </c>
      <c r="N27" s="80">
        <f>IF('Robot Design Input'!$A27&gt;0,MIN(_xlfn.RANK.EQ('Robot Design Input'!$M27,'Robot Design Input'!$M$2:$M$201,0),NumberOfTeams),NumberOfTeams+1)</f>
        <v>1</v>
      </c>
    </row>
    <row r="28" ht="30.0" customHeight="1">
      <c r="A28" s="38" t="str">
        <f t="array" ref="A28">XLOOKUP(27,'Team and Program Information'!$B$3:$B$202,'Team and Program Information'!$C$3:$C$202,"ERROR",0)</f>
        <v/>
      </c>
      <c r="B28" s="68" t="str">
        <f t="array" ref="B28">XLOOKUP('Robot Design Input'!$A28,'Team and Program Information'!$C$3:$C$202,'Team and Program Information'!$D$3:$D$202,"",0,)</f>
        <v>#VALUE!</v>
      </c>
      <c r="C28" s="38"/>
      <c r="D28" s="38"/>
      <c r="E28" s="38"/>
      <c r="F28" s="38"/>
      <c r="G28" s="38"/>
      <c r="H28" s="38"/>
      <c r="I28" s="38"/>
      <c r="J28" s="38"/>
      <c r="K28" s="38"/>
      <c r="L28" s="38"/>
      <c r="M28" s="38">
        <f>SUM('Robot Design Input'!$C28:$L28)</f>
        <v>0</v>
      </c>
      <c r="N28" s="80">
        <f>IF('Robot Design Input'!$A28&gt;0,MIN(_xlfn.RANK.EQ('Robot Design Input'!$M28,'Robot Design Input'!$M$2:$M$201,0),NumberOfTeams),NumberOfTeams+1)</f>
        <v>1</v>
      </c>
    </row>
    <row r="29" ht="30.0" customHeight="1">
      <c r="A29" s="38" t="str">
        <f t="array" ref="A29">XLOOKUP(28,'Team and Program Information'!$B$3:$B$202,'Team and Program Information'!$C$3:$C$202,"ERROR",0)</f>
        <v/>
      </c>
      <c r="B29" s="68" t="str">
        <f t="array" ref="B29">XLOOKUP('Robot Design Input'!$A29,'Team and Program Information'!$C$3:$C$202,'Team and Program Information'!$D$3:$D$202,"",0,)</f>
        <v>#VALUE!</v>
      </c>
      <c r="C29" s="38"/>
      <c r="D29" s="38"/>
      <c r="E29" s="38"/>
      <c r="F29" s="38"/>
      <c r="G29" s="38"/>
      <c r="H29" s="38"/>
      <c r="I29" s="38"/>
      <c r="J29" s="38"/>
      <c r="K29" s="38"/>
      <c r="L29" s="38"/>
      <c r="M29" s="38">
        <f>SUM('Robot Design Input'!$C29:$L29)</f>
        <v>0</v>
      </c>
      <c r="N29" s="80">
        <f>IF('Robot Design Input'!$A29&gt;0,MIN(_xlfn.RANK.EQ('Robot Design Input'!$M29,'Robot Design Input'!$M$2:$M$201,0),NumberOfTeams),NumberOfTeams+1)</f>
        <v>1</v>
      </c>
    </row>
    <row r="30" ht="30.0" customHeight="1">
      <c r="A30" s="38" t="str">
        <f t="array" ref="A30">XLOOKUP(29,'Team and Program Information'!$B$3:$B$202,'Team and Program Information'!$C$3:$C$202,"ERROR",0)</f>
        <v/>
      </c>
      <c r="B30" s="68" t="str">
        <f t="array" ref="B30">XLOOKUP('Robot Design Input'!$A30,'Team and Program Information'!$C$3:$C$202,'Team and Program Information'!$D$3:$D$202,"",0,)</f>
        <v>#VALUE!</v>
      </c>
      <c r="C30" s="38"/>
      <c r="D30" s="38"/>
      <c r="E30" s="38"/>
      <c r="F30" s="38"/>
      <c r="G30" s="38"/>
      <c r="H30" s="38"/>
      <c r="I30" s="38"/>
      <c r="J30" s="38"/>
      <c r="K30" s="38"/>
      <c r="L30" s="38"/>
      <c r="M30" s="38">
        <f>SUM('Robot Design Input'!$C30:$L30)</f>
        <v>0</v>
      </c>
      <c r="N30" s="80">
        <f>IF('Robot Design Input'!$A30&gt;0,MIN(_xlfn.RANK.EQ('Robot Design Input'!$M30,'Robot Design Input'!$M$2:$M$201,0),NumberOfTeams),NumberOfTeams+1)</f>
        <v>1</v>
      </c>
    </row>
    <row r="31" ht="30.0" customHeight="1">
      <c r="A31" s="38" t="str">
        <f t="array" ref="A31">XLOOKUP(30,'Team and Program Information'!$B$3:$B$202,'Team and Program Information'!$C$3:$C$202,"ERROR",0)</f>
        <v/>
      </c>
      <c r="B31" s="68" t="str">
        <f t="array" ref="B31">XLOOKUP('Robot Design Input'!$A31,'Team and Program Information'!$C$3:$C$202,'Team and Program Information'!$D$3:$D$202,"",0,)</f>
        <v>#VALUE!</v>
      </c>
      <c r="C31" s="38"/>
      <c r="D31" s="38"/>
      <c r="E31" s="38"/>
      <c r="F31" s="38"/>
      <c r="G31" s="38"/>
      <c r="H31" s="38"/>
      <c r="I31" s="38"/>
      <c r="J31" s="38"/>
      <c r="K31" s="38"/>
      <c r="L31" s="38"/>
      <c r="M31" s="38">
        <f>SUM('Robot Design Input'!$C31:$L31)</f>
        <v>0</v>
      </c>
      <c r="N31" s="80">
        <f>IF('Robot Design Input'!$A31&gt;0,MIN(_xlfn.RANK.EQ('Robot Design Input'!$M31,'Robot Design Input'!$M$2:$M$201,0),NumberOfTeams),NumberOfTeams+1)</f>
        <v>1</v>
      </c>
    </row>
    <row r="32" ht="30.0" customHeight="1">
      <c r="A32" s="38" t="str">
        <f t="array" ref="A32">XLOOKUP(31,'Team and Program Information'!$B$3:$B$202,'Team and Program Information'!$C$3:$C$202,"ERROR",0)</f>
        <v/>
      </c>
      <c r="B32" s="68" t="str">
        <f t="array" ref="B32">XLOOKUP('Robot Design Input'!$A32,'Team and Program Information'!$C$3:$C$202,'Team and Program Information'!$D$3:$D$202,"",0,)</f>
        <v>#VALUE!</v>
      </c>
      <c r="C32" s="38"/>
      <c r="D32" s="38"/>
      <c r="E32" s="38"/>
      <c r="F32" s="38"/>
      <c r="G32" s="38"/>
      <c r="H32" s="38"/>
      <c r="I32" s="38"/>
      <c r="J32" s="38"/>
      <c r="K32" s="38"/>
      <c r="L32" s="38"/>
      <c r="M32" s="38">
        <f>SUM('Robot Design Input'!$C32:$L32)</f>
        <v>0</v>
      </c>
      <c r="N32" s="80">
        <f>IF('Robot Design Input'!$A32&gt;0,MIN(_xlfn.RANK.EQ('Robot Design Input'!$M32,'Robot Design Input'!$M$2:$M$201,0),NumberOfTeams),NumberOfTeams+1)</f>
        <v>1</v>
      </c>
    </row>
    <row r="33" ht="30.0" customHeight="1">
      <c r="A33" s="38" t="str">
        <f t="array" ref="A33">XLOOKUP(32,'Team and Program Information'!$B$3:$B$202,'Team and Program Information'!$C$3:$C$202,"ERROR",0)</f>
        <v/>
      </c>
      <c r="B33" s="68" t="str">
        <f t="array" ref="B33">XLOOKUP('Robot Design Input'!$A33,'Team and Program Information'!$C$3:$C$202,'Team and Program Information'!$D$3:$D$202,"",0,)</f>
        <v>#VALUE!</v>
      </c>
      <c r="C33" s="38"/>
      <c r="D33" s="38"/>
      <c r="E33" s="38"/>
      <c r="F33" s="38"/>
      <c r="G33" s="38"/>
      <c r="H33" s="38"/>
      <c r="I33" s="38"/>
      <c r="J33" s="38"/>
      <c r="K33" s="38"/>
      <c r="L33" s="38"/>
      <c r="M33" s="38">
        <f>SUM('Robot Design Input'!$C33:$L33)</f>
        <v>0</v>
      </c>
      <c r="N33" s="80">
        <f>IF('Robot Design Input'!$A33&gt;0,MIN(_xlfn.RANK.EQ('Robot Design Input'!$M33,'Robot Design Input'!$M$2:$M$201,0),NumberOfTeams),NumberOfTeams+1)</f>
        <v>1</v>
      </c>
    </row>
    <row r="34" ht="30.0" customHeight="1">
      <c r="A34" s="38" t="str">
        <f t="array" ref="A34">XLOOKUP(33,'Team and Program Information'!$B$3:$B$202,'Team and Program Information'!$C$3:$C$202,"ERROR",0)</f>
        <v/>
      </c>
      <c r="B34" s="68" t="str">
        <f t="array" ref="B34">XLOOKUP('Robot Design Input'!$A34,'Team and Program Information'!$C$3:$C$202,'Team and Program Information'!$D$3:$D$202,"",0,)</f>
        <v>#VALUE!</v>
      </c>
      <c r="C34" s="38"/>
      <c r="D34" s="38"/>
      <c r="E34" s="38"/>
      <c r="F34" s="38"/>
      <c r="G34" s="38"/>
      <c r="H34" s="38"/>
      <c r="I34" s="38"/>
      <c r="J34" s="38"/>
      <c r="K34" s="38"/>
      <c r="L34" s="38"/>
      <c r="M34" s="38">
        <f>SUM('Robot Design Input'!$C34:$L34)</f>
        <v>0</v>
      </c>
      <c r="N34" s="80">
        <f>IF('Robot Design Input'!$A34&gt;0,MIN(_xlfn.RANK.EQ('Robot Design Input'!$M34,'Robot Design Input'!$M$2:$M$201,0),NumberOfTeams),NumberOfTeams+1)</f>
        <v>1</v>
      </c>
    </row>
    <row r="35" ht="30.0" customHeight="1">
      <c r="A35" s="38" t="str">
        <f t="array" ref="A35">XLOOKUP(34,'Team and Program Information'!$B$3:$B$202,'Team and Program Information'!$C$3:$C$202,"ERROR",0)</f>
        <v/>
      </c>
      <c r="B35" s="68" t="str">
        <f t="array" ref="B35">XLOOKUP('Robot Design Input'!$A35,'Team and Program Information'!$C$3:$C$202,'Team and Program Information'!$D$3:$D$202,"",0,)</f>
        <v>#VALUE!</v>
      </c>
      <c r="C35" s="38"/>
      <c r="D35" s="38"/>
      <c r="E35" s="38"/>
      <c r="F35" s="38"/>
      <c r="G35" s="38"/>
      <c r="H35" s="38"/>
      <c r="I35" s="38"/>
      <c r="J35" s="38"/>
      <c r="K35" s="38"/>
      <c r="L35" s="38"/>
      <c r="M35" s="38">
        <f>SUM('Robot Design Input'!$C35:$L35)</f>
        <v>0</v>
      </c>
      <c r="N35" s="80">
        <f>IF('Robot Design Input'!$A35&gt;0,MIN(_xlfn.RANK.EQ('Robot Design Input'!$M35,'Robot Design Input'!$M$2:$M$201,0),NumberOfTeams),NumberOfTeams+1)</f>
        <v>1</v>
      </c>
    </row>
    <row r="36" ht="30.0" customHeight="1">
      <c r="A36" s="38" t="str">
        <f t="array" ref="A36">XLOOKUP(35,'Team and Program Information'!$B$3:$B$202,'Team and Program Information'!$C$3:$C$202,"ERROR",0)</f>
        <v/>
      </c>
      <c r="B36" s="68" t="str">
        <f t="array" ref="B36">XLOOKUP('Robot Design Input'!$A36,'Team and Program Information'!$C$3:$C$202,'Team and Program Information'!$D$3:$D$202,"",0,)</f>
        <v>#VALUE!</v>
      </c>
      <c r="C36" s="38"/>
      <c r="D36" s="38"/>
      <c r="E36" s="38"/>
      <c r="F36" s="38"/>
      <c r="G36" s="38"/>
      <c r="H36" s="38"/>
      <c r="I36" s="38"/>
      <c r="J36" s="38"/>
      <c r="K36" s="38"/>
      <c r="L36" s="38"/>
      <c r="M36" s="38">
        <f>SUM('Robot Design Input'!$C36:$L36)</f>
        <v>0</v>
      </c>
      <c r="N36" s="80">
        <f>IF('Robot Design Input'!$A36&gt;0,MIN(_xlfn.RANK.EQ('Robot Design Input'!$M36,'Robot Design Input'!$M$2:$M$201,0),NumberOfTeams),NumberOfTeams+1)</f>
        <v>1</v>
      </c>
    </row>
    <row r="37" ht="30.0" customHeight="1">
      <c r="A37" s="38" t="str">
        <f t="array" ref="A37">XLOOKUP(36,'Team and Program Information'!$B$3:$B$202,'Team and Program Information'!$C$3:$C$202,"ERROR",0)</f>
        <v/>
      </c>
      <c r="B37" s="68" t="str">
        <f t="array" ref="B37">XLOOKUP('Robot Design Input'!$A37,'Team and Program Information'!$C$3:$C$202,'Team and Program Information'!$D$3:$D$202,"",0,)</f>
        <v>#VALUE!</v>
      </c>
      <c r="C37" s="38"/>
      <c r="D37" s="38"/>
      <c r="E37" s="38"/>
      <c r="F37" s="38"/>
      <c r="G37" s="38"/>
      <c r="H37" s="38"/>
      <c r="I37" s="38"/>
      <c r="J37" s="38"/>
      <c r="K37" s="38"/>
      <c r="L37" s="38"/>
      <c r="M37" s="38">
        <f>SUM('Robot Design Input'!$C37:$L37)</f>
        <v>0</v>
      </c>
      <c r="N37" s="80">
        <f>IF('Robot Design Input'!$A37&gt;0,MIN(_xlfn.RANK.EQ('Robot Design Input'!$M37,'Robot Design Input'!$M$2:$M$201,0),NumberOfTeams),NumberOfTeams+1)</f>
        <v>1</v>
      </c>
    </row>
    <row r="38" ht="30.0" customHeight="1">
      <c r="A38" s="38" t="str">
        <f t="array" ref="A38">XLOOKUP(37,'Team and Program Information'!$B$3:$B$202,'Team and Program Information'!$C$3:$C$202,"ERROR",0)</f>
        <v/>
      </c>
      <c r="B38" s="68" t="str">
        <f t="array" ref="B38">XLOOKUP('Robot Design Input'!$A38,'Team and Program Information'!$C$3:$C$202,'Team and Program Information'!$D$3:$D$202,"",0,)</f>
        <v>#VALUE!</v>
      </c>
      <c r="C38" s="38"/>
      <c r="D38" s="38"/>
      <c r="E38" s="38"/>
      <c r="F38" s="38"/>
      <c r="G38" s="38"/>
      <c r="H38" s="38"/>
      <c r="I38" s="38"/>
      <c r="J38" s="38"/>
      <c r="K38" s="38"/>
      <c r="L38" s="38"/>
      <c r="M38" s="38">
        <f>SUM('Robot Design Input'!$C38:$L38)</f>
        <v>0</v>
      </c>
      <c r="N38" s="80">
        <f>IF('Robot Design Input'!$A38&gt;0,MIN(_xlfn.RANK.EQ('Robot Design Input'!$M38,'Robot Design Input'!$M$2:$M$201,0),NumberOfTeams),NumberOfTeams+1)</f>
        <v>1</v>
      </c>
    </row>
    <row r="39" ht="30.0" customHeight="1">
      <c r="A39" s="38" t="str">
        <f t="array" ref="A39">XLOOKUP(38,'Team and Program Information'!$B$3:$B$202,'Team and Program Information'!$C$3:$C$202,"ERROR",0)</f>
        <v/>
      </c>
      <c r="B39" s="68" t="str">
        <f t="array" ref="B39">XLOOKUP('Robot Design Input'!$A39,'Team and Program Information'!$C$3:$C$202,'Team and Program Information'!$D$3:$D$202,"",0,)</f>
        <v>#VALUE!</v>
      </c>
      <c r="C39" s="38"/>
      <c r="D39" s="38"/>
      <c r="E39" s="38"/>
      <c r="F39" s="38"/>
      <c r="G39" s="38"/>
      <c r="H39" s="38"/>
      <c r="I39" s="38"/>
      <c r="J39" s="38"/>
      <c r="K39" s="38"/>
      <c r="L39" s="38"/>
      <c r="M39" s="38">
        <f>SUM('Robot Design Input'!$C39:$L39)</f>
        <v>0</v>
      </c>
      <c r="N39" s="80">
        <f>IF('Robot Design Input'!$A39&gt;0,MIN(_xlfn.RANK.EQ('Robot Design Input'!$M39,'Robot Design Input'!$M$2:$M$201,0),NumberOfTeams),NumberOfTeams+1)</f>
        <v>1</v>
      </c>
    </row>
    <row r="40" ht="30.0" customHeight="1">
      <c r="A40" s="38" t="str">
        <f t="array" ref="A40">XLOOKUP(39,'Team and Program Information'!$B$3:$B$202,'Team and Program Information'!$C$3:$C$202,"ERROR",0)</f>
        <v/>
      </c>
      <c r="B40" s="68" t="str">
        <f t="array" ref="B40">XLOOKUP('Robot Design Input'!$A40,'Team and Program Information'!$C$3:$C$202,'Team and Program Information'!$D$3:$D$202,"",0,)</f>
        <v>#VALUE!</v>
      </c>
      <c r="C40" s="38"/>
      <c r="D40" s="38"/>
      <c r="E40" s="38"/>
      <c r="F40" s="38"/>
      <c r="G40" s="38"/>
      <c r="H40" s="38"/>
      <c r="I40" s="38"/>
      <c r="J40" s="38"/>
      <c r="K40" s="38"/>
      <c r="L40" s="38"/>
      <c r="M40" s="38">
        <f>SUM('Robot Design Input'!$C40:$L40)</f>
        <v>0</v>
      </c>
      <c r="N40" s="80">
        <f>IF('Robot Design Input'!$A40&gt;0,MIN(_xlfn.RANK.EQ('Robot Design Input'!$M40,'Robot Design Input'!$M$2:$M$201,0),NumberOfTeams),NumberOfTeams+1)</f>
        <v>1</v>
      </c>
    </row>
    <row r="41" ht="30.0" customHeight="1">
      <c r="A41" s="38" t="str">
        <f t="array" ref="A41">XLOOKUP(40,'Team and Program Information'!$B$3:$B$202,'Team and Program Information'!$C$3:$C$202,"ERROR",0)</f>
        <v/>
      </c>
      <c r="B41" s="68" t="str">
        <f t="array" ref="B41">XLOOKUP('Robot Design Input'!$A41,'Team and Program Information'!$C$3:$C$202,'Team and Program Information'!$D$3:$D$202,"",0,)</f>
        <v>#VALUE!</v>
      </c>
      <c r="C41" s="38"/>
      <c r="D41" s="38"/>
      <c r="E41" s="38"/>
      <c r="F41" s="38"/>
      <c r="G41" s="38"/>
      <c r="H41" s="38"/>
      <c r="I41" s="38"/>
      <c r="J41" s="38"/>
      <c r="K41" s="38"/>
      <c r="L41" s="38"/>
      <c r="M41" s="38">
        <f>SUM('Robot Design Input'!$C41:$L41)</f>
        <v>0</v>
      </c>
      <c r="N41" s="80">
        <f>IF('Robot Design Input'!$A41&gt;0,MIN(_xlfn.RANK.EQ('Robot Design Input'!$M41,'Robot Design Input'!$M$2:$M$201,0),NumberOfTeams),NumberOfTeams+1)</f>
        <v>1</v>
      </c>
    </row>
    <row r="42" ht="30.0" customHeight="1">
      <c r="A42" s="38" t="str">
        <f t="array" ref="A42">XLOOKUP(41,'Team and Program Information'!$B$3:$B$202,'Team and Program Information'!$C$3:$C$202,"ERROR",0)</f>
        <v/>
      </c>
      <c r="B42" s="68" t="str">
        <f t="array" ref="B42">XLOOKUP('Robot Design Input'!$A42,'Team and Program Information'!$C$3:$C$202,'Team and Program Information'!$D$3:$D$202,"",0,)</f>
        <v>#VALUE!</v>
      </c>
      <c r="C42" s="38"/>
      <c r="D42" s="38"/>
      <c r="E42" s="38"/>
      <c r="F42" s="38"/>
      <c r="G42" s="38"/>
      <c r="H42" s="38"/>
      <c r="I42" s="38"/>
      <c r="J42" s="38"/>
      <c r="K42" s="38"/>
      <c r="L42" s="38"/>
      <c r="M42" s="38">
        <f>SUM('Robot Design Input'!$C42:$L42)</f>
        <v>0</v>
      </c>
      <c r="N42" s="80">
        <f>IF('Robot Design Input'!$A42&gt;0,MIN(_xlfn.RANK.EQ('Robot Design Input'!$M42,'Robot Design Input'!$M$2:$M$201,0),NumberOfTeams),NumberOfTeams+1)</f>
        <v>1</v>
      </c>
    </row>
    <row r="43" ht="30.0" customHeight="1">
      <c r="A43" s="38" t="str">
        <f t="array" ref="A43">XLOOKUP(42,'Team and Program Information'!$B$3:$B$202,'Team and Program Information'!$C$3:$C$202,"ERROR",0)</f>
        <v/>
      </c>
      <c r="B43" s="68" t="str">
        <f t="array" ref="B43">XLOOKUP('Robot Design Input'!$A43,'Team and Program Information'!$C$3:$C$202,'Team and Program Information'!$D$3:$D$202,"",0,)</f>
        <v>#VALUE!</v>
      </c>
      <c r="C43" s="38"/>
      <c r="D43" s="38"/>
      <c r="E43" s="38"/>
      <c r="F43" s="38"/>
      <c r="G43" s="38"/>
      <c r="H43" s="38"/>
      <c r="I43" s="38"/>
      <c r="J43" s="38"/>
      <c r="K43" s="38"/>
      <c r="L43" s="38"/>
      <c r="M43" s="38">
        <f>SUM('Robot Design Input'!$C43:$L43)</f>
        <v>0</v>
      </c>
      <c r="N43" s="80">
        <f>IF('Robot Design Input'!$A43&gt;0,MIN(_xlfn.RANK.EQ('Robot Design Input'!$M43,'Robot Design Input'!$M$2:$M$201,0),NumberOfTeams),NumberOfTeams+1)</f>
        <v>1</v>
      </c>
    </row>
    <row r="44" ht="30.0" customHeight="1">
      <c r="A44" s="38" t="str">
        <f t="array" ref="A44">XLOOKUP(43,'Team and Program Information'!$B$3:$B$202,'Team and Program Information'!$C$3:$C$202,"ERROR",0)</f>
        <v/>
      </c>
      <c r="B44" s="68" t="str">
        <f t="array" ref="B44">XLOOKUP('Robot Design Input'!$A44,'Team and Program Information'!$C$3:$C$202,'Team and Program Information'!$D$3:$D$202,"",0,)</f>
        <v>#VALUE!</v>
      </c>
      <c r="C44" s="38"/>
      <c r="D44" s="38"/>
      <c r="E44" s="38"/>
      <c r="F44" s="38"/>
      <c r="G44" s="38"/>
      <c r="H44" s="38"/>
      <c r="I44" s="38"/>
      <c r="J44" s="38"/>
      <c r="K44" s="38"/>
      <c r="L44" s="38"/>
      <c r="M44" s="38">
        <f>SUM('Robot Design Input'!$C44:$L44)</f>
        <v>0</v>
      </c>
      <c r="N44" s="80">
        <f>IF('Robot Design Input'!$A44&gt;0,MIN(_xlfn.RANK.EQ('Robot Design Input'!$M44,'Robot Design Input'!$M$2:$M$201,0),NumberOfTeams),NumberOfTeams+1)</f>
        <v>1</v>
      </c>
    </row>
    <row r="45" ht="30.0" customHeight="1">
      <c r="A45" s="38" t="str">
        <f t="array" ref="A45">XLOOKUP(44,'Team and Program Information'!$B$3:$B$202,'Team and Program Information'!$C$3:$C$202,"ERROR",0)</f>
        <v/>
      </c>
      <c r="B45" s="68" t="str">
        <f t="array" ref="B45">XLOOKUP('Robot Design Input'!$A45,'Team and Program Information'!$C$3:$C$202,'Team and Program Information'!$D$3:$D$202,"",0,)</f>
        <v>#VALUE!</v>
      </c>
      <c r="C45" s="38"/>
      <c r="D45" s="38"/>
      <c r="E45" s="38"/>
      <c r="F45" s="38"/>
      <c r="G45" s="38"/>
      <c r="H45" s="38"/>
      <c r="I45" s="38"/>
      <c r="J45" s="38"/>
      <c r="K45" s="38"/>
      <c r="L45" s="38"/>
      <c r="M45" s="38">
        <f>SUM('Robot Design Input'!$C45:$L45)</f>
        <v>0</v>
      </c>
      <c r="N45" s="80">
        <f>IF('Robot Design Input'!$A45&gt;0,MIN(_xlfn.RANK.EQ('Robot Design Input'!$M45,'Robot Design Input'!$M$2:$M$201,0),NumberOfTeams),NumberOfTeams+1)</f>
        <v>1</v>
      </c>
    </row>
    <row r="46" ht="30.0" customHeight="1">
      <c r="A46" s="38" t="str">
        <f t="array" ref="A46">XLOOKUP(45,'Team and Program Information'!$B$3:$B$202,'Team and Program Information'!$C$3:$C$202,"ERROR",0)</f>
        <v/>
      </c>
      <c r="B46" s="68" t="str">
        <f t="array" ref="B46">XLOOKUP('Robot Design Input'!$A46,'Team and Program Information'!$C$3:$C$202,'Team and Program Information'!$D$3:$D$202,"",0,)</f>
        <v>#VALUE!</v>
      </c>
      <c r="C46" s="38"/>
      <c r="D46" s="38"/>
      <c r="E46" s="38"/>
      <c r="F46" s="38"/>
      <c r="G46" s="38"/>
      <c r="H46" s="38"/>
      <c r="I46" s="38"/>
      <c r="J46" s="38"/>
      <c r="K46" s="38"/>
      <c r="L46" s="38"/>
      <c r="M46" s="38">
        <f>SUM('Robot Design Input'!$C46:$L46)</f>
        <v>0</v>
      </c>
      <c r="N46" s="80">
        <f>IF('Robot Design Input'!$A46&gt;0,MIN(_xlfn.RANK.EQ('Robot Design Input'!$M46,'Robot Design Input'!$M$2:$M$201,0),NumberOfTeams),NumberOfTeams+1)</f>
        <v>1</v>
      </c>
    </row>
    <row r="47" ht="30.0" customHeight="1">
      <c r="A47" s="38" t="str">
        <f t="array" ref="A47">XLOOKUP(46,'Team and Program Information'!$B$3:$B$202,'Team and Program Information'!$C$3:$C$202,"ERROR",0)</f>
        <v/>
      </c>
      <c r="B47" s="68" t="str">
        <f t="array" ref="B47">XLOOKUP('Robot Design Input'!$A47,'Team and Program Information'!$C$3:$C$202,'Team and Program Information'!$D$3:$D$202,"",0,)</f>
        <v>#VALUE!</v>
      </c>
      <c r="C47" s="38"/>
      <c r="D47" s="38"/>
      <c r="E47" s="38"/>
      <c r="F47" s="38"/>
      <c r="G47" s="38"/>
      <c r="H47" s="38"/>
      <c r="I47" s="38"/>
      <c r="J47" s="38"/>
      <c r="K47" s="38"/>
      <c r="L47" s="38"/>
      <c r="M47" s="38">
        <f>SUM('Robot Design Input'!$C47:$L47)</f>
        <v>0</v>
      </c>
      <c r="N47" s="80">
        <f>IF('Robot Design Input'!$A47&gt;0,MIN(_xlfn.RANK.EQ('Robot Design Input'!$M47,'Robot Design Input'!$M$2:$M$201,0),NumberOfTeams),NumberOfTeams+1)</f>
        <v>1</v>
      </c>
    </row>
    <row r="48" ht="30.0" customHeight="1">
      <c r="A48" s="38" t="str">
        <f t="array" ref="A48">XLOOKUP(47,'Team and Program Information'!$B$3:$B$202,'Team and Program Information'!$C$3:$C$202,"ERROR",0)</f>
        <v/>
      </c>
      <c r="B48" s="68" t="str">
        <f t="array" ref="B48">XLOOKUP('Robot Design Input'!$A48,'Team and Program Information'!$C$3:$C$202,'Team and Program Information'!$D$3:$D$202,"",0,)</f>
        <v>#VALUE!</v>
      </c>
      <c r="C48" s="38"/>
      <c r="D48" s="38"/>
      <c r="E48" s="38"/>
      <c r="F48" s="38"/>
      <c r="G48" s="38"/>
      <c r="H48" s="38"/>
      <c r="I48" s="38"/>
      <c r="J48" s="38"/>
      <c r="K48" s="38"/>
      <c r="L48" s="38"/>
      <c r="M48" s="38">
        <f>SUM('Robot Design Input'!$C48:$L48)</f>
        <v>0</v>
      </c>
      <c r="N48" s="80">
        <f>IF('Robot Design Input'!$A48&gt;0,MIN(_xlfn.RANK.EQ('Robot Design Input'!$M48,'Robot Design Input'!$M$2:$M$201,0),NumberOfTeams),NumberOfTeams+1)</f>
        <v>1</v>
      </c>
    </row>
    <row r="49" ht="30.0" customHeight="1">
      <c r="A49" s="38" t="str">
        <f t="array" ref="A49">XLOOKUP(48,'Team and Program Information'!$B$3:$B$202,'Team and Program Information'!$C$3:$C$202,"ERROR",0)</f>
        <v/>
      </c>
      <c r="B49" s="68" t="str">
        <f t="array" ref="B49">XLOOKUP('Robot Design Input'!$A49,'Team and Program Information'!$C$3:$C$202,'Team and Program Information'!$D$3:$D$202,"",0,)</f>
        <v>#VALUE!</v>
      </c>
      <c r="C49" s="38"/>
      <c r="D49" s="38"/>
      <c r="E49" s="38"/>
      <c r="F49" s="38"/>
      <c r="G49" s="38"/>
      <c r="H49" s="38"/>
      <c r="I49" s="38"/>
      <c r="J49" s="38"/>
      <c r="K49" s="38"/>
      <c r="L49" s="38"/>
      <c r="M49" s="38">
        <f>SUM('Robot Design Input'!$C49:$L49)</f>
        <v>0</v>
      </c>
      <c r="N49" s="80">
        <f>IF('Robot Design Input'!$A49&gt;0,MIN(_xlfn.RANK.EQ('Robot Design Input'!$M49,'Robot Design Input'!$M$2:$M$201,0),NumberOfTeams),NumberOfTeams+1)</f>
        <v>1</v>
      </c>
    </row>
    <row r="50" ht="30.0" customHeight="1">
      <c r="A50" s="38" t="str">
        <f t="array" ref="A50">XLOOKUP(49,'Team and Program Information'!$B$3:$B$202,'Team and Program Information'!$C$3:$C$202,"ERROR",0)</f>
        <v/>
      </c>
      <c r="B50" s="68" t="str">
        <f t="array" ref="B50">XLOOKUP('Robot Design Input'!$A50,'Team and Program Information'!$C$3:$C$202,'Team and Program Information'!$D$3:$D$202,"",0,)</f>
        <v>#VALUE!</v>
      </c>
      <c r="C50" s="38"/>
      <c r="D50" s="38"/>
      <c r="E50" s="38"/>
      <c r="F50" s="38"/>
      <c r="G50" s="38"/>
      <c r="H50" s="38"/>
      <c r="I50" s="38"/>
      <c r="J50" s="38"/>
      <c r="K50" s="38"/>
      <c r="L50" s="38"/>
      <c r="M50" s="38">
        <f>SUM('Robot Design Input'!$C50:$L50)</f>
        <v>0</v>
      </c>
      <c r="N50" s="80">
        <f>IF('Robot Design Input'!$A50&gt;0,MIN(_xlfn.RANK.EQ('Robot Design Input'!$M50,'Robot Design Input'!$M$2:$M$201,0),NumberOfTeams),NumberOfTeams+1)</f>
        <v>1</v>
      </c>
    </row>
    <row r="51" ht="30.0" customHeight="1">
      <c r="A51" s="38" t="str">
        <f t="array" ref="A51">XLOOKUP(50,'Team and Program Information'!$B$3:$B$202,'Team and Program Information'!$C$3:$C$202,"ERROR",0)</f>
        <v/>
      </c>
      <c r="B51" s="68" t="str">
        <f t="array" ref="B51">XLOOKUP('Robot Design Input'!$A51,'Team and Program Information'!$C$3:$C$202,'Team and Program Information'!$D$3:$D$202,"",0,)</f>
        <v>#VALUE!</v>
      </c>
      <c r="C51" s="38"/>
      <c r="D51" s="38"/>
      <c r="E51" s="38"/>
      <c r="F51" s="38"/>
      <c r="G51" s="38"/>
      <c r="H51" s="38"/>
      <c r="I51" s="38"/>
      <c r="J51" s="38"/>
      <c r="K51" s="38"/>
      <c r="L51" s="38"/>
      <c r="M51" s="38">
        <f>SUM('Robot Design Input'!$C51:$L51)</f>
        <v>0</v>
      </c>
      <c r="N51" s="80">
        <f>IF('Robot Design Input'!$A51&gt;0,MIN(_xlfn.RANK.EQ('Robot Design Input'!$M51,'Robot Design Input'!$M$2:$M$201,0),NumberOfTeams),NumberOfTeams+1)</f>
        <v>1</v>
      </c>
    </row>
    <row r="52" ht="30.0" customHeight="1">
      <c r="A52" s="38" t="str">
        <f t="array" ref="A52">XLOOKUP(51,'Team and Program Information'!$B$3:$B$202,'Team and Program Information'!$C$3:$C$202,"ERROR",0)</f>
        <v/>
      </c>
      <c r="B52" s="68" t="str">
        <f t="array" ref="B52">XLOOKUP('Robot Design Input'!$A52,'Team and Program Information'!$C$3:$C$202,'Team and Program Information'!$D$3:$D$202,"",0,)</f>
        <v>#VALUE!</v>
      </c>
      <c r="C52" s="38"/>
      <c r="D52" s="38"/>
      <c r="E52" s="38"/>
      <c r="F52" s="38"/>
      <c r="G52" s="38"/>
      <c r="H52" s="38"/>
      <c r="I52" s="38"/>
      <c r="J52" s="38"/>
      <c r="K52" s="38"/>
      <c r="L52" s="38"/>
      <c r="M52" s="38">
        <f>SUM('Robot Design Input'!$C52:$L52)</f>
        <v>0</v>
      </c>
      <c r="N52" s="80">
        <f>IF('Robot Design Input'!$A52&gt;0,MIN(_xlfn.RANK.EQ('Robot Design Input'!$M52,'Robot Design Input'!$M$2:$M$201,0),NumberOfTeams),NumberOfTeams+1)</f>
        <v>1</v>
      </c>
    </row>
    <row r="53" ht="30.0" customHeight="1">
      <c r="A53" s="38" t="str">
        <f t="array" ref="A53">XLOOKUP(52,'Team and Program Information'!$B$3:$B$202,'Team and Program Information'!$C$3:$C$202,"ERROR",0)</f>
        <v/>
      </c>
      <c r="B53" s="68" t="str">
        <f t="array" ref="B53">XLOOKUP('Robot Design Input'!$A53,'Team and Program Information'!$C$3:$C$202,'Team and Program Information'!$D$3:$D$202,"",0,)</f>
        <v>#VALUE!</v>
      </c>
      <c r="C53" s="38"/>
      <c r="D53" s="38"/>
      <c r="E53" s="38"/>
      <c r="F53" s="38"/>
      <c r="G53" s="38"/>
      <c r="H53" s="38"/>
      <c r="I53" s="38"/>
      <c r="J53" s="38"/>
      <c r="K53" s="38"/>
      <c r="L53" s="38"/>
      <c r="M53" s="38">
        <f>SUM('Robot Design Input'!$C53:$L53)</f>
        <v>0</v>
      </c>
      <c r="N53" s="80">
        <f>IF('Robot Design Input'!$A53&gt;0,MIN(_xlfn.RANK.EQ('Robot Design Input'!$M53,'Robot Design Input'!$M$2:$M$201,0),NumberOfTeams),NumberOfTeams+1)</f>
        <v>1</v>
      </c>
    </row>
    <row r="54" ht="30.0" customHeight="1">
      <c r="A54" s="38" t="str">
        <f t="array" ref="A54">XLOOKUP(53,'Team and Program Information'!$B$3:$B$202,'Team and Program Information'!$C$3:$C$202,"ERROR",0)</f>
        <v/>
      </c>
      <c r="B54" s="68" t="str">
        <f t="array" ref="B54">XLOOKUP('Robot Design Input'!$A54,'Team and Program Information'!$C$3:$C$202,'Team and Program Information'!$D$3:$D$202,"",0,)</f>
        <v>#VALUE!</v>
      </c>
      <c r="C54" s="38"/>
      <c r="D54" s="38"/>
      <c r="E54" s="38"/>
      <c r="F54" s="38"/>
      <c r="G54" s="38"/>
      <c r="H54" s="38"/>
      <c r="I54" s="38"/>
      <c r="J54" s="38"/>
      <c r="K54" s="38"/>
      <c r="L54" s="38"/>
      <c r="M54" s="38">
        <f>SUM('Robot Design Input'!$C54:$L54)</f>
        <v>0</v>
      </c>
      <c r="N54" s="80">
        <f>IF('Robot Design Input'!$A54&gt;0,MIN(_xlfn.RANK.EQ('Robot Design Input'!$M54,'Robot Design Input'!$M$2:$M$201,0),NumberOfTeams),NumberOfTeams+1)</f>
        <v>1</v>
      </c>
    </row>
    <row r="55" ht="30.0" customHeight="1">
      <c r="A55" s="38" t="str">
        <f t="array" ref="A55">XLOOKUP(54,'Team and Program Information'!$B$3:$B$202,'Team and Program Information'!$C$3:$C$202,"ERROR",0)</f>
        <v/>
      </c>
      <c r="B55" s="68" t="str">
        <f t="array" ref="B55">XLOOKUP('Robot Design Input'!$A55,'Team and Program Information'!$C$3:$C$202,'Team and Program Information'!$D$3:$D$202,"",0,)</f>
        <v>#VALUE!</v>
      </c>
      <c r="C55" s="38"/>
      <c r="D55" s="38"/>
      <c r="E55" s="38"/>
      <c r="F55" s="38"/>
      <c r="G55" s="38"/>
      <c r="H55" s="38"/>
      <c r="I55" s="38"/>
      <c r="J55" s="38"/>
      <c r="K55" s="38"/>
      <c r="L55" s="38"/>
      <c r="M55" s="38">
        <f>SUM('Robot Design Input'!$C55:$L55)</f>
        <v>0</v>
      </c>
      <c r="N55" s="80">
        <f>IF('Robot Design Input'!$A55&gt;0,MIN(_xlfn.RANK.EQ('Robot Design Input'!$M55,'Robot Design Input'!$M$2:$M$201,0),NumberOfTeams),NumberOfTeams+1)</f>
        <v>1</v>
      </c>
    </row>
    <row r="56" ht="30.0" customHeight="1">
      <c r="A56" s="38" t="str">
        <f t="array" ref="A56">XLOOKUP(55,'Team and Program Information'!$B$3:$B$202,'Team and Program Information'!$C$3:$C$202,"ERROR",0)</f>
        <v/>
      </c>
      <c r="B56" s="68" t="str">
        <f t="array" ref="B56">XLOOKUP('Robot Design Input'!$A56,'Team and Program Information'!$C$3:$C$202,'Team and Program Information'!$D$3:$D$202,"",0,)</f>
        <v>#VALUE!</v>
      </c>
      <c r="C56" s="38"/>
      <c r="D56" s="38"/>
      <c r="E56" s="38"/>
      <c r="F56" s="38"/>
      <c r="G56" s="38"/>
      <c r="H56" s="38"/>
      <c r="I56" s="38"/>
      <c r="J56" s="38"/>
      <c r="K56" s="38"/>
      <c r="L56" s="38"/>
      <c r="M56" s="38">
        <f>SUM('Robot Design Input'!$C56:$L56)</f>
        <v>0</v>
      </c>
      <c r="N56" s="80">
        <f>IF('Robot Design Input'!$A56&gt;0,MIN(_xlfn.RANK.EQ('Robot Design Input'!$M56,'Robot Design Input'!$M$2:$M$201,0),NumberOfTeams),NumberOfTeams+1)</f>
        <v>1</v>
      </c>
    </row>
    <row r="57" ht="30.0" customHeight="1">
      <c r="A57" s="38" t="str">
        <f t="array" ref="A57">XLOOKUP(56,'Team and Program Information'!$B$3:$B$202,'Team and Program Information'!$C$3:$C$202,"ERROR",0)</f>
        <v/>
      </c>
      <c r="B57" s="68" t="str">
        <f t="array" ref="B57">XLOOKUP('Robot Design Input'!$A57,'Team and Program Information'!$C$3:$C$202,'Team and Program Information'!$D$3:$D$202,"",0,)</f>
        <v>#VALUE!</v>
      </c>
      <c r="C57" s="38"/>
      <c r="D57" s="38"/>
      <c r="E57" s="38"/>
      <c r="F57" s="38"/>
      <c r="G57" s="38"/>
      <c r="H57" s="38"/>
      <c r="I57" s="38"/>
      <c r="J57" s="38"/>
      <c r="K57" s="38"/>
      <c r="L57" s="38"/>
      <c r="M57" s="38">
        <f>SUM('Robot Design Input'!$C57:$L57)</f>
        <v>0</v>
      </c>
      <c r="N57" s="80">
        <f>IF('Robot Design Input'!$A57&gt;0,MIN(_xlfn.RANK.EQ('Robot Design Input'!$M57,'Robot Design Input'!$M$2:$M$201,0),NumberOfTeams),NumberOfTeams+1)</f>
        <v>1</v>
      </c>
    </row>
    <row r="58" ht="30.0" customHeight="1">
      <c r="A58" s="38" t="str">
        <f t="array" ref="A58">XLOOKUP(57,'Team and Program Information'!$B$3:$B$202,'Team and Program Information'!$C$3:$C$202,"ERROR",0)</f>
        <v/>
      </c>
      <c r="B58" s="68" t="str">
        <f t="array" ref="B58">XLOOKUP('Robot Design Input'!$A58,'Team and Program Information'!$C$3:$C$202,'Team and Program Information'!$D$3:$D$202,"",0,)</f>
        <v>#VALUE!</v>
      </c>
      <c r="C58" s="38"/>
      <c r="D58" s="38"/>
      <c r="E58" s="38"/>
      <c r="F58" s="38"/>
      <c r="G58" s="38"/>
      <c r="H58" s="38"/>
      <c r="I58" s="38"/>
      <c r="J58" s="38"/>
      <c r="K58" s="38"/>
      <c r="L58" s="38"/>
      <c r="M58" s="38">
        <f>SUM('Robot Design Input'!$C58:$L58)</f>
        <v>0</v>
      </c>
      <c r="N58" s="80">
        <f>IF('Robot Design Input'!$A58&gt;0,MIN(_xlfn.RANK.EQ('Robot Design Input'!$M58,'Robot Design Input'!$M$2:$M$201,0),NumberOfTeams),NumberOfTeams+1)</f>
        <v>1</v>
      </c>
    </row>
    <row r="59" ht="30.0" customHeight="1">
      <c r="A59" s="38" t="str">
        <f t="array" ref="A59">XLOOKUP(58,'Team and Program Information'!$B$3:$B$202,'Team and Program Information'!$C$3:$C$202,"ERROR",0)</f>
        <v/>
      </c>
      <c r="B59" s="68" t="str">
        <f t="array" ref="B59">XLOOKUP('Robot Design Input'!$A59,'Team and Program Information'!$C$3:$C$202,'Team and Program Information'!$D$3:$D$202,"",0,)</f>
        <v>#VALUE!</v>
      </c>
      <c r="C59" s="38"/>
      <c r="D59" s="38"/>
      <c r="E59" s="38"/>
      <c r="F59" s="38"/>
      <c r="G59" s="38"/>
      <c r="H59" s="38"/>
      <c r="I59" s="38"/>
      <c r="J59" s="38"/>
      <c r="K59" s="38"/>
      <c r="L59" s="38"/>
      <c r="M59" s="38">
        <f>SUM('Robot Design Input'!$C59:$L59)</f>
        <v>0</v>
      </c>
      <c r="N59" s="80">
        <f>IF('Robot Design Input'!$A59&gt;0,MIN(_xlfn.RANK.EQ('Robot Design Input'!$M59,'Robot Design Input'!$M$2:$M$201,0),NumberOfTeams),NumberOfTeams+1)</f>
        <v>1</v>
      </c>
    </row>
    <row r="60" ht="30.0" customHeight="1">
      <c r="A60" s="38" t="str">
        <f t="array" ref="A60">XLOOKUP(59,'Team and Program Information'!$B$3:$B$202,'Team and Program Information'!$C$3:$C$202,"ERROR",0)</f>
        <v/>
      </c>
      <c r="B60" s="68" t="str">
        <f t="array" ref="B60">XLOOKUP('Robot Design Input'!$A60,'Team and Program Information'!$C$3:$C$202,'Team and Program Information'!$D$3:$D$202,"",0,)</f>
        <v>#VALUE!</v>
      </c>
      <c r="C60" s="38"/>
      <c r="D60" s="38"/>
      <c r="E60" s="38"/>
      <c r="F60" s="38"/>
      <c r="G60" s="38"/>
      <c r="H60" s="38"/>
      <c r="I60" s="38"/>
      <c r="J60" s="38"/>
      <c r="K60" s="38"/>
      <c r="L60" s="38"/>
      <c r="M60" s="38">
        <f>SUM('Robot Design Input'!$C60:$L60)</f>
        <v>0</v>
      </c>
      <c r="N60" s="80">
        <f>IF('Robot Design Input'!$A60&gt;0,MIN(_xlfn.RANK.EQ('Robot Design Input'!$M60,'Robot Design Input'!$M$2:$M$201,0),NumberOfTeams),NumberOfTeams+1)</f>
        <v>1</v>
      </c>
    </row>
    <row r="61" ht="30.0" customHeight="1">
      <c r="A61" s="38" t="str">
        <f t="array" ref="A61">XLOOKUP(60,'Team and Program Information'!$B$3:$B$202,'Team and Program Information'!$C$3:$C$202,"ERROR",0)</f>
        <v/>
      </c>
      <c r="B61" s="68" t="str">
        <f t="array" ref="B61">XLOOKUP('Robot Design Input'!$A61,'Team and Program Information'!$C$3:$C$202,'Team and Program Information'!$D$3:$D$202,"",0,)</f>
        <v>#VALUE!</v>
      </c>
      <c r="C61" s="38"/>
      <c r="D61" s="38"/>
      <c r="E61" s="38"/>
      <c r="F61" s="38"/>
      <c r="G61" s="38"/>
      <c r="H61" s="38"/>
      <c r="I61" s="38"/>
      <c r="J61" s="38"/>
      <c r="K61" s="38"/>
      <c r="L61" s="38"/>
      <c r="M61" s="38">
        <f>SUM('Robot Design Input'!$C61:$L61)</f>
        <v>0</v>
      </c>
      <c r="N61" s="80">
        <f>IF('Robot Design Input'!$A61&gt;0,MIN(_xlfn.RANK.EQ('Robot Design Input'!$M61,'Robot Design Input'!$M$2:$M$201,0),NumberOfTeams),NumberOfTeams+1)</f>
        <v>1</v>
      </c>
    </row>
    <row r="62" ht="30.0" customHeight="1">
      <c r="A62" s="38" t="str">
        <f t="array" ref="A62">XLOOKUP(61,'Team and Program Information'!$B$3:$B$202,'Team and Program Information'!$C$3:$C$202,"ERROR",0)</f>
        <v/>
      </c>
      <c r="B62" s="68" t="str">
        <f t="array" ref="B62">XLOOKUP('Robot Design Input'!$A62,'Team and Program Information'!$C$3:$C$202,'Team and Program Information'!$D$3:$D$202,"",0,)</f>
        <v>#VALUE!</v>
      </c>
      <c r="C62" s="38"/>
      <c r="D62" s="38"/>
      <c r="E62" s="38"/>
      <c r="F62" s="38"/>
      <c r="G62" s="38"/>
      <c r="H62" s="38"/>
      <c r="I62" s="38"/>
      <c r="J62" s="38"/>
      <c r="K62" s="38"/>
      <c r="L62" s="38"/>
      <c r="M62" s="38">
        <f>SUM('Robot Design Input'!$C62:$L62)</f>
        <v>0</v>
      </c>
      <c r="N62" s="80">
        <f>IF('Robot Design Input'!$A62&gt;0,MIN(_xlfn.RANK.EQ('Robot Design Input'!$M62,'Robot Design Input'!$M$2:$M$201,0),NumberOfTeams),NumberOfTeams+1)</f>
        <v>1</v>
      </c>
    </row>
    <row r="63" ht="30.0" customHeight="1">
      <c r="A63" s="38" t="str">
        <f t="array" ref="A63">XLOOKUP(62,'Team and Program Information'!$B$3:$B$202,'Team and Program Information'!$C$3:$C$202,"ERROR",0)</f>
        <v/>
      </c>
      <c r="B63" s="68" t="str">
        <f t="array" ref="B63">XLOOKUP('Robot Design Input'!$A63,'Team and Program Information'!$C$3:$C$202,'Team and Program Information'!$D$3:$D$202,"",0,)</f>
        <v>#VALUE!</v>
      </c>
      <c r="C63" s="38"/>
      <c r="D63" s="38"/>
      <c r="E63" s="38"/>
      <c r="F63" s="38"/>
      <c r="G63" s="38"/>
      <c r="H63" s="38"/>
      <c r="I63" s="38"/>
      <c r="J63" s="38"/>
      <c r="K63" s="38"/>
      <c r="L63" s="38"/>
      <c r="M63" s="38">
        <f>SUM('Robot Design Input'!$C63:$L63)</f>
        <v>0</v>
      </c>
      <c r="N63" s="80">
        <f>IF('Robot Design Input'!$A63&gt;0,MIN(_xlfn.RANK.EQ('Robot Design Input'!$M63,'Robot Design Input'!$M$2:$M$201,0),NumberOfTeams),NumberOfTeams+1)</f>
        <v>1</v>
      </c>
    </row>
    <row r="64" ht="30.0" customHeight="1">
      <c r="A64" s="38" t="str">
        <f t="array" ref="A64">XLOOKUP(63,'Team and Program Information'!$B$3:$B$202,'Team and Program Information'!$C$3:$C$202,"ERROR",0)</f>
        <v/>
      </c>
      <c r="B64" s="68" t="str">
        <f t="array" ref="B64">XLOOKUP('Robot Design Input'!$A64,'Team and Program Information'!$C$3:$C$202,'Team and Program Information'!$D$3:$D$202,"",0,)</f>
        <v>#VALUE!</v>
      </c>
      <c r="C64" s="38"/>
      <c r="D64" s="38"/>
      <c r="E64" s="38"/>
      <c r="F64" s="38"/>
      <c r="G64" s="38"/>
      <c r="H64" s="38"/>
      <c r="I64" s="38"/>
      <c r="J64" s="38"/>
      <c r="K64" s="38"/>
      <c r="L64" s="38"/>
      <c r="M64" s="38">
        <f>SUM('Robot Design Input'!$C64:$L64)</f>
        <v>0</v>
      </c>
      <c r="N64" s="80">
        <f>IF('Robot Design Input'!$A64&gt;0,MIN(_xlfn.RANK.EQ('Robot Design Input'!$M64,'Robot Design Input'!$M$2:$M$201,0),NumberOfTeams),NumberOfTeams+1)</f>
        <v>1</v>
      </c>
    </row>
    <row r="65" ht="30.0" customHeight="1">
      <c r="A65" s="38" t="str">
        <f t="array" ref="A65">XLOOKUP(64,'Team and Program Information'!$B$3:$B$202,'Team and Program Information'!$C$3:$C$202,"ERROR",0)</f>
        <v/>
      </c>
      <c r="B65" s="68" t="str">
        <f t="array" ref="B65">XLOOKUP('Robot Design Input'!$A65,'Team and Program Information'!$C$3:$C$202,'Team and Program Information'!$D$3:$D$202,"",0,)</f>
        <v>#VALUE!</v>
      </c>
      <c r="C65" s="38"/>
      <c r="D65" s="38"/>
      <c r="E65" s="38"/>
      <c r="F65" s="38"/>
      <c r="G65" s="38"/>
      <c r="H65" s="38"/>
      <c r="I65" s="38"/>
      <c r="J65" s="38"/>
      <c r="K65" s="38"/>
      <c r="L65" s="38"/>
      <c r="M65" s="38">
        <f>SUM('Robot Design Input'!$C65:$L65)</f>
        <v>0</v>
      </c>
      <c r="N65" s="80">
        <f>IF('Robot Design Input'!$A65&gt;0,MIN(_xlfn.RANK.EQ('Robot Design Input'!$M65,'Robot Design Input'!$M$2:$M$201,0),NumberOfTeams),NumberOfTeams+1)</f>
        <v>1</v>
      </c>
    </row>
    <row r="66" ht="30.0" customHeight="1">
      <c r="A66" s="38" t="str">
        <f t="array" ref="A66">XLOOKUP(65,'Team and Program Information'!$B$3:$B$202,'Team and Program Information'!$C$3:$C$202,"ERROR",0)</f>
        <v/>
      </c>
      <c r="B66" s="68" t="str">
        <f t="array" ref="B66">XLOOKUP('Robot Design Input'!$A66,'Team and Program Information'!$C$3:$C$202,'Team and Program Information'!$D$3:$D$202,"",0,)</f>
        <v>#VALUE!</v>
      </c>
      <c r="C66" s="38"/>
      <c r="D66" s="38"/>
      <c r="E66" s="38"/>
      <c r="F66" s="38"/>
      <c r="G66" s="38"/>
      <c r="H66" s="38"/>
      <c r="I66" s="38"/>
      <c r="J66" s="38"/>
      <c r="K66" s="38"/>
      <c r="L66" s="38"/>
      <c r="M66" s="38">
        <f>SUM('Robot Design Input'!$C66:$L66)</f>
        <v>0</v>
      </c>
      <c r="N66" s="80">
        <f>IF('Robot Design Input'!$A66&gt;0,MIN(_xlfn.RANK.EQ('Robot Design Input'!$M66,'Robot Design Input'!$M$2:$M$201,0),NumberOfTeams),NumberOfTeams+1)</f>
        <v>1</v>
      </c>
    </row>
    <row r="67" ht="30.0" customHeight="1">
      <c r="A67" s="38" t="str">
        <f t="array" ref="A67">XLOOKUP(66,'Team and Program Information'!$B$3:$B$202,'Team and Program Information'!$C$3:$C$202,"ERROR",0)</f>
        <v/>
      </c>
      <c r="B67" s="68" t="str">
        <f t="array" ref="B67">XLOOKUP('Robot Design Input'!$A67,'Team and Program Information'!$C$3:$C$202,'Team and Program Information'!$D$3:$D$202,"",0,)</f>
        <v>#VALUE!</v>
      </c>
      <c r="C67" s="38"/>
      <c r="D67" s="38"/>
      <c r="E67" s="38"/>
      <c r="F67" s="38"/>
      <c r="G67" s="38"/>
      <c r="H67" s="38"/>
      <c r="I67" s="38"/>
      <c r="J67" s="38"/>
      <c r="K67" s="38"/>
      <c r="L67" s="38"/>
      <c r="M67" s="38">
        <f>SUM('Robot Design Input'!$C67:$L67)</f>
        <v>0</v>
      </c>
      <c r="N67" s="80">
        <f>IF('Robot Design Input'!$A67&gt;0,MIN(_xlfn.RANK.EQ('Robot Design Input'!$M67,'Robot Design Input'!$M$2:$M$201,0),NumberOfTeams),NumberOfTeams+1)</f>
        <v>1</v>
      </c>
    </row>
    <row r="68" ht="30.0" customHeight="1">
      <c r="A68" s="38" t="str">
        <f t="array" ref="A68">XLOOKUP(67,'Team and Program Information'!$B$3:$B$202,'Team and Program Information'!$C$3:$C$202,"ERROR",0)</f>
        <v/>
      </c>
      <c r="B68" s="68" t="str">
        <f t="array" ref="B68">XLOOKUP('Robot Design Input'!$A68,'Team and Program Information'!$C$3:$C$202,'Team and Program Information'!$D$3:$D$202,"",0,)</f>
        <v>#VALUE!</v>
      </c>
      <c r="C68" s="38"/>
      <c r="D68" s="38"/>
      <c r="E68" s="38"/>
      <c r="F68" s="38"/>
      <c r="G68" s="38"/>
      <c r="H68" s="38"/>
      <c r="I68" s="38"/>
      <c r="J68" s="38"/>
      <c r="K68" s="38"/>
      <c r="L68" s="38"/>
      <c r="M68" s="38">
        <f>SUM('Robot Design Input'!$C68:$L68)</f>
        <v>0</v>
      </c>
      <c r="N68" s="80">
        <f>IF('Robot Design Input'!$A68&gt;0,MIN(_xlfn.RANK.EQ('Robot Design Input'!$M68,'Robot Design Input'!$M$2:$M$201,0),NumberOfTeams),NumberOfTeams+1)</f>
        <v>1</v>
      </c>
    </row>
    <row r="69" ht="30.0" customHeight="1">
      <c r="A69" s="38" t="str">
        <f t="array" ref="A69">XLOOKUP(68,'Team and Program Information'!$B$3:$B$202,'Team and Program Information'!$C$3:$C$202,"ERROR",0)</f>
        <v/>
      </c>
      <c r="B69" s="68" t="str">
        <f t="array" ref="B69">XLOOKUP('Robot Design Input'!$A69,'Team and Program Information'!$C$3:$C$202,'Team and Program Information'!$D$3:$D$202,"",0,)</f>
        <v>#VALUE!</v>
      </c>
      <c r="C69" s="38"/>
      <c r="D69" s="38"/>
      <c r="E69" s="38"/>
      <c r="F69" s="38"/>
      <c r="G69" s="38"/>
      <c r="H69" s="38"/>
      <c r="I69" s="38"/>
      <c r="J69" s="38"/>
      <c r="K69" s="38"/>
      <c r="L69" s="38"/>
      <c r="M69" s="38">
        <f>SUM('Robot Design Input'!$C69:$L69)</f>
        <v>0</v>
      </c>
      <c r="N69" s="80">
        <f>IF('Robot Design Input'!$A69&gt;0,MIN(_xlfn.RANK.EQ('Robot Design Input'!$M69,'Robot Design Input'!$M$2:$M$201,0),NumberOfTeams),NumberOfTeams+1)</f>
        <v>1</v>
      </c>
    </row>
    <row r="70" ht="30.0" customHeight="1">
      <c r="A70" s="38" t="str">
        <f t="array" ref="A70">XLOOKUP(69,'Team and Program Information'!$B$3:$B$202,'Team and Program Information'!$C$3:$C$202,"ERROR",0)</f>
        <v/>
      </c>
      <c r="B70" s="68" t="str">
        <f t="array" ref="B70">XLOOKUP('Robot Design Input'!$A70,'Team and Program Information'!$C$3:$C$202,'Team and Program Information'!$D$3:$D$202,"",0,)</f>
        <v>#VALUE!</v>
      </c>
      <c r="C70" s="38"/>
      <c r="D70" s="38"/>
      <c r="E70" s="38"/>
      <c r="F70" s="38"/>
      <c r="G70" s="38"/>
      <c r="H70" s="38"/>
      <c r="I70" s="38"/>
      <c r="J70" s="38"/>
      <c r="K70" s="38"/>
      <c r="L70" s="38"/>
      <c r="M70" s="38">
        <f>SUM('Robot Design Input'!$C70:$L70)</f>
        <v>0</v>
      </c>
      <c r="N70" s="80">
        <f>IF('Robot Design Input'!$A70&gt;0,MIN(_xlfn.RANK.EQ('Robot Design Input'!$M70,'Robot Design Input'!$M$2:$M$201,0),NumberOfTeams),NumberOfTeams+1)</f>
        <v>1</v>
      </c>
    </row>
    <row r="71" ht="30.0" customHeight="1">
      <c r="A71" s="38" t="str">
        <f t="array" ref="A71">XLOOKUP(70,'Team and Program Information'!$B$3:$B$202,'Team and Program Information'!$C$3:$C$202,"ERROR",0)</f>
        <v/>
      </c>
      <c r="B71" s="68" t="str">
        <f t="array" ref="B71">XLOOKUP('Robot Design Input'!$A71,'Team and Program Information'!$C$3:$C$202,'Team and Program Information'!$D$3:$D$202,"",0,)</f>
        <v>#VALUE!</v>
      </c>
      <c r="C71" s="38"/>
      <c r="D71" s="38"/>
      <c r="E71" s="38"/>
      <c r="F71" s="38"/>
      <c r="G71" s="38"/>
      <c r="H71" s="38"/>
      <c r="I71" s="38"/>
      <c r="J71" s="38"/>
      <c r="K71" s="38"/>
      <c r="L71" s="38"/>
      <c r="M71" s="38">
        <f>SUM('Robot Design Input'!$C71:$L71)</f>
        <v>0</v>
      </c>
      <c r="N71" s="80">
        <f>IF('Robot Design Input'!$A71&gt;0,MIN(_xlfn.RANK.EQ('Robot Design Input'!$M71,'Robot Design Input'!$M$2:$M$201,0),NumberOfTeams),NumberOfTeams+1)</f>
        <v>1</v>
      </c>
    </row>
    <row r="72" ht="30.0" customHeight="1">
      <c r="A72" s="38" t="str">
        <f t="array" ref="A72">XLOOKUP(71,'Team and Program Information'!$B$3:$B$202,'Team and Program Information'!$C$3:$C$202,"ERROR",0)</f>
        <v/>
      </c>
      <c r="B72" s="68" t="str">
        <f t="array" ref="B72">XLOOKUP('Robot Design Input'!$A72,'Team and Program Information'!$C$3:$C$202,'Team and Program Information'!$D$3:$D$202,"",0,)</f>
        <v>#VALUE!</v>
      </c>
      <c r="C72" s="38"/>
      <c r="D72" s="38"/>
      <c r="E72" s="38"/>
      <c r="F72" s="38"/>
      <c r="G72" s="38"/>
      <c r="H72" s="38"/>
      <c r="I72" s="38"/>
      <c r="J72" s="38"/>
      <c r="K72" s="38"/>
      <c r="L72" s="38"/>
      <c r="M72" s="38">
        <f>SUM('Robot Design Input'!$C72:$L72)</f>
        <v>0</v>
      </c>
      <c r="N72" s="80">
        <f>IF('Robot Design Input'!$A72&gt;0,MIN(_xlfn.RANK.EQ('Robot Design Input'!$M72,'Robot Design Input'!$M$2:$M$201,0),NumberOfTeams),NumberOfTeams+1)</f>
        <v>1</v>
      </c>
    </row>
    <row r="73" ht="30.0" customHeight="1">
      <c r="A73" s="38" t="str">
        <f t="array" ref="A73">XLOOKUP(72,'Team and Program Information'!$B$3:$B$202,'Team and Program Information'!$C$3:$C$202,"ERROR",0)</f>
        <v/>
      </c>
      <c r="B73" s="68" t="str">
        <f t="array" ref="B73">XLOOKUP('Robot Design Input'!$A73,'Team and Program Information'!$C$3:$C$202,'Team and Program Information'!$D$3:$D$202,"",0,)</f>
        <v>#VALUE!</v>
      </c>
      <c r="C73" s="38"/>
      <c r="D73" s="38"/>
      <c r="E73" s="38"/>
      <c r="F73" s="38"/>
      <c r="G73" s="38"/>
      <c r="H73" s="38"/>
      <c r="I73" s="38"/>
      <c r="J73" s="38"/>
      <c r="K73" s="38"/>
      <c r="L73" s="38"/>
      <c r="M73" s="38">
        <f>SUM('Robot Design Input'!$C73:$L73)</f>
        <v>0</v>
      </c>
      <c r="N73" s="80">
        <f>IF('Robot Design Input'!$A73&gt;0,MIN(_xlfn.RANK.EQ('Robot Design Input'!$M73,'Robot Design Input'!$M$2:$M$201,0),NumberOfTeams),NumberOfTeams+1)</f>
        <v>1</v>
      </c>
    </row>
    <row r="74" ht="30.0" customHeight="1">
      <c r="A74" s="38" t="str">
        <f t="array" ref="A74">XLOOKUP(73,'Team and Program Information'!$B$3:$B$202,'Team and Program Information'!$C$3:$C$202,"ERROR",0)</f>
        <v/>
      </c>
      <c r="B74" s="68" t="str">
        <f t="array" ref="B74">XLOOKUP('Robot Design Input'!$A74,'Team and Program Information'!$C$3:$C$202,'Team and Program Information'!$D$3:$D$202,"",0,)</f>
        <v>#VALUE!</v>
      </c>
      <c r="C74" s="38"/>
      <c r="D74" s="38"/>
      <c r="E74" s="38"/>
      <c r="F74" s="38"/>
      <c r="G74" s="38"/>
      <c r="H74" s="38"/>
      <c r="I74" s="38"/>
      <c r="J74" s="38"/>
      <c r="K74" s="38"/>
      <c r="L74" s="38"/>
      <c r="M74" s="38">
        <f>SUM('Robot Design Input'!$C74:$L74)</f>
        <v>0</v>
      </c>
      <c r="N74" s="80">
        <f>IF('Robot Design Input'!$A74&gt;0,MIN(_xlfn.RANK.EQ('Robot Design Input'!$M74,'Robot Design Input'!$M$2:$M$201,0),NumberOfTeams),NumberOfTeams+1)</f>
        <v>1</v>
      </c>
    </row>
    <row r="75" ht="30.0" customHeight="1">
      <c r="A75" s="38" t="str">
        <f t="array" ref="A75">XLOOKUP(74,'Team and Program Information'!$B$3:$B$202,'Team and Program Information'!$C$3:$C$202,"ERROR",0)</f>
        <v/>
      </c>
      <c r="B75" s="68" t="str">
        <f t="array" ref="B75">XLOOKUP('Robot Design Input'!$A75,'Team and Program Information'!$C$3:$C$202,'Team and Program Information'!$D$3:$D$202,"",0,)</f>
        <v>#VALUE!</v>
      </c>
      <c r="C75" s="38"/>
      <c r="D75" s="38"/>
      <c r="E75" s="38"/>
      <c r="F75" s="38"/>
      <c r="G75" s="38"/>
      <c r="H75" s="38"/>
      <c r="I75" s="38"/>
      <c r="J75" s="38"/>
      <c r="K75" s="38"/>
      <c r="L75" s="38"/>
      <c r="M75" s="38">
        <f>SUM('Robot Design Input'!$C75:$L75)</f>
        <v>0</v>
      </c>
      <c r="N75" s="80">
        <f>IF('Robot Design Input'!$A75&gt;0,MIN(_xlfn.RANK.EQ('Robot Design Input'!$M75,'Robot Design Input'!$M$2:$M$201,0),NumberOfTeams),NumberOfTeams+1)</f>
        <v>1</v>
      </c>
    </row>
    <row r="76" ht="30.0" customHeight="1">
      <c r="A76" s="38" t="str">
        <f t="array" ref="A76">XLOOKUP(75,'Team and Program Information'!$B$3:$B$202,'Team and Program Information'!$C$3:$C$202,"ERROR",0)</f>
        <v/>
      </c>
      <c r="B76" s="68" t="str">
        <f t="array" ref="B76">XLOOKUP('Robot Design Input'!$A76,'Team and Program Information'!$C$3:$C$202,'Team and Program Information'!$D$3:$D$202,"",0,)</f>
        <v>#VALUE!</v>
      </c>
      <c r="C76" s="38"/>
      <c r="D76" s="38"/>
      <c r="E76" s="38"/>
      <c r="F76" s="38"/>
      <c r="G76" s="38"/>
      <c r="H76" s="38"/>
      <c r="I76" s="38"/>
      <c r="J76" s="38"/>
      <c r="K76" s="38"/>
      <c r="L76" s="38"/>
      <c r="M76" s="38">
        <f>SUM('Robot Design Input'!$C76:$L76)</f>
        <v>0</v>
      </c>
      <c r="N76" s="80">
        <f>IF('Robot Design Input'!$A76&gt;0,MIN(_xlfn.RANK.EQ('Robot Design Input'!$M76,'Robot Design Input'!$M$2:$M$201,0),NumberOfTeams),NumberOfTeams+1)</f>
        <v>1</v>
      </c>
    </row>
    <row r="77" ht="30.0" customHeight="1">
      <c r="A77" s="38" t="str">
        <f t="array" ref="A77">XLOOKUP(76,'Team and Program Information'!$B$3:$B$202,'Team and Program Information'!$C$3:$C$202,"ERROR",0)</f>
        <v/>
      </c>
      <c r="B77" s="68" t="str">
        <f t="array" ref="B77">XLOOKUP('Robot Design Input'!$A77,'Team and Program Information'!$C$3:$C$202,'Team and Program Information'!$D$3:$D$202,"",0,)</f>
        <v>#VALUE!</v>
      </c>
      <c r="C77" s="38"/>
      <c r="D77" s="38"/>
      <c r="E77" s="38"/>
      <c r="F77" s="38"/>
      <c r="G77" s="38"/>
      <c r="H77" s="38"/>
      <c r="I77" s="38"/>
      <c r="J77" s="38"/>
      <c r="K77" s="38"/>
      <c r="L77" s="38"/>
      <c r="M77" s="38">
        <f>SUM('Robot Design Input'!$C77:$L77)</f>
        <v>0</v>
      </c>
      <c r="N77" s="80">
        <f>IF('Robot Design Input'!$A77&gt;0,MIN(_xlfn.RANK.EQ('Robot Design Input'!$M77,'Robot Design Input'!$M$2:$M$201,0),NumberOfTeams),NumberOfTeams+1)</f>
        <v>1</v>
      </c>
    </row>
    <row r="78" ht="30.0" customHeight="1">
      <c r="A78" s="38" t="str">
        <f t="array" ref="A78">XLOOKUP(77,'Team and Program Information'!$B$3:$B$202,'Team and Program Information'!$C$3:$C$202,"ERROR",0)</f>
        <v/>
      </c>
      <c r="B78" s="68" t="str">
        <f t="array" ref="B78">XLOOKUP('Robot Design Input'!$A78,'Team and Program Information'!$C$3:$C$202,'Team and Program Information'!$D$3:$D$202,"",0,)</f>
        <v>#VALUE!</v>
      </c>
      <c r="C78" s="38"/>
      <c r="D78" s="38"/>
      <c r="E78" s="38"/>
      <c r="F78" s="38"/>
      <c r="G78" s="38"/>
      <c r="H78" s="38"/>
      <c r="I78" s="38"/>
      <c r="J78" s="38"/>
      <c r="K78" s="38"/>
      <c r="L78" s="38"/>
      <c r="M78" s="38">
        <f>SUM('Robot Design Input'!$C78:$L78)</f>
        <v>0</v>
      </c>
      <c r="N78" s="80">
        <f>IF('Robot Design Input'!$A78&gt;0,MIN(_xlfn.RANK.EQ('Robot Design Input'!$M78,'Robot Design Input'!$M$2:$M$201,0),NumberOfTeams),NumberOfTeams+1)</f>
        <v>1</v>
      </c>
    </row>
    <row r="79" ht="30.0" customHeight="1">
      <c r="A79" s="38" t="str">
        <f t="array" ref="A79">XLOOKUP(78,'Team and Program Information'!$B$3:$B$202,'Team and Program Information'!$C$3:$C$202,"ERROR",0)</f>
        <v/>
      </c>
      <c r="B79" s="68" t="str">
        <f t="array" ref="B79">XLOOKUP('Robot Design Input'!$A79,'Team and Program Information'!$C$3:$C$202,'Team and Program Information'!$D$3:$D$202,"",0,)</f>
        <v>#VALUE!</v>
      </c>
      <c r="C79" s="38"/>
      <c r="D79" s="38"/>
      <c r="E79" s="38"/>
      <c r="F79" s="38"/>
      <c r="G79" s="38"/>
      <c r="H79" s="38"/>
      <c r="I79" s="38"/>
      <c r="J79" s="38"/>
      <c r="K79" s="38"/>
      <c r="L79" s="38"/>
      <c r="M79" s="38">
        <f>SUM('Robot Design Input'!$C79:$L79)</f>
        <v>0</v>
      </c>
      <c r="N79" s="80">
        <f>IF('Robot Design Input'!$A79&gt;0,MIN(_xlfn.RANK.EQ('Robot Design Input'!$M79,'Robot Design Input'!$M$2:$M$201,0),NumberOfTeams),NumberOfTeams+1)</f>
        <v>1</v>
      </c>
    </row>
    <row r="80" ht="30.0" customHeight="1">
      <c r="A80" s="38" t="str">
        <f t="array" ref="A80">XLOOKUP(79,'Team and Program Information'!$B$3:$B$202,'Team and Program Information'!$C$3:$C$202,"ERROR",0)</f>
        <v/>
      </c>
      <c r="B80" s="68" t="str">
        <f t="array" ref="B80">XLOOKUP('Robot Design Input'!$A80,'Team and Program Information'!$C$3:$C$202,'Team and Program Information'!$D$3:$D$202,"",0,)</f>
        <v>#VALUE!</v>
      </c>
      <c r="C80" s="38"/>
      <c r="D80" s="38"/>
      <c r="E80" s="38"/>
      <c r="F80" s="38"/>
      <c r="G80" s="38"/>
      <c r="H80" s="38"/>
      <c r="I80" s="38"/>
      <c r="J80" s="38"/>
      <c r="K80" s="38"/>
      <c r="L80" s="38"/>
      <c r="M80" s="38">
        <f>SUM('Robot Design Input'!$C80:$L80)</f>
        <v>0</v>
      </c>
      <c r="N80" s="80">
        <f>IF('Robot Design Input'!$A80&gt;0,MIN(_xlfn.RANK.EQ('Robot Design Input'!$M80,'Robot Design Input'!$M$2:$M$201,0),NumberOfTeams),NumberOfTeams+1)</f>
        <v>1</v>
      </c>
    </row>
    <row r="81" ht="30.0" customHeight="1">
      <c r="A81" s="38" t="str">
        <f t="array" ref="A81">XLOOKUP(80,'Team and Program Information'!$B$3:$B$202,'Team and Program Information'!$C$3:$C$202,"ERROR",0)</f>
        <v/>
      </c>
      <c r="B81" s="68" t="str">
        <f t="array" ref="B81">XLOOKUP('Robot Design Input'!$A81,'Team and Program Information'!$C$3:$C$202,'Team and Program Information'!$D$3:$D$202,"",0,)</f>
        <v>#VALUE!</v>
      </c>
      <c r="C81" s="38"/>
      <c r="D81" s="38"/>
      <c r="E81" s="38"/>
      <c r="F81" s="38"/>
      <c r="G81" s="38"/>
      <c r="H81" s="38"/>
      <c r="I81" s="38"/>
      <c r="J81" s="38"/>
      <c r="K81" s="38"/>
      <c r="L81" s="38"/>
      <c r="M81" s="38">
        <f>SUM('Robot Design Input'!$C81:$L81)</f>
        <v>0</v>
      </c>
      <c r="N81" s="80">
        <f>IF('Robot Design Input'!$A81&gt;0,MIN(_xlfn.RANK.EQ('Robot Design Input'!$M81,'Robot Design Input'!$M$2:$M$201,0),NumberOfTeams),NumberOfTeams+1)</f>
        <v>1</v>
      </c>
    </row>
    <row r="82" ht="30.0" customHeight="1">
      <c r="A82" s="38" t="str">
        <f t="array" ref="A82">XLOOKUP(81,'Team and Program Information'!$B$3:$B$202,'Team and Program Information'!$C$3:$C$202,"ERROR",0)</f>
        <v/>
      </c>
      <c r="B82" s="68" t="str">
        <f t="array" ref="B82">XLOOKUP('Robot Design Input'!$A82,'Team and Program Information'!$C$3:$C$202,'Team and Program Information'!$D$3:$D$202,"",0,)</f>
        <v>#VALUE!</v>
      </c>
      <c r="C82" s="38"/>
      <c r="D82" s="38"/>
      <c r="E82" s="38"/>
      <c r="F82" s="38"/>
      <c r="G82" s="38"/>
      <c r="H82" s="38"/>
      <c r="I82" s="38"/>
      <c r="J82" s="38"/>
      <c r="K82" s="38"/>
      <c r="L82" s="38"/>
      <c r="M82" s="38">
        <f>SUM('Robot Design Input'!$C82:$L82)</f>
        <v>0</v>
      </c>
      <c r="N82" s="80">
        <f>IF('Robot Design Input'!$A82&gt;0,MIN(_xlfn.RANK.EQ('Robot Design Input'!$M82,'Robot Design Input'!$M$2:$M$201,0),NumberOfTeams),NumberOfTeams+1)</f>
        <v>1</v>
      </c>
    </row>
    <row r="83" ht="30.0" customHeight="1">
      <c r="A83" s="38" t="str">
        <f t="array" ref="A83">XLOOKUP(82,'Team and Program Information'!$B$3:$B$202,'Team and Program Information'!$C$3:$C$202,"ERROR",0)</f>
        <v/>
      </c>
      <c r="B83" s="68" t="str">
        <f t="array" ref="B83">XLOOKUP('Robot Design Input'!$A83,'Team and Program Information'!$C$3:$C$202,'Team and Program Information'!$D$3:$D$202,"",0,)</f>
        <v>#VALUE!</v>
      </c>
      <c r="C83" s="38"/>
      <c r="D83" s="38"/>
      <c r="E83" s="38"/>
      <c r="F83" s="38"/>
      <c r="G83" s="38"/>
      <c r="H83" s="38"/>
      <c r="I83" s="38"/>
      <c r="J83" s="38"/>
      <c r="K83" s="38"/>
      <c r="L83" s="38"/>
      <c r="M83" s="38">
        <f>SUM('Robot Design Input'!$C83:$L83)</f>
        <v>0</v>
      </c>
      <c r="N83" s="80">
        <f>IF('Robot Design Input'!$A83&gt;0,MIN(_xlfn.RANK.EQ('Robot Design Input'!$M83,'Robot Design Input'!$M$2:$M$201,0),NumberOfTeams),NumberOfTeams+1)</f>
        <v>1</v>
      </c>
    </row>
    <row r="84" ht="30.0" customHeight="1">
      <c r="A84" s="38" t="str">
        <f t="array" ref="A84">XLOOKUP(83,'Team and Program Information'!$B$3:$B$202,'Team and Program Information'!$C$3:$C$202,"ERROR",0)</f>
        <v/>
      </c>
      <c r="B84" s="68" t="str">
        <f t="array" ref="B84">XLOOKUP('Robot Design Input'!$A84,'Team and Program Information'!$C$3:$C$202,'Team and Program Information'!$D$3:$D$202,"",0,)</f>
        <v>#VALUE!</v>
      </c>
      <c r="C84" s="38"/>
      <c r="D84" s="38"/>
      <c r="E84" s="38"/>
      <c r="F84" s="38"/>
      <c r="G84" s="38"/>
      <c r="H84" s="38"/>
      <c r="I84" s="38"/>
      <c r="J84" s="38"/>
      <c r="K84" s="38"/>
      <c r="L84" s="38"/>
      <c r="M84" s="38">
        <f>SUM('Robot Design Input'!$C84:$L84)</f>
        <v>0</v>
      </c>
      <c r="N84" s="80">
        <f>IF('Robot Design Input'!$A84&gt;0,MIN(_xlfn.RANK.EQ('Robot Design Input'!$M84,'Robot Design Input'!$M$2:$M$201,0),NumberOfTeams),NumberOfTeams+1)</f>
        <v>1</v>
      </c>
    </row>
    <row r="85" ht="30.0" customHeight="1">
      <c r="A85" s="38" t="str">
        <f t="array" ref="A85">XLOOKUP(84,'Team and Program Information'!$B$3:$B$202,'Team and Program Information'!$C$3:$C$202,"ERROR",0)</f>
        <v/>
      </c>
      <c r="B85" s="68" t="str">
        <f t="array" ref="B85">XLOOKUP('Robot Design Input'!$A85,'Team and Program Information'!$C$3:$C$202,'Team and Program Information'!$D$3:$D$202,"",0,)</f>
        <v>#VALUE!</v>
      </c>
      <c r="C85" s="38"/>
      <c r="D85" s="38"/>
      <c r="E85" s="38"/>
      <c r="F85" s="38"/>
      <c r="G85" s="38"/>
      <c r="H85" s="38"/>
      <c r="I85" s="38"/>
      <c r="J85" s="38"/>
      <c r="K85" s="38"/>
      <c r="L85" s="38"/>
      <c r="M85" s="38">
        <f>SUM('Robot Design Input'!$C85:$L85)</f>
        <v>0</v>
      </c>
      <c r="N85" s="80">
        <f>IF('Robot Design Input'!$A85&gt;0,MIN(_xlfn.RANK.EQ('Robot Design Input'!$M85,'Robot Design Input'!$M$2:$M$201,0),NumberOfTeams),NumberOfTeams+1)</f>
        <v>1</v>
      </c>
    </row>
    <row r="86" ht="30.0" customHeight="1">
      <c r="A86" s="38" t="str">
        <f t="array" ref="A86">XLOOKUP(85,'Team and Program Information'!$B$3:$B$202,'Team and Program Information'!$C$3:$C$202,"ERROR",0)</f>
        <v/>
      </c>
      <c r="B86" s="68" t="str">
        <f t="array" ref="B86">XLOOKUP('Robot Design Input'!$A86,'Team and Program Information'!$C$3:$C$202,'Team and Program Information'!$D$3:$D$202,"",0,)</f>
        <v>#VALUE!</v>
      </c>
      <c r="C86" s="38"/>
      <c r="D86" s="38"/>
      <c r="E86" s="38"/>
      <c r="F86" s="38"/>
      <c r="G86" s="38"/>
      <c r="H86" s="38"/>
      <c r="I86" s="38"/>
      <c r="J86" s="38"/>
      <c r="K86" s="38"/>
      <c r="L86" s="38"/>
      <c r="M86" s="38">
        <f>SUM('Robot Design Input'!$C86:$L86)</f>
        <v>0</v>
      </c>
      <c r="N86" s="80">
        <f>IF('Robot Design Input'!$A86&gt;0,MIN(_xlfn.RANK.EQ('Robot Design Input'!$M86,'Robot Design Input'!$M$2:$M$201,0),NumberOfTeams),NumberOfTeams+1)</f>
        <v>1</v>
      </c>
    </row>
    <row r="87" ht="30.0" customHeight="1">
      <c r="A87" s="38" t="str">
        <f t="array" ref="A87">XLOOKUP(86,'Team and Program Information'!$B$3:$B$202,'Team and Program Information'!$C$3:$C$202,"ERROR",0)</f>
        <v/>
      </c>
      <c r="B87" s="68" t="str">
        <f t="array" ref="B87">XLOOKUP('Robot Design Input'!$A87,'Team and Program Information'!$C$3:$C$202,'Team and Program Information'!$D$3:$D$202,"",0,)</f>
        <v>#VALUE!</v>
      </c>
      <c r="C87" s="38"/>
      <c r="D87" s="38"/>
      <c r="E87" s="38"/>
      <c r="F87" s="38"/>
      <c r="G87" s="38"/>
      <c r="H87" s="38"/>
      <c r="I87" s="38"/>
      <c r="J87" s="38"/>
      <c r="K87" s="38"/>
      <c r="L87" s="38"/>
      <c r="M87" s="38">
        <f>SUM('Robot Design Input'!$C87:$L87)</f>
        <v>0</v>
      </c>
      <c r="N87" s="80">
        <f>IF('Robot Design Input'!$A87&gt;0,MIN(_xlfn.RANK.EQ('Robot Design Input'!$M87,'Robot Design Input'!$M$2:$M$201,0),NumberOfTeams),NumberOfTeams+1)</f>
        <v>1</v>
      </c>
    </row>
    <row r="88" ht="30.0" customHeight="1">
      <c r="A88" s="38" t="str">
        <f t="array" ref="A88">XLOOKUP(87,'Team and Program Information'!$B$3:$B$202,'Team and Program Information'!$C$3:$C$202,"ERROR",0)</f>
        <v/>
      </c>
      <c r="B88" s="68" t="str">
        <f t="array" ref="B88">XLOOKUP('Robot Design Input'!$A88,'Team and Program Information'!$C$3:$C$202,'Team and Program Information'!$D$3:$D$202,"",0,)</f>
        <v>#VALUE!</v>
      </c>
      <c r="C88" s="38"/>
      <c r="D88" s="38"/>
      <c r="E88" s="38"/>
      <c r="F88" s="38"/>
      <c r="G88" s="38"/>
      <c r="H88" s="38"/>
      <c r="I88" s="38"/>
      <c r="J88" s="38"/>
      <c r="K88" s="38"/>
      <c r="L88" s="38"/>
      <c r="M88" s="38">
        <f>SUM('Robot Design Input'!$C88:$L88)</f>
        <v>0</v>
      </c>
      <c r="N88" s="80">
        <f>IF('Robot Design Input'!$A88&gt;0,MIN(_xlfn.RANK.EQ('Robot Design Input'!$M88,'Robot Design Input'!$M$2:$M$201,0),NumberOfTeams),NumberOfTeams+1)</f>
        <v>1</v>
      </c>
    </row>
    <row r="89" ht="30.0" customHeight="1">
      <c r="A89" s="38" t="str">
        <f t="array" ref="A89">XLOOKUP(88,'Team and Program Information'!$B$3:$B$202,'Team and Program Information'!$C$3:$C$202,"ERROR",0)</f>
        <v/>
      </c>
      <c r="B89" s="68" t="str">
        <f t="array" ref="B89">XLOOKUP('Robot Design Input'!$A89,'Team and Program Information'!$C$3:$C$202,'Team and Program Information'!$D$3:$D$202,"",0,)</f>
        <v>#VALUE!</v>
      </c>
      <c r="C89" s="38"/>
      <c r="D89" s="38"/>
      <c r="E89" s="38"/>
      <c r="F89" s="38"/>
      <c r="G89" s="38"/>
      <c r="H89" s="38"/>
      <c r="I89" s="38"/>
      <c r="J89" s="38"/>
      <c r="K89" s="38"/>
      <c r="L89" s="38"/>
      <c r="M89" s="38">
        <f>SUM('Robot Design Input'!$C89:$L89)</f>
        <v>0</v>
      </c>
      <c r="N89" s="80">
        <f>IF('Robot Design Input'!$A89&gt;0,MIN(_xlfn.RANK.EQ('Robot Design Input'!$M89,'Robot Design Input'!$M$2:$M$201,0),NumberOfTeams),NumberOfTeams+1)</f>
        <v>1</v>
      </c>
    </row>
    <row r="90" ht="30.0" customHeight="1">
      <c r="A90" s="38" t="str">
        <f t="array" ref="A90">XLOOKUP(89,'Team and Program Information'!$B$3:$B$202,'Team and Program Information'!$C$3:$C$202,"ERROR",0)</f>
        <v/>
      </c>
      <c r="B90" s="68" t="str">
        <f t="array" ref="B90">XLOOKUP('Robot Design Input'!$A90,'Team and Program Information'!$C$3:$C$202,'Team and Program Information'!$D$3:$D$202,"",0,)</f>
        <v>#VALUE!</v>
      </c>
      <c r="C90" s="38"/>
      <c r="D90" s="38"/>
      <c r="E90" s="38"/>
      <c r="F90" s="38"/>
      <c r="G90" s="38"/>
      <c r="H90" s="38"/>
      <c r="I90" s="38"/>
      <c r="J90" s="38"/>
      <c r="K90" s="38"/>
      <c r="L90" s="38"/>
      <c r="M90" s="38">
        <f>SUM('Robot Design Input'!$C90:$L90)</f>
        <v>0</v>
      </c>
      <c r="N90" s="80">
        <f>IF('Robot Design Input'!$A90&gt;0,MIN(_xlfn.RANK.EQ('Robot Design Input'!$M90,'Robot Design Input'!$M$2:$M$201,0),NumberOfTeams),NumberOfTeams+1)</f>
        <v>1</v>
      </c>
    </row>
    <row r="91" ht="30.0" customHeight="1">
      <c r="A91" s="38" t="str">
        <f t="array" ref="A91">XLOOKUP(90,'Team and Program Information'!$B$3:$B$202,'Team and Program Information'!$C$3:$C$202,"ERROR",0)</f>
        <v/>
      </c>
      <c r="B91" s="68" t="str">
        <f t="array" ref="B91">XLOOKUP('Robot Design Input'!$A91,'Team and Program Information'!$C$3:$C$202,'Team and Program Information'!$D$3:$D$202,"",0,)</f>
        <v>#VALUE!</v>
      </c>
      <c r="C91" s="38"/>
      <c r="D91" s="38"/>
      <c r="E91" s="38"/>
      <c r="F91" s="38"/>
      <c r="G91" s="38"/>
      <c r="H91" s="38"/>
      <c r="I91" s="38"/>
      <c r="J91" s="38"/>
      <c r="K91" s="38"/>
      <c r="L91" s="38"/>
      <c r="M91" s="38">
        <f>SUM('Robot Design Input'!$C91:$L91)</f>
        <v>0</v>
      </c>
      <c r="N91" s="80">
        <f>IF('Robot Design Input'!$A91&gt;0,MIN(_xlfn.RANK.EQ('Robot Design Input'!$M91,'Robot Design Input'!$M$2:$M$201,0),NumberOfTeams),NumberOfTeams+1)</f>
        <v>1</v>
      </c>
    </row>
    <row r="92" ht="30.0" customHeight="1">
      <c r="A92" s="38" t="str">
        <f t="array" ref="A92">XLOOKUP(91,'Team and Program Information'!$B$3:$B$202,'Team and Program Information'!$C$3:$C$202,"ERROR",0)</f>
        <v/>
      </c>
      <c r="B92" s="68" t="str">
        <f t="array" ref="B92">XLOOKUP('Robot Design Input'!$A92,'Team and Program Information'!$C$3:$C$202,'Team and Program Information'!$D$3:$D$202,"",0,)</f>
        <v>#VALUE!</v>
      </c>
      <c r="C92" s="38"/>
      <c r="D92" s="38"/>
      <c r="E92" s="38"/>
      <c r="F92" s="38"/>
      <c r="G92" s="38"/>
      <c r="H92" s="38"/>
      <c r="I92" s="38"/>
      <c r="J92" s="38"/>
      <c r="K92" s="38"/>
      <c r="L92" s="38"/>
      <c r="M92" s="38">
        <f>SUM('Robot Design Input'!$C92:$L92)</f>
        <v>0</v>
      </c>
      <c r="N92" s="80">
        <f>IF('Robot Design Input'!$A92&gt;0,MIN(_xlfn.RANK.EQ('Robot Design Input'!$M92,'Robot Design Input'!$M$2:$M$201,0),NumberOfTeams),NumberOfTeams+1)</f>
        <v>1</v>
      </c>
    </row>
    <row r="93" ht="30.0" customHeight="1">
      <c r="A93" s="38" t="str">
        <f t="array" ref="A93">XLOOKUP(92,'Team and Program Information'!$B$3:$B$202,'Team and Program Information'!$C$3:$C$202,"ERROR",0)</f>
        <v/>
      </c>
      <c r="B93" s="68" t="str">
        <f t="array" ref="B93">XLOOKUP('Robot Design Input'!$A93,'Team and Program Information'!$C$3:$C$202,'Team and Program Information'!$D$3:$D$202,"",0,)</f>
        <v>#VALUE!</v>
      </c>
      <c r="C93" s="38"/>
      <c r="D93" s="38"/>
      <c r="E93" s="38"/>
      <c r="F93" s="38"/>
      <c r="G93" s="38"/>
      <c r="H93" s="38"/>
      <c r="I93" s="38"/>
      <c r="J93" s="38"/>
      <c r="K93" s="38"/>
      <c r="L93" s="38"/>
      <c r="M93" s="38">
        <f>SUM('Robot Design Input'!$C93:$L93)</f>
        <v>0</v>
      </c>
      <c r="N93" s="80">
        <f>IF('Robot Design Input'!$A93&gt;0,MIN(_xlfn.RANK.EQ('Robot Design Input'!$M93,'Robot Design Input'!$M$2:$M$201,0),NumberOfTeams),NumberOfTeams+1)</f>
        <v>1</v>
      </c>
    </row>
    <row r="94" ht="30.0" customHeight="1">
      <c r="A94" s="38" t="str">
        <f t="array" ref="A94">XLOOKUP(93,'Team and Program Information'!$B$3:$B$202,'Team and Program Information'!$C$3:$C$202,"ERROR",0)</f>
        <v/>
      </c>
      <c r="B94" s="68" t="str">
        <f t="array" ref="B94">XLOOKUP('Robot Design Input'!$A94,'Team and Program Information'!$C$3:$C$202,'Team and Program Information'!$D$3:$D$202,"",0,)</f>
        <v>#VALUE!</v>
      </c>
      <c r="C94" s="38"/>
      <c r="D94" s="38"/>
      <c r="E94" s="38"/>
      <c r="F94" s="38"/>
      <c r="G94" s="38"/>
      <c r="H94" s="38"/>
      <c r="I94" s="38"/>
      <c r="J94" s="38"/>
      <c r="K94" s="38"/>
      <c r="L94" s="38"/>
      <c r="M94" s="38">
        <f>SUM('Robot Design Input'!$C94:$L94)</f>
        <v>0</v>
      </c>
      <c r="N94" s="80">
        <f>IF('Robot Design Input'!$A94&gt;0,MIN(_xlfn.RANK.EQ('Robot Design Input'!$M94,'Robot Design Input'!$M$2:$M$201,0),NumberOfTeams),NumberOfTeams+1)</f>
        <v>1</v>
      </c>
    </row>
    <row r="95" ht="30.0" customHeight="1">
      <c r="A95" s="38" t="str">
        <f t="array" ref="A95">XLOOKUP(94,'Team and Program Information'!$B$3:$B$202,'Team and Program Information'!$C$3:$C$202,"ERROR",0)</f>
        <v/>
      </c>
      <c r="B95" s="68" t="str">
        <f t="array" ref="B95">XLOOKUP('Robot Design Input'!$A95,'Team and Program Information'!$C$3:$C$202,'Team and Program Information'!$D$3:$D$202,"",0,)</f>
        <v>#VALUE!</v>
      </c>
      <c r="C95" s="38"/>
      <c r="D95" s="38"/>
      <c r="E95" s="38"/>
      <c r="F95" s="38"/>
      <c r="G95" s="38"/>
      <c r="H95" s="38"/>
      <c r="I95" s="38"/>
      <c r="J95" s="38"/>
      <c r="K95" s="38"/>
      <c r="L95" s="38"/>
      <c r="M95" s="38">
        <f>SUM('Robot Design Input'!$C95:$L95)</f>
        <v>0</v>
      </c>
      <c r="N95" s="80">
        <f>IF('Robot Design Input'!$A95&gt;0,MIN(_xlfn.RANK.EQ('Robot Design Input'!$M95,'Robot Design Input'!$M$2:$M$201,0),NumberOfTeams),NumberOfTeams+1)</f>
        <v>1</v>
      </c>
    </row>
    <row r="96" ht="30.0" customHeight="1">
      <c r="A96" s="38" t="str">
        <f t="array" ref="A96">XLOOKUP(95,'Team and Program Information'!$B$3:$B$202,'Team and Program Information'!$C$3:$C$202,"ERROR",0)</f>
        <v/>
      </c>
      <c r="B96" s="68" t="str">
        <f t="array" ref="B96">XLOOKUP('Robot Design Input'!$A96,'Team and Program Information'!$C$3:$C$202,'Team and Program Information'!$D$3:$D$202,"",0,)</f>
        <v>#VALUE!</v>
      </c>
      <c r="C96" s="38"/>
      <c r="D96" s="38"/>
      <c r="E96" s="38"/>
      <c r="F96" s="38"/>
      <c r="G96" s="38"/>
      <c r="H96" s="38"/>
      <c r="I96" s="38"/>
      <c r="J96" s="38"/>
      <c r="K96" s="38"/>
      <c r="L96" s="38"/>
      <c r="M96" s="38">
        <f>SUM('Robot Design Input'!$C96:$L96)</f>
        <v>0</v>
      </c>
      <c r="N96" s="80">
        <f>IF('Robot Design Input'!$A96&gt;0,MIN(_xlfn.RANK.EQ('Robot Design Input'!$M96,'Robot Design Input'!$M$2:$M$201,0),NumberOfTeams),NumberOfTeams+1)</f>
        <v>1</v>
      </c>
    </row>
    <row r="97" ht="30.0" customHeight="1">
      <c r="A97" s="38" t="str">
        <f t="array" ref="A97">XLOOKUP(96,'Team and Program Information'!$B$3:$B$202,'Team and Program Information'!$C$3:$C$202,"ERROR",0)</f>
        <v/>
      </c>
      <c r="B97" s="68" t="str">
        <f t="array" ref="B97">XLOOKUP('Robot Design Input'!$A97,'Team and Program Information'!$C$3:$C$202,'Team and Program Information'!$D$3:$D$202,"",0,)</f>
        <v>#VALUE!</v>
      </c>
      <c r="C97" s="38"/>
      <c r="D97" s="38"/>
      <c r="E97" s="38"/>
      <c r="F97" s="38"/>
      <c r="G97" s="38"/>
      <c r="H97" s="38"/>
      <c r="I97" s="38"/>
      <c r="J97" s="38"/>
      <c r="K97" s="38"/>
      <c r="L97" s="38"/>
      <c r="M97" s="38">
        <f>SUM('Robot Design Input'!$C97:$L97)</f>
        <v>0</v>
      </c>
      <c r="N97" s="80">
        <f>IF('Robot Design Input'!$A97&gt;0,MIN(_xlfn.RANK.EQ('Robot Design Input'!$M97,'Robot Design Input'!$M$2:$M$201,0),NumberOfTeams),NumberOfTeams+1)</f>
        <v>1</v>
      </c>
    </row>
    <row r="98" ht="30.0" customHeight="1">
      <c r="A98" s="38" t="str">
        <f t="array" ref="A98">XLOOKUP(97,'Team and Program Information'!$B$3:$B$202,'Team and Program Information'!$C$3:$C$202,"ERROR",0)</f>
        <v/>
      </c>
      <c r="B98" s="68" t="str">
        <f t="array" ref="B98">XLOOKUP('Robot Design Input'!$A98,'Team and Program Information'!$C$3:$C$202,'Team and Program Information'!$D$3:$D$202,"",0,)</f>
        <v>#VALUE!</v>
      </c>
      <c r="C98" s="38"/>
      <c r="D98" s="38"/>
      <c r="E98" s="38"/>
      <c r="F98" s="38"/>
      <c r="G98" s="38"/>
      <c r="H98" s="38"/>
      <c r="I98" s="38"/>
      <c r="J98" s="38"/>
      <c r="K98" s="38"/>
      <c r="L98" s="38"/>
      <c r="M98" s="38">
        <f>SUM('Robot Design Input'!$C98:$L98)</f>
        <v>0</v>
      </c>
      <c r="N98" s="80">
        <f>IF('Robot Design Input'!$A98&gt;0,MIN(_xlfn.RANK.EQ('Robot Design Input'!$M98,'Robot Design Input'!$M$2:$M$201,0),NumberOfTeams),NumberOfTeams+1)</f>
        <v>1</v>
      </c>
    </row>
    <row r="99" ht="30.0" customHeight="1">
      <c r="A99" s="38" t="str">
        <f t="array" ref="A99">XLOOKUP(98,'Team and Program Information'!$B$3:$B$202,'Team and Program Information'!$C$3:$C$202,"ERROR",0)</f>
        <v/>
      </c>
      <c r="B99" s="68" t="str">
        <f t="array" ref="B99">XLOOKUP('Robot Design Input'!$A99,'Team and Program Information'!$C$3:$C$202,'Team and Program Information'!$D$3:$D$202,"",0,)</f>
        <v>#VALUE!</v>
      </c>
      <c r="C99" s="38"/>
      <c r="D99" s="38"/>
      <c r="E99" s="38"/>
      <c r="F99" s="38"/>
      <c r="G99" s="38"/>
      <c r="H99" s="38"/>
      <c r="I99" s="38"/>
      <c r="J99" s="38"/>
      <c r="K99" s="38"/>
      <c r="L99" s="38"/>
      <c r="M99" s="38">
        <f>SUM('Robot Design Input'!$C99:$L99)</f>
        <v>0</v>
      </c>
      <c r="N99" s="80">
        <f>IF('Robot Design Input'!$A99&gt;0,MIN(_xlfn.RANK.EQ('Robot Design Input'!$M99,'Robot Design Input'!$M$2:$M$201,0),NumberOfTeams),NumberOfTeams+1)</f>
        <v>1</v>
      </c>
    </row>
    <row r="100" ht="30.0" customHeight="1">
      <c r="A100" s="38" t="str">
        <f t="array" ref="A100">XLOOKUP(99,'Team and Program Information'!$B$3:$B$202,'Team and Program Information'!$C$3:$C$202,"ERROR",0)</f>
        <v/>
      </c>
      <c r="B100" s="68" t="str">
        <f t="array" ref="B100">XLOOKUP('Robot Design Input'!$A100,'Team and Program Information'!$C$3:$C$202,'Team and Program Information'!$D$3:$D$202,"",0,)</f>
        <v>#VALUE!</v>
      </c>
      <c r="C100" s="38"/>
      <c r="D100" s="38"/>
      <c r="E100" s="38"/>
      <c r="F100" s="38"/>
      <c r="G100" s="38"/>
      <c r="H100" s="38"/>
      <c r="I100" s="38"/>
      <c r="J100" s="38"/>
      <c r="K100" s="38"/>
      <c r="L100" s="38"/>
      <c r="M100" s="38">
        <f>SUM('Robot Design Input'!$C100:$L100)</f>
        <v>0</v>
      </c>
      <c r="N100" s="80">
        <f>IF('Robot Design Input'!$A100&gt;0,MIN(_xlfn.RANK.EQ('Robot Design Input'!$M100,'Robot Design Input'!$M$2:$M$201,0),NumberOfTeams),NumberOfTeams+1)</f>
        <v>1</v>
      </c>
    </row>
    <row r="101" ht="30.0" customHeight="1">
      <c r="A101" s="38" t="str">
        <f t="array" ref="A101">XLOOKUP(100,'Team and Program Information'!$B$3:$B$202,'Team and Program Information'!$C$3:$C$202,"ERROR",0)</f>
        <v/>
      </c>
      <c r="B101" s="68" t="str">
        <f t="array" ref="B101">XLOOKUP('Robot Design Input'!$A101,'Team and Program Information'!$C$3:$C$202,'Team and Program Information'!$D$3:$D$202,"",0,)</f>
        <v>#VALUE!</v>
      </c>
      <c r="C101" s="38"/>
      <c r="D101" s="38"/>
      <c r="E101" s="38"/>
      <c r="F101" s="38"/>
      <c r="G101" s="38"/>
      <c r="H101" s="38"/>
      <c r="I101" s="38"/>
      <c r="J101" s="38"/>
      <c r="K101" s="38"/>
      <c r="L101" s="38"/>
      <c r="M101" s="38">
        <f>SUM('Robot Design Input'!$C101:$L101)</f>
        <v>0</v>
      </c>
      <c r="N101" s="80">
        <f>IF('Robot Design Input'!$A101&gt;0,MIN(_xlfn.RANK.EQ('Robot Design Input'!$M101,'Robot Design Input'!$M$2:$M$201,0),NumberOfTeams),NumberOfTeams+1)</f>
        <v>1</v>
      </c>
    </row>
    <row r="102" ht="30.0" customHeight="1">
      <c r="A102" s="38" t="str">
        <f t="array" ref="A102">XLOOKUP(101,'Team and Program Information'!$B$3:$B$202,'Team and Program Information'!$C$3:$C$202,"ERROR",0)</f>
        <v/>
      </c>
      <c r="B102" s="68" t="str">
        <f t="array" ref="B102">XLOOKUP('Robot Design Input'!$A102,'Team and Program Information'!$C$3:$C$202,'Team and Program Information'!$D$3:$D$202,"",0,)</f>
        <v>#VALUE!</v>
      </c>
      <c r="C102" s="38"/>
      <c r="D102" s="38"/>
      <c r="E102" s="38"/>
      <c r="F102" s="38"/>
      <c r="G102" s="38"/>
      <c r="H102" s="38"/>
      <c r="I102" s="38"/>
      <c r="J102" s="38"/>
      <c r="K102" s="38"/>
      <c r="L102" s="38"/>
      <c r="M102" s="38">
        <f>SUM('Robot Design Input'!$C102:$L102)</f>
        <v>0</v>
      </c>
      <c r="N102" s="80">
        <f>IF('Robot Design Input'!$A102&gt;0,MIN(_xlfn.RANK.EQ('Robot Design Input'!$M102,'Robot Design Input'!$M$2:$M$201,0),NumberOfTeams),NumberOfTeams+1)</f>
        <v>1</v>
      </c>
    </row>
    <row r="103" ht="30.0" customHeight="1">
      <c r="A103" s="38" t="str">
        <f t="array" ref="A103">XLOOKUP(102,'Team and Program Information'!$B$3:$B$202,'Team and Program Information'!$C$3:$C$202,"ERROR",0)</f>
        <v/>
      </c>
      <c r="B103" s="68" t="str">
        <f t="array" ref="B103">XLOOKUP('Robot Design Input'!$A103,'Team and Program Information'!$C$3:$C$202,'Team and Program Information'!$D$3:$D$202,"",0,)</f>
        <v>#VALUE!</v>
      </c>
      <c r="C103" s="38"/>
      <c r="D103" s="38"/>
      <c r="E103" s="38"/>
      <c r="F103" s="38"/>
      <c r="G103" s="38"/>
      <c r="H103" s="38"/>
      <c r="I103" s="38"/>
      <c r="J103" s="38"/>
      <c r="K103" s="38"/>
      <c r="L103" s="38"/>
      <c r="M103" s="38">
        <f>SUM('Robot Design Input'!$C103:$L103)</f>
        <v>0</v>
      </c>
      <c r="N103" s="80">
        <f>IF('Robot Design Input'!$A103&gt;0,MIN(_xlfn.RANK.EQ('Robot Design Input'!$M103,'Robot Design Input'!$M$2:$M$201,0),NumberOfTeams),NumberOfTeams+1)</f>
        <v>1</v>
      </c>
    </row>
    <row r="104" ht="30.0" customHeight="1">
      <c r="A104" s="38" t="str">
        <f t="array" ref="A104">XLOOKUP(103,'Team and Program Information'!$B$3:$B$202,'Team and Program Information'!$C$3:$C$202,"ERROR",0)</f>
        <v/>
      </c>
      <c r="B104" s="68" t="str">
        <f t="array" ref="B104">XLOOKUP('Robot Design Input'!$A104,'Team and Program Information'!$C$3:$C$202,'Team and Program Information'!$D$3:$D$202,"",0,)</f>
        <v>#VALUE!</v>
      </c>
      <c r="C104" s="38"/>
      <c r="D104" s="38"/>
      <c r="E104" s="38"/>
      <c r="F104" s="38"/>
      <c r="G104" s="38"/>
      <c r="H104" s="38"/>
      <c r="I104" s="38"/>
      <c r="J104" s="38"/>
      <c r="K104" s="38"/>
      <c r="L104" s="38"/>
      <c r="M104" s="38">
        <f>SUM('Robot Design Input'!$C104:$L104)</f>
        <v>0</v>
      </c>
      <c r="N104" s="80">
        <f>IF('Robot Design Input'!$A104&gt;0,MIN(_xlfn.RANK.EQ('Robot Design Input'!$M104,'Robot Design Input'!$M$2:$M$201,0),NumberOfTeams),NumberOfTeams+1)</f>
        <v>1</v>
      </c>
    </row>
    <row r="105" ht="30.0" customHeight="1">
      <c r="A105" s="38" t="str">
        <f t="array" ref="A105">XLOOKUP(104,'Team and Program Information'!$B$3:$B$202,'Team and Program Information'!$C$3:$C$202,"ERROR",0)</f>
        <v/>
      </c>
      <c r="B105" s="68" t="str">
        <f t="array" ref="B105">XLOOKUP('Robot Design Input'!$A105,'Team and Program Information'!$C$3:$C$202,'Team and Program Information'!$D$3:$D$202,"",0,)</f>
        <v>#VALUE!</v>
      </c>
      <c r="C105" s="38"/>
      <c r="D105" s="38"/>
      <c r="E105" s="38"/>
      <c r="F105" s="38"/>
      <c r="G105" s="38"/>
      <c r="H105" s="38"/>
      <c r="I105" s="38"/>
      <c r="J105" s="38"/>
      <c r="K105" s="38"/>
      <c r="L105" s="38"/>
      <c r="M105" s="38">
        <f>SUM('Robot Design Input'!$C105:$L105)</f>
        <v>0</v>
      </c>
      <c r="N105" s="80">
        <f>IF('Robot Design Input'!$A105&gt;0,MIN(_xlfn.RANK.EQ('Robot Design Input'!$M105,'Robot Design Input'!$M$2:$M$201,0),NumberOfTeams),NumberOfTeams+1)</f>
        <v>1</v>
      </c>
    </row>
    <row r="106" ht="30.0" customHeight="1">
      <c r="A106" s="38" t="str">
        <f t="array" ref="A106">XLOOKUP(105,'Team and Program Information'!$B$3:$B$202,'Team and Program Information'!$C$3:$C$202,"ERROR",0)</f>
        <v/>
      </c>
      <c r="B106" s="68" t="str">
        <f t="array" ref="B106">XLOOKUP('Robot Design Input'!$A106,'Team and Program Information'!$C$3:$C$202,'Team and Program Information'!$D$3:$D$202,"",0,)</f>
        <v>#VALUE!</v>
      </c>
      <c r="C106" s="38"/>
      <c r="D106" s="38"/>
      <c r="E106" s="38"/>
      <c r="F106" s="38"/>
      <c r="G106" s="38"/>
      <c r="H106" s="38"/>
      <c r="I106" s="38"/>
      <c r="J106" s="38"/>
      <c r="K106" s="38"/>
      <c r="L106" s="38"/>
      <c r="M106" s="38">
        <f>SUM('Robot Design Input'!$C106:$L106)</f>
        <v>0</v>
      </c>
      <c r="N106" s="80">
        <f>IF('Robot Design Input'!$A106&gt;0,MIN(_xlfn.RANK.EQ('Robot Design Input'!$M106,'Robot Design Input'!$M$2:$M$201,0),NumberOfTeams),NumberOfTeams+1)</f>
        <v>1</v>
      </c>
    </row>
    <row r="107" ht="30.0" customHeight="1">
      <c r="A107" s="38" t="str">
        <f t="array" ref="A107">XLOOKUP(106,'Team and Program Information'!$B$3:$B$202,'Team and Program Information'!$C$3:$C$202,"ERROR",0)</f>
        <v/>
      </c>
      <c r="B107" s="68" t="str">
        <f t="array" ref="B107">XLOOKUP('Robot Design Input'!$A107,'Team and Program Information'!$C$3:$C$202,'Team and Program Information'!$D$3:$D$202,"",0,)</f>
        <v>#VALUE!</v>
      </c>
      <c r="C107" s="38"/>
      <c r="D107" s="38"/>
      <c r="E107" s="38"/>
      <c r="F107" s="38"/>
      <c r="G107" s="38"/>
      <c r="H107" s="38"/>
      <c r="I107" s="38"/>
      <c r="J107" s="38"/>
      <c r="K107" s="38"/>
      <c r="L107" s="38"/>
      <c r="M107" s="38">
        <f>SUM('Robot Design Input'!$C107:$L107)</f>
        <v>0</v>
      </c>
      <c r="N107" s="80">
        <f>IF('Robot Design Input'!$A107&gt;0,MIN(_xlfn.RANK.EQ('Robot Design Input'!$M107,'Robot Design Input'!$M$2:$M$201,0),NumberOfTeams),NumberOfTeams+1)</f>
        <v>1</v>
      </c>
    </row>
    <row r="108" ht="30.0" customHeight="1">
      <c r="A108" s="38" t="str">
        <f t="array" ref="A108">XLOOKUP(107,'Team and Program Information'!$B$3:$B$202,'Team and Program Information'!$C$3:$C$202,"ERROR",0)</f>
        <v/>
      </c>
      <c r="B108" s="68" t="str">
        <f t="array" ref="B108">XLOOKUP('Robot Design Input'!$A108,'Team and Program Information'!$C$3:$C$202,'Team and Program Information'!$D$3:$D$202,"",0,)</f>
        <v>#VALUE!</v>
      </c>
      <c r="C108" s="38"/>
      <c r="D108" s="38"/>
      <c r="E108" s="38"/>
      <c r="F108" s="38"/>
      <c r="G108" s="38"/>
      <c r="H108" s="38"/>
      <c r="I108" s="38"/>
      <c r="J108" s="38"/>
      <c r="K108" s="38"/>
      <c r="L108" s="38"/>
      <c r="M108" s="38">
        <f>SUM('Robot Design Input'!$C108:$L108)</f>
        <v>0</v>
      </c>
      <c r="N108" s="80">
        <f>IF('Robot Design Input'!$A108&gt;0,MIN(_xlfn.RANK.EQ('Robot Design Input'!$M108,'Robot Design Input'!$M$2:$M$201,0),NumberOfTeams),NumberOfTeams+1)</f>
        <v>1</v>
      </c>
    </row>
    <row r="109" ht="30.0" customHeight="1">
      <c r="A109" s="38" t="str">
        <f t="array" ref="A109">XLOOKUP(108,'Team and Program Information'!$B$3:$B$202,'Team and Program Information'!$C$3:$C$202,"ERROR",0)</f>
        <v/>
      </c>
      <c r="B109" s="68" t="str">
        <f t="array" ref="B109">XLOOKUP('Robot Design Input'!$A109,'Team and Program Information'!$C$3:$C$202,'Team and Program Information'!$D$3:$D$202,"",0,)</f>
        <v>#VALUE!</v>
      </c>
      <c r="C109" s="38"/>
      <c r="D109" s="38"/>
      <c r="E109" s="38"/>
      <c r="F109" s="38"/>
      <c r="G109" s="38"/>
      <c r="H109" s="38"/>
      <c r="I109" s="38"/>
      <c r="J109" s="38"/>
      <c r="K109" s="38"/>
      <c r="L109" s="38"/>
      <c r="M109" s="38">
        <f>SUM('Robot Design Input'!$C109:$L109)</f>
        <v>0</v>
      </c>
      <c r="N109" s="80">
        <f>IF('Robot Design Input'!$A109&gt;0,MIN(_xlfn.RANK.EQ('Robot Design Input'!$M109,'Robot Design Input'!$M$2:$M$201,0),NumberOfTeams),NumberOfTeams+1)</f>
        <v>1</v>
      </c>
    </row>
    <row r="110" ht="30.0" customHeight="1">
      <c r="A110" s="38" t="str">
        <f t="array" ref="A110">XLOOKUP(109,'Team and Program Information'!$B$3:$B$202,'Team and Program Information'!$C$3:$C$202,"ERROR",0)</f>
        <v/>
      </c>
      <c r="B110" s="68" t="str">
        <f t="array" ref="B110">XLOOKUP('Robot Design Input'!$A110,'Team and Program Information'!$C$3:$C$202,'Team and Program Information'!$D$3:$D$202,"",0,)</f>
        <v>#VALUE!</v>
      </c>
      <c r="C110" s="38"/>
      <c r="D110" s="38"/>
      <c r="E110" s="38"/>
      <c r="F110" s="38"/>
      <c r="G110" s="38"/>
      <c r="H110" s="38"/>
      <c r="I110" s="38"/>
      <c r="J110" s="38"/>
      <c r="K110" s="38"/>
      <c r="L110" s="38"/>
      <c r="M110" s="38">
        <f>SUM('Robot Design Input'!$C110:$L110)</f>
        <v>0</v>
      </c>
      <c r="N110" s="80">
        <f>IF('Robot Design Input'!$A110&gt;0,MIN(_xlfn.RANK.EQ('Robot Design Input'!$M110,'Robot Design Input'!$M$2:$M$201,0),NumberOfTeams),NumberOfTeams+1)</f>
        <v>1</v>
      </c>
    </row>
    <row r="111" ht="30.0" customHeight="1">
      <c r="A111" s="38" t="str">
        <f t="array" ref="A111">XLOOKUP(110,'Team and Program Information'!$B$3:$B$202,'Team and Program Information'!$C$3:$C$202,"ERROR",0)</f>
        <v/>
      </c>
      <c r="B111" s="68" t="str">
        <f t="array" ref="B111">XLOOKUP('Robot Design Input'!$A111,'Team and Program Information'!$C$3:$C$202,'Team and Program Information'!$D$3:$D$202,"",0,)</f>
        <v>#VALUE!</v>
      </c>
      <c r="C111" s="38"/>
      <c r="D111" s="38"/>
      <c r="E111" s="38"/>
      <c r="F111" s="38"/>
      <c r="G111" s="38"/>
      <c r="H111" s="38"/>
      <c r="I111" s="38"/>
      <c r="J111" s="38"/>
      <c r="K111" s="38"/>
      <c r="L111" s="38"/>
      <c r="M111" s="38">
        <f>SUM('Robot Design Input'!$C111:$L111)</f>
        <v>0</v>
      </c>
      <c r="N111" s="80">
        <f>IF('Robot Design Input'!$A111&gt;0,MIN(_xlfn.RANK.EQ('Robot Design Input'!$M111,'Robot Design Input'!$M$2:$M$201,0),NumberOfTeams),NumberOfTeams+1)</f>
        <v>1</v>
      </c>
    </row>
    <row r="112" ht="30.0" customHeight="1">
      <c r="A112" s="38" t="str">
        <f t="array" ref="A112">XLOOKUP(111,'Team and Program Information'!$B$3:$B$202,'Team and Program Information'!$C$3:$C$202,"ERROR",0)</f>
        <v/>
      </c>
      <c r="B112" s="68" t="str">
        <f t="array" ref="B112">XLOOKUP('Robot Design Input'!$A112,'Team and Program Information'!$C$3:$C$202,'Team and Program Information'!$D$3:$D$202,"",0,)</f>
        <v>#VALUE!</v>
      </c>
      <c r="C112" s="38"/>
      <c r="D112" s="38"/>
      <c r="E112" s="38"/>
      <c r="F112" s="38"/>
      <c r="G112" s="38"/>
      <c r="H112" s="38"/>
      <c r="I112" s="38"/>
      <c r="J112" s="38"/>
      <c r="K112" s="38"/>
      <c r="L112" s="38"/>
      <c r="M112" s="38">
        <f>SUM('Robot Design Input'!$C112:$L112)</f>
        <v>0</v>
      </c>
      <c r="N112" s="80">
        <f>IF('Robot Design Input'!$A112&gt;0,MIN(_xlfn.RANK.EQ('Robot Design Input'!$M112,'Robot Design Input'!$M$2:$M$201,0),NumberOfTeams),NumberOfTeams+1)</f>
        <v>1</v>
      </c>
    </row>
    <row r="113" ht="30.0" customHeight="1">
      <c r="A113" s="38" t="str">
        <f t="array" ref="A113">XLOOKUP(112,'Team and Program Information'!$B$3:$B$202,'Team and Program Information'!$C$3:$C$202,"ERROR",0)</f>
        <v/>
      </c>
      <c r="B113" s="68" t="str">
        <f t="array" ref="B113">XLOOKUP('Robot Design Input'!$A113,'Team and Program Information'!$C$3:$C$202,'Team and Program Information'!$D$3:$D$202,"",0,)</f>
        <v>#VALUE!</v>
      </c>
      <c r="C113" s="38"/>
      <c r="D113" s="38"/>
      <c r="E113" s="38"/>
      <c r="F113" s="38"/>
      <c r="G113" s="38"/>
      <c r="H113" s="38"/>
      <c r="I113" s="38"/>
      <c r="J113" s="38"/>
      <c r="K113" s="38"/>
      <c r="L113" s="38"/>
      <c r="M113" s="38">
        <f>SUM('Robot Design Input'!$C113:$L113)</f>
        <v>0</v>
      </c>
      <c r="N113" s="80">
        <f>IF('Robot Design Input'!$A113&gt;0,MIN(_xlfn.RANK.EQ('Robot Design Input'!$M113,'Robot Design Input'!$M$2:$M$201,0),NumberOfTeams),NumberOfTeams+1)</f>
        <v>1</v>
      </c>
    </row>
    <row r="114" ht="30.0" customHeight="1">
      <c r="A114" s="38" t="str">
        <f t="array" ref="A114">XLOOKUP(113,'Team and Program Information'!$B$3:$B$202,'Team and Program Information'!$C$3:$C$202,"ERROR",0)</f>
        <v/>
      </c>
      <c r="B114" s="68" t="str">
        <f t="array" ref="B114">XLOOKUP('Robot Design Input'!$A114,'Team and Program Information'!$C$3:$C$202,'Team and Program Information'!$D$3:$D$202,"",0,)</f>
        <v>#VALUE!</v>
      </c>
      <c r="C114" s="38"/>
      <c r="D114" s="38"/>
      <c r="E114" s="38"/>
      <c r="F114" s="38"/>
      <c r="G114" s="38"/>
      <c r="H114" s="38"/>
      <c r="I114" s="38"/>
      <c r="J114" s="38"/>
      <c r="K114" s="38"/>
      <c r="L114" s="38"/>
      <c r="M114" s="38">
        <f>SUM('Robot Design Input'!$C114:$L114)</f>
        <v>0</v>
      </c>
      <c r="N114" s="80">
        <f>IF('Robot Design Input'!$A114&gt;0,MIN(_xlfn.RANK.EQ('Robot Design Input'!$M114,'Robot Design Input'!$M$2:$M$201,0),NumberOfTeams),NumberOfTeams+1)</f>
        <v>1</v>
      </c>
    </row>
    <row r="115" ht="30.0" customHeight="1">
      <c r="A115" s="38" t="str">
        <f t="array" ref="A115">XLOOKUP(114,'Team and Program Information'!$B$3:$B$202,'Team and Program Information'!$C$3:$C$202,"ERROR",0)</f>
        <v/>
      </c>
      <c r="B115" s="68" t="str">
        <f t="array" ref="B115">XLOOKUP('Robot Design Input'!$A115,'Team and Program Information'!$C$3:$C$202,'Team and Program Information'!$D$3:$D$202,"",0,)</f>
        <v>#VALUE!</v>
      </c>
      <c r="C115" s="38"/>
      <c r="D115" s="38"/>
      <c r="E115" s="38"/>
      <c r="F115" s="38"/>
      <c r="G115" s="38"/>
      <c r="H115" s="38"/>
      <c r="I115" s="38"/>
      <c r="J115" s="38"/>
      <c r="K115" s="38"/>
      <c r="L115" s="38"/>
      <c r="M115" s="38">
        <f>SUM('Robot Design Input'!$C115:$L115)</f>
        <v>0</v>
      </c>
      <c r="N115" s="80">
        <f>IF('Robot Design Input'!$A115&gt;0,MIN(_xlfn.RANK.EQ('Robot Design Input'!$M115,'Robot Design Input'!$M$2:$M$201,0),NumberOfTeams),NumberOfTeams+1)</f>
        <v>1</v>
      </c>
    </row>
    <row r="116" ht="30.0" customHeight="1">
      <c r="A116" s="38" t="str">
        <f t="array" ref="A116">XLOOKUP(115,'Team and Program Information'!$B$3:$B$202,'Team and Program Information'!$C$3:$C$202,"ERROR",0)</f>
        <v/>
      </c>
      <c r="B116" s="68" t="str">
        <f t="array" ref="B116">XLOOKUP('Robot Design Input'!$A116,'Team and Program Information'!$C$3:$C$202,'Team and Program Information'!$D$3:$D$202,"",0,)</f>
        <v>#VALUE!</v>
      </c>
      <c r="C116" s="38"/>
      <c r="D116" s="38"/>
      <c r="E116" s="38"/>
      <c r="F116" s="38"/>
      <c r="G116" s="38"/>
      <c r="H116" s="38"/>
      <c r="I116" s="38"/>
      <c r="J116" s="38"/>
      <c r="K116" s="38"/>
      <c r="L116" s="38"/>
      <c r="M116" s="38">
        <f>SUM('Robot Design Input'!$C116:$L116)</f>
        <v>0</v>
      </c>
      <c r="N116" s="80">
        <f>IF('Robot Design Input'!$A116&gt;0,MIN(_xlfn.RANK.EQ('Robot Design Input'!$M116,'Robot Design Input'!$M$2:$M$201,0),NumberOfTeams),NumberOfTeams+1)</f>
        <v>1</v>
      </c>
    </row>
    <row r="117" ht="30.0" customHeight="1">
      <c r="A117" s="38" t="str">
        <f t="array" ref="A117">XLOOKUP(116,'Team and Program Information'!$B$3:$B$202,'Team and Program Information'!$C$3:$C$202,"ERROR",0)</f>
        <v/>
      </c>
      <c r="B117" s="68" t="str">
        <f t="array" ref="B117">XLOOKUP('Robot Design Input'!$A117,'Team and Program Information'!$C$3:$C$202,'Team and Program Information'!$D$3:$D$202,"",0,)</f>
        <v>#VALUE!</v>
      </c>
      <c r="C117" s="38"/>
      <c r="D117" s="38"/>
      <c r="E117" s="38"/>
      <c r="F117" s="38"/>
      <c r="G117" s="38"/>
      <c r="H117" s="38"/>
      <c r="I117" s="38"/>
      <c r="J117" s="38"/>
      <c r="K117" s="38"/>
      <c r="L117" s="38"/>
      <c r="M117" s="38">
        <f>SUM('Robot Design Input'!$C117:$L117)</f>
        <v>0</v>
      </c>
      <c r="N117" s="80">
        <f>IF('Robot Design Input'!$A117&gt;0,MIN(_xlfn.RANK.EQ('Robot Design Input'!$M117,'Robot Design Input'!$M$2:$M$201,0),NumberOfTeams),NumberOfTeams+1)</f>
        <v>1</v>
      </c>
    </row>
    <row r="118" ht="30.0" customHeight="1">
      <c r="A118" s="38" t="str">
        <f t="array" ref="A118">XLOOKUP(117,'Team and Program Information'!$B$3:$B$202,'Team and Program Information'!$C$3:$C$202,"ERROR",0)</f>
        <v/>
      </c>
      <c r="B118" s="68" t="str">
        <f t="array" ref="B118">XLOOKUP('Robot Design Input'!$A118,'Team and Program Information'!$C$3:$C$202,'Team and Program Information'!$D$3:$D$202,"",0,)</f>
        <v>#VALUE!</v>
      </c>
      <c r="C118" s="38"/>
      <c r="D118" s="38"/>
      <c r="E118" s="38"/>
      <c r="F118" s="38"/>
      <c r="G118" s="38"/>
      <c r="H118" s="38"/>
      <c r="I118" s="38"/>
      <c r="J118" s="38"/>
      <c r="K118" s="38"/>
      <c r="L118" s="38"/>
      <c r="M118" s="38">
        <f>SUM('Robot Design Input'!$C118:$L118)</f>
        <v>0</v>
      </c>
      <c r="N118" s="80">
        <f>IF('Robot Design Input'!$A118&gt;0,MIN(_xlfn.RANK.EQ('Robot Design Input'!$M118,'Robot Design Input'!$M$2:$M$201,0),NumberOfTeams),NumberOfTeams+1)</f>
        <v>1</v>
      </c>
    </row>
    <row r="119" ht="30.0" customHeight="1">
      <c r="A119" s="38" t="str">
        <f t="array" ref="A119">XLOOKUP(118,'Team and Program Information'!$B$3:$B$202,'Team and Program Information'!$C$3:$C$202,"ERROR",0)</f>
        <v/>
      </c>
      <c r="B119" s="68" t="str">
        <f t="array" ref="B119">XLOOKUP('Robot Design Input'!$A119,'Team and Program Information'!$C$3:$C$202,'Team and Program Information'!$D$3:$D$202,"",0,)</f>
        <v>#VALUE!</v>
      </c>
      <c r="C119" s="38"/>
      <c r="D119" s="38"/>
      <c r="E119" s="38"/>
      <c r="F119" s="38"/>
      <c r="G119" s="38"/>
      <c r="H119" s="38"/>
      <c r="I119" s="38"/>
      <c r="J119" s="38"/>
      <c r="K119" s="38"/>
      <c r="L119" s="38"/>
      <c r="M119" s="38">
        <f>SUM('Robot Design Input'!$C119:$L119)</f>
        <v>0</v>
      </c>
      <c r="N119" s="80">
        <f>IF('Robot Design Input'!$A119&gt;0,MIN(_xlfn.RANK.EQ('Robot Design Input'!$M119,'Robot Design Input'!$M$2:$M$201,0),NumberOfTeams),NumberOfTeams+1)</f>
        <v>1</v>
      </c>
    </row>
    <row r="120" ht="30.0" customHeight="1">
      <c r="A120" s="38" t="str">
        <f t="array" ref="A120">XLOOKUP(119,'Team and Program Information'!$B$3:$B$202,'Team and Program Information'!$C$3:$C$202,"ERROR",0)</f>
        <v/>
      </c>
      <c r="B120" s="68" t="str">
        <f t="array" ref="B120">XLOOKUP('Robot Design Input'!$A120,'Team and Program Information'!$C$3:$C$202,'Team and Program Information'!$D$3:$D$202,"",0,)</f>
        <v>#VALUE!</v>
      </c>
      <c r="C120" s="38"/>
      <c r="D120" s="38"/>
      <c r="E120" s="38"/>
      <c r="F120" s="38"/>
      <c r="G120" s="38"/>
      <c r="H120" s="38"/>
      <c r="I120" s="38"/>
      <c r="J120" s="38"/>
      <c r="K120" s="38"/>
      <c r="L120" s="38"/>
      <c r="M120" s="38">
        <f>SUM('Robot Design Input'!$C120:$L120)</f>
        <v>0</v>
      </c>
      <c r="N120" s="80">
        <f>IF('Robot Design Input'!$A120&gt;0,MIN(_xlfn.RANK.EQ('Robot Design Input'!$M120,'Robot Design Input'!$M$2:$M$201,0),NumberOfTeams),NumberOfTeams+1)</f>
        <v>1</v>
      </c>
    </row>
    <row r="121" ht="30.0" customHeight="1">
      <c r="A121" s="38" t="str">
        <f t="array" ref="A121">XLOOKUP(120,'Team and Program Information'!$B$3:$B$202,'Team and Program Information'!$C$3:$C$202,"ERROR",0)</f>
        <v/>
      </c>
      <c r="B121" s="68" t="str">
        <f t="array" ref="B121">XLOOKUP('Robot Design Input'!$A121,'Team and Program Information'!$C$3:$C$202,'Team and Program Information'!$D$3:$D$202,"",0,)</f>
        <v>#VALUE!</v>
      </c>
      <c r="C121" s="38"/>
      <c r="D121" s="38"/>
      <c r="E121" s="38"/>
      <c r="F121" s="38"/>
      <c r="G121" s="38"/>
      <c r="H121" s="38"/>
      <c r="I121" s="38"/>
      <c r="J121" s="38"/>
      <c r="K121" s="38"/>
      <c r="L121" s="38"/>
      <c r="M121" s="38">
        <f>SUM('Robot Design Input'!$C121:$L121)</f>
        <v>0</v>
      </c>
      <c r="N121" s="80">
        <f>IF('Robot Design Input'!$A121&gt;0,MIN(_xlfn.RANK.EQ('Robot Design Input'!$M121,'Robot Design Input'!$M$2:$M$201,0),NumberOfTeams),NumberOfTeams+1)</f>
        <v>1</v>
      </c>
    </row>
    <row r="122" ht="30.0" customHeight="1">
      <c r="A122" s="38" t="str">
        <f t="array" ref="A122">XLOOKUP(121,'Team and Program Information'!$B$3:$B$202,'Team and Program Information'!$C$3:$C$202,"ERROR",0)</f>
        <v/>
      </c>
      <c r="B122" s="68" t="str">
        <f t="array" ref="B122">XLOOKUP('Robot Design Input'!$A122,'Team and Program Information'!$C$3:$C$202,'Team and Program Information'!$D$3:$D$202,"",0,)</f>
        <v>#VALUE!</v>
      </c>
      <c r="C122" s="38"/>
      <c r="D122" s="38"/>
      <c r="E122" s="38"/>
      <c r="F122" s="38"/>
      <c r="G122" s="38"/>
      <c r="H122" s="38"/>
      <c r="I122" s="38"/>
      <c r="J122" s="38"/>
      <c r="K122" s="38"/>
      <c r="L122" s="38"/>
      <c r="M122" s="38">
        <f>SUM('Robot Design Input'!$C122:$L122)</f>
        <v>0</v>
      </c>
      <c r="N122" s="80">
        <f>IF('Robot Design Input'!$A122&gt;0,MIN(_xlfn.RANK.EQ('Robot Design Input'!$M122,'Robot Design Input'!$M$2:$M$201,0),NumberOfTeams),NumberOfTeams+1)</f>
        <v>1</v>
      </c>
    </row>
    <row r="123" ht="30.0" customHeight="1">
      <c r="A123" s="38" t="str">
        <f t="array" ref="A123">XLOOKUP(122,'Team and Program Information'!$B$3:$B$202,'Team and Program Information'!$C$3:$C$202,"ERROR",0)</f>
        <v/>
      </c>
      <c r="B123" s="68" t="str">
        <f t="array" ref="B123">XLOOKUP('Robot Design Input'!$A123,'Team and Program Information'!$C$3:$C$202,'Team and Program Information'!$D$3:$D$202,"",0,)</f>
        <v>#VALUE!</v>
      </c>
      <c r="C123" s="38"/>
      <c r="D123" s="38"/>
      <c r="E123" s="38"/>
      <c r="F123" s="38"/>
      <c r="G123" s="38"/>
      <c r="H123" s="38"/>
      <c r="I123" s="38"/>
      <c r="J123" s="38"/>
      <c r="K123" s="38"/>
      <c r="L123" s="38"/>
      <c r="M123" s="38">
        <f>SUM('Robot Design Input'!$C123:$L123)</f>
        <v>0</v>
      </c>
      <c r="N123" s="80">
        <f>IF('Robot Design Input'!$A123&gt;0,MIN(_xlfn.RANK.EQ('Robot Design Input'!$M123,'Robot Design Input'!$M$2:$M$201,0),NumberOfTeams),NumberOfTeams+1)</f>
        <v>1</v>
      </c>
    </row>
    <row r="124" ht="30.0" customHeight="1">
      <c r="A124" s="38" t="str">
        <f t="array" ref="A124">XLOOKUP(123,'Team and Program Information'!$B$3:$B$202,'Team and Program Information'!$C$3:$C$202,"ERROR",0)</f>
        <v/>
      </c>
      <c r="B124" s="68" t="str">
        <f t="array" ref="B124">XLOOKUP('Robot Design Input'!$A124,'Team and Program Information'!$C$3:$C$202,'Team and Program Information'!$D$3:$D$202,"",0,)</f>
        <v>#VALUE!</v>
      </c>
      <c r="C124" s="38"/>
      <c r="D124" s="38"/>
      <c r="E124" s="38"/>
      <c r="F124" s="38"/>
      <c r="G124" s="38"/>
      <c r="H124" s="38"/>
      <c r="I124" s="38"/>
      <c r="J124" s="38"/>
      <c r="K124" s="38"/>
      <c r="L124" s="38"/>
      <c r="M124" s="38">
        <f>SUM('Robot Design Input'!$C124:$L124)</f>
        <v>0</v>
      </c>
      <c r="N124" s="80">
        <f>IF('Robot Design Input'!$A124&gt;0,MIN(_xlfn.RANK.EQ('Robot Design Input'!$M124,'Robot Design Input'!$M$2:$M$201,0),NumberOfTeams),NumberOfTeams+1)</f>
        <v>1</v>
      </c>
    </row>
    <row r="125" ht="30.0" customHeight="1">
      <c r="A125" s="38" t="str">
        <f t="array" ref="A125">XLOOKUP(124,'Team and Program Information'!$B$3:$B$202,'Team and Program Information'!$C$3:$C$202,"ERROR",0)</f>
        <v/>
      </c>
      <c r="B125" s="68" t="str">
        <f t="array" ref="B125">XLOOKUP('Robot Design Input'!$A125,'Team and Program Information'!$C$3:$C$202,'Team and Program Information'!$D$3:$D$202,"",0,)</f>
        <v>#VALUE!</v>
      </c>
      <c r="C125" s="38"/>
      <c r="D125" s="38"/>
      <c r="E125" s="38"/>
      <c r="F125" s="38"/>
      <c r="G125" s="38"/>
      <c r="H125" s="38"/>
      <c r="I125" s="38"/>
      <c r="J125" s="38"/>
      <c r="K125" s="38"/>
      <c r="L125" s="38"/>
      <c r="M125" s="38">
        <f>SUM('Robot Design Input'!$C125:$L125)</f>
        <v>0</v>
      </c>
      <c r="N125" s="80">
        <f>IF('Robot Design Input'!$A125&gt;0,MIN(_xlfn.RANK.EQ('Robot Design Input'!$M125,'Robot Design Input'!$M$2:$M$201,0),NumberOfTeams),NumberOfTeams+1)</f>
        <v>1</v>
      </c>
    </row>
    <row r="126" ht="30.0" customHeight="1">
      <c r="A126" s="38" t="str">
        <f t="array" ref="A126">XLOOKUP(125,'Team and Program Information'!$B$3:$B$202,'Team and Program Information'!$C$3:$C$202,"ERROR",0)</f>
        <v/>
      </c>
      <c r="B126" s="68" t="str">
        <f t="array" ref="B126">XLOOKUP('Robot Design Input'!$A126,'Team and Program Information'!$C$3:$C$202,'Team and Program Information'!$D$3:$D$202,"",0,)</f>
        <v>#VALUE!</v>
      </c>
      <c r="C126" s="38"/>
      <c r="D126" s="38"/>
      <c r="E126" s="38"/>
      <c r="F126" s="38"/>
      <c r="G126" s="38"/>
      <c r="H126" s="38"/>
      <c r="I126" s="38"/>
      <c r="J126" s="38"/>
      <c r="K126" s="38"/>
      <c r="L126" s="38"/>
      <c r="M126" s="38">
        <f>SUM('Robot Design Input'!$C126:$L126)</f>
        <v>0</v>
      </c>
      <c r="N126" s="80">
        <f>IF('Robot Design Input'!$A126&gt;0,MIN(_xlfn.RANK.EQ('Robot Design Input'!$M126,'Robot Design Input'!$M$2:$M$201,0),NumberOfTeams),NumberOfTeams+1)</f>
        <v>1</v>
      </c>
    </row>
    <row r="127" ht="30.0" customHeight="1">
      <c r="A127" s="38" t="str">
        <f t="array" ref="A127">XLOOKUP(126,'Team and Program Information'!$B$3:$B$202,'Team and Program Information'!$C$3:$C$202,"ERROR",0)</f>
        <v/>
      </c>
      <c r="B127" s="68" t="str">
        <f t="array" ref="B127">XLOOKUP('Robot Design Input'!$A127,'Team and Program Information'!$C$3:$C$202,'Team and Program Information'!$D$3:$D$202,"",0,)</f>
        <v>#VALUE!</v>
      </c>
      <c r="C127" s="38"/>
      <c r="D127" s="38"/>
      <c r="E127" s="38"/>
      <c r="F127" s="38"/>
      <c r="G127" s="38"/>
      <c r="H127" s="38"/>
      <c r="I127" s="38"/>
      <c r="J127" s="38"/>
      <c r="K127" s="38"/>
      <c r="L127" s="38"/>
      <c r="M127" s="38">
        <f>SUM('Robot Design Input'!$C127:$L127)</f>
        <v>0</v>
      </c>
      <c r="N127" s="80">
        <f>IF('Robot Design Input'!$A127&gt;0,MIN(_xlfn.RANK.EQ('Robot Design Input'!$M127,'Robot Design Input'!$M$2:$M$201,0),NumberOfTeams),NumberOfTeams+1)</f>
        <v>1</v>
      </c>
    </row>
    <row r="128" ht="30.0" customHeight="1">
      <c r="A128" s="38" t="str">
        <f t="array" ref="A128">XLOOKUP(127,'Team and Program Information'!$B$3:$B$202,'Team and Program Information'!$C$3:$C$202,"ERROR",0)</f>
        <v/>
      </c>
      <c r="B128" s="68" t="str">
        <f t="array" ref="B128">XLOOKUP('Robot Design Input'!$A128,'Team and Program Information'!$C$3:$C$202,'Team and Program Information'!$D$3:$D$202,"",0,)</f>
        <v>#VALUE!</v>
      </c>
      <c r="C128" s="38"/>
      <c r="D128" s="38"/>
      <c r="E128" s="38"/>
      <c r="F128" s="38"/>
      <c r="G128" s="38"/>
      <c r="H128" s="38"/>
      <c r="I128" s="38"/>
      <c r="J128" s="38"/>
      <c r="K128" s="38"/>
      <c r="L128" s="38"/>
      <c r="M128" s="38">
        <f>SUM('Robot Design Input'!$C128:$L128)</f>
        <v>0</v>
      </c>
      <c r="N128" s="80">
        <f>IF('Robot Design Input'!$A128&gt;0,MIN(_xlfn.RANK.EQ('Robot Design Input'!$M128,'Robot Design Input'!$M$2:$M$201,0),NumberOfTeams),NumberOfTeams+1)</f>
        <v>1</v>
      </c>
    </row>
    <row r="129" ht="30.0" customHeight="1">
      <c r="A129" s="38" t="str">
        <f t="array" ref="A129">XLOOKUP(128,'Team and Program Information'!$B$3:$B$202,'Team and Program Information'!$C$3:$C$202,"ERROR",0)</f>
        <v/>
      </c>
      <c r="B129" s="68" t="str">
        <f t="array" ref="B129">XLOOKUP('Robot Design Input'!$A129,'Team and Program Information'!$C$3:$C$202,'Team and Program Information'!$D$3:$D$202,"",0,)</f>
        <v>#VALUE!</v>
      </c>
      <c r="C129" s="38"/>
      <c r="D129" s="38"/>
      <c r="E129" s="38"/>
      <c r="F129" s="38"/>
      <c r="G129" s="38"/>
      <c r="H129" s="38"/>
      <c r="I129" s="38"/>
      <c r="J129" s="38"/>
      <c r="K129" s="38"/>
      <c r="L129" s="38"/>
      <c r="M129" s="38">
        <f>SUM('Robot Design Input'!$C129:$L129)</f>
        <v>0</v>
      </c>
      <c r="N129" s="80">
        <f>IF('Robot Design Input'!$A129&gt;0,MIN(_xlfn.RANK.EQ('Robot Design Input'!$M129,'Robot Design Input'!$M$2:$M$201,0),NumberOfTeams),NumberOfTeams+1)</f>
        <v>1</v>
      </c>
    </row>
    <row r="130" ht="30.0" customHeight="1">
      <c r="A130" s="38" t="str">
        <f t="array" ref="A130">XLOOKUP(129,'Team and Program Information'!$B$3:$B$202,'Team and Program Information'!$C$3:$C$202,"ERROR",0)</f>
        <v/>
      </c>
      <c r="B130" s="68" t="str">
        <f t="array" ref="B130">XLOOKUP('Robot Design Input'!$A130,'Team and Program Information'!$C$3:$C$202,'Team and Program Information'!$D$3:$D$202,"",0,)</f>
        <v>#VALUE!</v>
      </c>
      <c r="C130" s="38"/>
      <c r="D130" s="38"/>
      <c r="E130" s="38"/>
      <c r="F130" s="38"/>
      <c r="G130" s="38"/>
      <c r="H130" s="38"/>
      <c r="I130" s="38"/>
      <c r="J130" s="38"/>
      <c r="K130" s="38"/>
      <c r="L130" s="38"/>
      <c r="M130" s="38">
        <f>SUM('Robot Design Input'!$C130:$L130)</f>
        <v>0</v>
      </c>
      <c r="N130" s="80">
        <f>IF('Robot Design Input'!$A130&gt;0,MIN(_xlfn.RANK.EQ('Robot Design Input'!$M130,'Robot Design Input'!$M$2:$M$201,0),NumberOfTeams),NumberOfTeams+1)</f>
        <v>1</v>
      </c>
    </row>
    <row r="131" ht="30.0" customHeight="1">
      <c r="A131" s="38" t="str">
        <f t="array" ref="A131">XLOOKUP(130,'Team and Program Information'!$B$3:$B$202,'Team and Program Information'!$C$3:$C$202,"ERROR",0)</f>
        <v/>
      </c>
      <c r="B131" s="68" t="str">
        <f t="array" ref="B131">XLOOKUP('Robot Design Input'!$A131,'Team and Program Information'!$C$3:$C$202,'Team and Program Information'!$D$3:$D$202,"",0,)</f>
        <v>#VALUE!</v>
      </c>
      <c r="C131" s="38"/>
      <c r="D131" s="38"/>
      <c r="E131" s="38"/>
      <c r="F131" s="38"/>
      <c r="G131" s="38"/>
      <c r="H131" s="38"/>
      <c r="I131" s="38"/>
      <c r="J131" s="38"/>
      <c r="K131" s="38"/>
      <c r="L131" s="38"/>
      <c r="M131" s="38">
        <f>SUM('Robot Design Input'!$C131:$L131)</f>
        <v>0</v>
      </c>
      <c r="N131" s="80">
        <f>IF('Robot Design Input'!$A131&gt;0,MIN(_xlfn.RANK.EQ('Robot Design Input'!$M131,'Robot Design Input'!$M$2:$M$201,0),NumberOfTeams),NumberOfTeams+1)</f>
        <v>1</v>
      </c>
    </row>
    <row r="132" ht="30.0" customHeight="1">
      <c r="A132" s="38" t="str">
        <f t="array" ref="A132">XLOOKUP(131,'Team and Program Information'!$B$3:$B$202,'Team and Program Information'!$C$3:$C$202,"ERROR",0)</f>
        <v/>
      </c>
      <c r="B132" s="68" t="str">
        <f t="array" ref="B132">XLOOKUP('Robot Design Input'!$A132,'Team and Program Information'!$C$3:$C$202,'Team and Program Information'!$D$3:$D$202,"",0,)</f>
        <v>#VALUE!</v>
      </c>
      <c r="C132" s="38"/>
      <c r="D132" s="38"/>
      <c r="E132" s="38"/>
      <c r="F132" s="38"/>
      <c r="G132" s="38"/>
      <c r="H132" s="38"/>
      <c r="I132" s="38"/>
      <c r="J132" s="38"/>
      <c r="K132" s="38"/>
      <c r="L132" s="38"/>
      <c r="M132" s="38">
        <f>SUM('Robot Design Input'!$C132:$L132)</f>
        <v>0</v>
      </c>
      <c r="N132" s="80">
        <f>IF('Robot Design Input'!$A132&gt;0,MIN(_xlfn.RANK.EQ('Robot Design Input'!$M132,'Robot Design Input'!$M$2:$M$201,0),NumberOfTeams),NumberOfTeams+1)</f>
        <v>1</v>
      </c>
    </row>
    <row r="133" ht="30.0" customHeight="1">
      <c r="A133" s="38" t="str">
        <f t="array" ref="A133">XLOOKUP(132,'Team and Program Information'!$B$3:$B$202,'Team and Program Information'!$C$3:$C$202,"ERROR",0)</f>
        <v/>
      </c>
      <c r="B133" s="68" t="str">
        <f t="array" ref="B133">XLOOKUP('Robot Design Input'!$A133,'Team and Program Information'!$C$3:$C$202,'Team and Program Information'!$D$3:$D$202,"",0,)</f>
        <v>#VALUE!</v>
      </c>
      <c r="C133" s="38"/>
      <c r="D133" s="38"/>
      <c r="E133" s="38"/>
      <c r="F133" s="38"/>
      <c r="G133" s="38"/>
      <c r="H133" s="38"/>
      <c r="I133" s="38"/>
      <c r="J133" s="38"/>
      <c r="K133" s="38"/>
      <c r="L133" s="38"/>
      <c r="M133" s="38">
        <f>SUM('Robot Design Input'!$C133:$L133)</f>
        <v>0</v>
      </c>
      <c r="N133" s="80">
        <f>IF('Robot Design Input'!$A133&gt;0,MIN(_xlfn.RANK.EQ('Robot Design Input'!$M133,'Robot Design Input'!$M$2:$M$201,0),NumberOfTeams),NumberOfTeams+1)</f>
        <v>1</v>
      </c>
    </row>
    <row r="134" ht="30.0" customHeight="1">
      <c r="A134" s="38" t="str">
        <f t="array" ref="A134">XLOOKUP(133,'Team and Program Information'!$B$3:$B$202,'Team and Program Information'!$C$3:$C$202,"ERROR",0)</f>
        <v/>
      </c>
      <c r="B134" s="68" t="str">
        <f t="array" ref="B134">XLOOKUP('Robot Design Input'!$A134,'Team and Program Information'!$C$3:$C$202,'Team and Program Information'!$D$3:$D$202,"",0,)</f>
        <v>#VALUE!</v>
      </c>
      <c r="C134" s="38"/>
      <c r="D134" s="38"/>
      <c r="E134" s="38"/>
      <c r="F134" s="38"/>
      <c r="G134" s="38"/>
      <c r="H134" s="38"/>
      <c r="I134" s="38"/>
      <c r="J134" s="38"/>
      <c r="K134" s="38"/>
      <c r="L134" s="38"/>
      <c r="M134" s="38">
        <f>SUM('Robot Design Input'!$C134:$L134)</f>
        <v>0</v>
      </c>
      <c r="N134" s="80">
        <f>IF('Robot Design Input'!$A134&gt;0,MIN(_xlfn.RANK.EQ('Robot Design Input'!$M134,'Robot Design Input'!$M$2:$M$201,0),NumberOfTeams),NumberOfTeams+1)</f>
        <v>1</v>
      </c>
    </row>
    <row r="135" ht="30.0" customHeight="1">
      <c r="A135" s="38" t="str">
        <f t="array" ref="A135">XLOOKUP(134,'Team and Program Information'!$B$3:$B$202,'Team and Program Information'!$C$3:$C$202,"ERROR",0)</f>
        <v/>
      </c>
      <c r="B135" s="68" t="str">
        <f t="array" ref="B135">XLOOKUP('Robot Design Input'!$A135,'Team and Program Information'!$C$3:$C$202,'Team and Program Information'!$D$3:$D$202,"",0,)</f>
        <v>#VALUE!</v>
      </c>
      <c r="C135" s="38"/>
      <c r="D135" s="38"/>
      <c r="E135" s="38"/>
      <c r="F135" s="38"/>
      <c r="G135" s="38"/>
      <c r="H135" s="38"/>
      <c r="I135" s="38"/>
      <c r="J135" s="38"/>
      <c r="K135" s="38"/>
      <c r="L135" s="38"/>
      <c r="M135" s="38">
        <f>SUM('Robot Design Input'!$C135:$L135)</f>
        <v>0</v>
      </c>
      <c r="N135" s="80">
        <f>IF('Robot Design Input'!$A135&gt;0,MIN(_xlfn.RANK.EQ('Robot Design Input'!$M135,'Robot Design Input'!$M$2:$M$201,0),NumberOfTeams),NumberOfTeams+1)</f>
        <v>1</v>
      </c>
    </row>
    <row r="136" ht="30.0" customHeight="1">
      <c r="A136" s="38" t="str">
        <f t="array" ref="A136">XLOOKUP(135,'Team and Program Information'!$B$3:$B$202,'Team and Program Information'!$C$3:$C$202,"ERROR",0)</f>
        <v/>
      </c>
      <c r="B136" s="68" t="str">
        <f t="array" ref="B136">XLOOKUP('Robot Design Input'!$A136,'Team and Program Information'!$C$3:$C$202,'Team and Program Information'!$D$3:$D$202,"",0,)</f>
        <v>#VALUE!</v>
      </c>
      <c r="C136" s="38"/>
      <c r="D136" s="38"/>
      <c r="E136" s="38"/>
      <c r="F136" s="38"/>
      <c r="G136" s="38"/>
      <c r="H136" s="38"/>
      <c r="I136" s="38"/>
      <c r="J136" s="38"/>
      <c r="K136" s="38"/>
      <c r="L136" s="38"/>
      <c r="M136" s="38">
        <f>SUM('Robot Design Input'!$C136:$L136)</f>
        <v>0</v>
      </c>
      <c r="N136" s="80">
        <f>IF('Robot Design Input'!$A136&gt;0,MIN(_xlfn.RANK.EQ('Robot Design Input'!$M136,'Robot Design Input'!$M$2:$M$201,0),NumberOfTeams),NumberOfTeams+1)</f>
        <v>1</v>
      </c>
    </row>
    <row r="137" ht="30.0" customHeight="1">
      <c r="A137" s="38" t="str">
        <f t="array" ref="A137">XLOOKUP(136,'Team and Program Information'!$B$3:$B$202,'Team and Program Information'!$C$3:$C$202,"ERROR",0)</f>
        <v/>
      </c>
      <c r="B137" s="68" t="str">
        <f t="array" ref="B137">XLOOKUP('Robot Design Input'!$A137,'Team and Program Information'!$C$3:$C$202,'Team and Program Information'!$D$3:$D$202,"",0,)</f>
        <v>#VALUE!</v>
      </c>
      <c r="C137" s="38"/>
      <c r="D137" s="38"/>
      <c r="E137" s="38"/>
      <c r="F137" s="38"/>
      <c r="G137" s="38"/>
      <c r="H137" s="38"/>
      <c r="I137" s="38"/>
      <c r="J137" s="38"/>
      <c r="K137" s="38"/>
      <c r="L137" s="38"/>
      <c r="M137" s="38">
        <f>SUM('Robot Design Input'!$C137:$L137)</f>
        <v>0</v>
      </c>
      <c r="N137" s="80">
        <f>IF('Robot Design Input'!$A137&gt;0,MIN(_xlfn.RANK.EQ('Robot Design Input'!$M137,'Robot Design Input'!$M$2:$M$201,0),NumberOfTeams),NumberOfTeams+1)</f>
        <v>1</v>
      </c>
    </row>
    <row r="138" ht="30.0" customHeight="1">
      <c r="A138" s="38" t="str">
        <f t="array" ref="A138">XLOOKUP(137,'Team and Program Information'!$B$3:$B$202,'Team and Program Information'!$C$3:$C$202,"ERROR",0)</f>
        <v/>
      </c>
      <c r="B138" s="68" t="str">
        <f t="array" ref="B138">XLOOKUP('Robot Design Input'!$A138,'Team and Program Information'!$C$3:$C$202,'Team and Program Information'!$D$3:$D$202,"",0,)</f>
        <v>#VALUE!</v>
      </c>
      <c r="C138" s="38"/>
      <c r="D138" s="38"/>
      <c r="E138" s="38"/>
      <c r="F138" s="38"/>
      <c r="G138" s="38"/>
      <c r="H138" s="38"/>
      <c r="I138" s="38"/>
      <c r="J138" s="38"/>
      <c r="K138" s="38"/>
      <c r="L138" s="38"/>
      <c r="M138" s="38">
        <f>SUM('Robot Design Input'!$C138:$L138)</f>
        <v>0</v>
      </c>
      <c r="N138" s="80">
        <f>IF('Robot Design Input'!$A138&gt;0,MIN(_xlfn.RANK.EQ('Robot Design Input'!$M138,'Robot Design Input'!$M$2:$M$201,0),NumberOfTeams),NumberOfTeams+1)</f>
        <v>1</v>
      </c>
    </row>
    <row r="139" ht="30.0" customHeight="1">
      <c r="A139" s="38" t="str">
        <f t="array" ref="A139">XLOOKUP(138,'Team and Program Information'!$B$3:$B$202,'Team and Program Information'!$C$3:$C$202,"ERROR",0)</f>
        <v/>
      </c>
      <c r="B139" s="68" t="str">
        <f t="array" ref="B139">XLOOKUP('Robot Design Input'!$A139,'Team and Program Information'!$C$3:$C$202,'Team and Program Information'!$D$3:$D$202,"",0,)</f>
        <v>#VALUE!</v>
      </c>
      <c r="C139" s="38"/>
      <c r="D139" s="38"/>
      <c r="E139" s="38"/>
      <c r="F139" s="38"/>
      <c r="G139" s="38"/>
      <c r="H139" s="38"/>
      <c r="I139" s="38"/>
      <c r="J139" s="38"/>
      <c r="K139" s="38"/>
      <c r="L139" s="38"/>
      <c r="M139" s="38">
        <f>SUM('Robot Design Input'!$C139:$L139)</f>
        <v>0</v>
      </c>
      <c r="N139" s="80">
        <f>IF('Robot Design Input'!$A139&gt;0,MIN(_xlfn.RANK.EQ('Robot Design Input'!$M139,'Robot Design Input'!$M$2:$M$201,0),NumberOfTeams),NumberOfTeams+1)</f>
        <v>1</v>
      </c>
    </row>
    <row r="140" ht="30.0" customHeight="1">
      <c r="A140" s="38" t="str">
        <f t="array" ref="A140">XLOOKUP(139,'Team and Program Information'!$B$3:$B$202,'Team and Program Information'!$C$3:$C$202,"ERROR",0)</f>
        <v/>
      </c>
      <c r="B140" s="68" t="str">
        <f t="array" ref="B140">XLOOKUP('Robot Design Input'!$A140,'Team and Program Information'!$C$3:$C$202,'Team and Program Information'!$D$3:$D$202,"",0,)</f>
        <v>#VALUE!</v>
      </c>
      <c r="C140" s="38"/>
      <c r="D140" s="38"/>
      <c r="E140" s="38"/>
      <c r="F140" s="38"/>
      <c r="G140" s="38"/>
      <c r="H140" s="38"/>
      <c r="I140" s="38"/>
      <c r="J140" s="38"/>
      <c r="K140" s="38"/>
      <c r="L140" s="38"/>
      <c r="M140" s="38">
        <f>SUM('Robot Design Input'!$C140:$L140)</f>
        <v>0</v>
      </c>
      <c r="N140" s="80">
        <f>IF('Robot Design Input'!$A140&gt;0,MIN(_xlfn.RANK.EQ('Robot Design Input'!$M140,'Robot Design Input'!$M$2:$M$201,0),NumberOfTeams),NumberOfTeams+1)</f>
        <v>1</v>
      </c>
    </row>
    <row r="141" ht="30.0" customHeight="1">
      <c r="A141" s="38" t="str">
        <f t="array" ref="A141">XLOOKUP(140,'Team and Program Information'!$B$3:$B$202,'Team and Program Information'!$C$3:$C$202,"ERROR",0)</f>
        <v/>
      </c>
      <c r="B141" s="68" t="str">
        <f t="array" ref="B141">XLOOKUP('Robot Design Input'!$A141,'Team and Program Information'!$C$3:$C$202,'Team and Program Information'!$D$3:$D$202,"",0,)</f>
        <v>#VALUE!</v>
      </c>
      <c r="C141" s="38"/>
      <c r="D141" s="38"/>
      <c r="E141" s="38"/>
      <c r="F141" s="38"/>
      <c r="G141" s="38"/>
      <c r="H141" s="38"/>
      <c r="I141" s="38"/>
      <c r="J141" s="38"/>
      <c r="K141" s="38"/>
      <c r="L141" s="38"/>
      <c r="M141" s="38">
        <f>SUM('Robot Design Input'!$C141:$L141)</f>
        <v>0</v>
      </c>
      <c r="N141" s="80">
        <f>IF('Robot Design Input'!$A141&gt;0,MIN(_xlfn.RANK.EQ('Robot Design Input'!$M141,'Robot Design Input'!$M$2:$M$201,0),NumberOfTeams),NumberOfTeams+1)</f>
        <v>1</v>
      </c>
    </row>
    <row r="142" ht="30.0" customHeight="1">
      <c r="A142" s="38" t="str">
        <f t="array" ref="A142">XLOOKUP(141,'Team and Program Information'!$B$3:$B$202,'Team and Program Information'!$C$3:$C$202,"ERROR",0)</f>
        <v/>
      </c>
      <c r="B142" s="68" t="str">
        <f t="array" ref="B142">XLOOKUP('Robot Design Input'!$A142,'Team and Program Information'!$C$3:$C$202,'Team and Program Information'!$D$3:$D$202,"",0,)</f>
        <v>#VALUE!</v>
      </c>
      <c r="C142" s="38"/>
      <c r="D142" s="38"/>
      <c r="E142" s="38"/>
      <c r="F142" s="38"/>
      <c r="G142" s="38"/>
      <c r="H142" s="38"/>
      <c r="I142" s="38"/>
      <c r="J142" s="38"/>
      <c r="K142" s="38"/>
      <c r="L142" s="38"/>
      <c r="M142" s="38">
        <f>SUM('Robot Design Input'!$C142:$L142)</f>
        <v>0</v>
      </c>
      <c r="N142" s="80">
        <f>IF('Robot Design Input'!$A142&gt;0,MIN(_xlfn.RANK.EQ('Robot Design Input'!$M142,'Robot Design Input'!$M$2:$M$201,0),NumberOfTeams),NumberOfTeams+1)</f>
        <v>1</v>
      </c>
    </row>
    <row r="143" ht="30.0" customHeight="1">
      <c r="A143" s="38" t="str">
        <f t="array" ref="A143">XLOOKUP(142,'Team and Program Information'!$B$3:$B$202,'Team and Program Information'!$C$3:$C$202,"ERROR",0)</f>
        <v/>
      </c>
      <c r="B143" s="68" t="str">
        <f t="array" ref="B143">XLOOKUP('Robot Design Input'!$A143,'Team and Program Information'!$C$3:$C$202,'Team and Program Information'!$D$3:$D$202,"",0,)</f>
        <v>#VALUE!</v>
      </c>
      <c r="C143" s="38"/>
      <c r="D143" s="38"/>
      <c r="E143" s="38"/>
      <c r="F143" s="38"/>
      <c r="G143" s="38"/>
      <c r="H143" s="38"/>
      <c r="I143" s="38"/>
      <c r="J143" s="38"/>
      <c r="K143" s="38"/>
      <c r="L143" s="38"/>
      <c r="M143" s="38">
        <f>SUM('Robot Design Input'!$C143:$L143)</f>
        <v>0</v>
      </c>
      <c r="N143" s="80">
        <f>IF('Robot Design Input'!$A143&gt;0,MIN(_xlfn.RANK.EQ('Robot Design Input'!$M143,'Robot Design Input'!$M$2:$M$201,0),NumberOfTeams),NumberOfTeams+1)</f>
        <v>1</v>
      </c>
    </row>
    <row r="144" ht="30.0" customHeight="1">
      <c r="A144" s="38" t="str">
        <f t="array" ref="A144">XLOOKUP(143,'Team and Program Information'!$B$3:$B$202,'Team and Program Information'!$C$3:$C$202,"ERROR",0)</f>
        <v/>
      </c>
      <c r="B144" s="68" t="str">
        <f t="array" ref="B144">XLOOKUP('Robot Design Input'!$A144,'Team and Program Information'!$C$3:$C$202,'Team and Program Information'!$D$3:$D$202,"",0,)</f>
        <v>#VALUE!</v>
      </c>
      <c r="C144" s="38"/>
      <c r="D144" s="38"/>
      <c r="E144" s="38"/>
      <c r="F144" s="38"/>
      <c r="G144" s="38"/>
      <c r="H144" s="38"/>
      <c r="I144" s="38"/>
      <c r="J144" s="38"/>
      <c r="K144" s="38"/>
      <c r="L144" s="38"/>
      <c r="M144" s="38">
        <f>SUM('Robot Design Input'!$C144:$L144)</f>
        <v>0</v>
      </c>
      <c r="N144" s="80">
        <f>IF('Robot Design Input'!$A144&gt;0,MIN(_xlfn.RANK.EQ('Robot Design Input'!$M144,'Robot Design Input'!$M$2:$M$201,0),NumberOfTeams),NumberOfTeams+1)</f>
        <v>1</v>
      </c>
    </row>
    <row r="145" ht="30.0" customHeight="1">
      <c r="A145" s="38" t="str">
        <f t="array" ref="A145">XLOOKUP(144,'Team and Program Information'!$B$3:$B$202,'Team and Program Information'!$C$3:$C$202,"ERROR",0)</f>
        <v/>
      </c>
      <c r="B145" s="68" t="str">
        <f t="array" ref="B145">XLOOKUP('Robot Design Input'!$A145,'Team and Program Information'!$C$3:$C$202,'Team and Program Information'!$D$3:$D$202,"",0,)</f>
        <v>#VALUE!</v>
      </c>
      <c r="C145" s="38"/>
      <c r="D145" s="38"/>
      <c r="E145" s="38"/>
      <c r="F145" s="38"/>
      <c r="G145" s="38"/>
      <c r="H145" s="38"/>
      <c r="I145" s="38"/>
      <c r="J145" s="38"/>
      <c r="K145" s="38"/>
      <c r="L145" s="38"/>
      <c r="M145" s="38">
        <f>SUM('Robot Design Input'!$C145:$L145)</f>
        <v>0</v>
      </c>
      <c r="N145" s="80">
        <f>IF('Robot Design Input'!$A145&gt;0,MIN(_xlfn.RANK.EQ('Robot Design Input'!$M145,'Robot Design Input'!$M$2:$M$201,0),NumberOfTeams),NumberOfTeams+1)</f>
        <v>1</v>
      </c>
    </row>
    <row r="146" ht="30.0" customHeight="1">
      <c r="A146" s="38" t="str">
        <f t="array" ref="A146">XLOOKUP(145,'Team and Program Information'!$B$3:$B$202,'Team and Program Information'!$C$3:$C$202,"ERROR",0)</f>
        <v/>
      </c>
      <c r="B146" s="68" t="str">
        <f t="array" ref="B146">XLOOKUP('Robot Design Input'!$A146,'Team and Program Information'!$C$3:$C$202,'Team and Program Information'!$D$3:$D$202,"",0,)</f>
        <v>#VALUE!</v>
      </c>
      <c r="C146" s="38"/>
      <c r="D146" s="38"/>
      <c r="E146" s="38"/>
      <c r="F146" s="38"/>
      <c r="G146" s="38"/>
      <c r="H146" s="38"/>
      <c r="I146" s="38"/>
      <c r="J146" s="38"/>
      <c r="K146" s="38"/>
      <c r="L146" s="38"/>
      <c r="M146" s="38">
        <f>SUM('Robot Design Input'!$C146:$L146)</f>
        <v>0</v>
      </c>
      <c r="N146" s="80">
        <f>IF('Robot Design Input'!$A146&gt;0,MIN(_xlfn.RANK.EQ('Robot Design Input'!$M146,'Robot Design Input'!$M$2:$M$201,0),NumberOfTeams),NumberOfTeams+1)</f>
        <v>1</v>
      </c>
    </row>
    <row r="147" ht="30.0" customHeight="1">
      <c r="A147" s="38" t="str">
        <f t="array" ref="A147">XLOOKUP(146,'Team and Program Information'!$B$3:$B$202,'Team and Program Information'!$C$3:$C$202,"ERROR",0)</f>
        <v/>
      </c>
      <c r="B147" s="68" t="str">
        <f t="array" ref="B147">XLOOKUP('Robot Design Input'!$A147,'Team and Program Information'!$C$3:$C$202,'Team and Program Information'!$D$3:$D$202,"",0,)</f>
        <v>#VALUE!</v>
      </c>
      <c r="C147" s="38"/>
      <c r="D147" s="38"/>
      <c r="E147" s="38"/>
      <c r="F147" s="38"/>
      <c r="G147" s="38"/>
      <c r="H147" s="38"/>
      <c r="I147" s="38"/>
      <c r="J147" s="38"/>
      <c r="K147" s="38"/>
      <c r="L147" s="38"/>
      <c r="M147" s="38">
        <f>SUM('Robot Design Input'!$C147:$L147)</f>
        <v>0</v>
      </c>
      <c r="N147" s="80">
        <f>IF('Robot Design Input'!$A147&gt;0,MIN(_xlfn.RANK.EQ('Robot Design Input'!$M147,'Robot Design Input'!$M$2:$M$201,0),NumberOfTeams),NumberOfTeams+1)</f>
        <v>1</v>
      </c>
    </row>
    <row r="148" ht="30.0" customHeight="1">
      <c r="A148" s="38" t="str">
        <f t="array" ref="A148">XLOOKUP(147,'Team and Program Information'!$B$3:$B$202,'Team and Program Information'!$C$3:$C$202,"ERROR",0)</f>
        <v/>
      </c>
      <c r="B148" s="68" t="str">
        <f t="array" ref="B148">XLOOKUP('Robot Design Input'!$A148,'Team and Program Information'!$C$3:$C$202,'Team and Program Information'!$D$3:$D$202,"",0,)</f>
        <v>#VALUE!</v>
      </c>
      <c r="C148" s="38"/>
      <c r="D148" s="38"/>
      <c r="E148" s="38"/>
      <c r="F148" s="38"/>
      <c r="G148" s="38"/>
      <c r="H148" s="38"/>
      <c r="I148" s="38"/>
      <c r="J148" s="38"/>
      <c r="K148" s="38"/>
      <c r="L148" s="38"/>
      <c r="M148" s="38">
        <f>SUM('Robot Design Input'!$C148:$L148)</f>
        <v>0</v>
      </c>
      <c r="N148" s="80">
        <f>IF('Robot Design Input'!$A148&gt;0,MIN(_xlfn.RANK.EQ('Robot Design Input'!$M148,'Robot Design Input'!$M$2:$M$201,0),NumberOfTeams),NumberOfTeams+1)</f>
        <v>1</v>
      </c>
    </row>
    <row r="149" ht="30.0" customHeight="1">
      <c r="A149" s="38" t="str">
        <f t="array" ref="A149">XLOOKUP(148,'Team and Program Information'!$B$3:$B$202,'Team and Program Information'!$C$3:$C$202,"ERROR",0)</f>
        <v/>
      </c>
      <c r="B149" s="68" t="str">
        <f t="array" ref="B149">XLOOKUP('Robot Design Input'!$A149,'Team and Program Information'!$C$3:$C$202,'Team and Program Information'!$D$3:$D$202,"",0,)</f>
        <v>#VALUE!</v>
      </c>
      <c r="C149" s="38"/>
      <c r="D149" s="38"/>
      <c r="E149" s="38"/>
      <c r="F149" s="38"/>
      <c r="G149" s="38"/>
      <c r="H149" s="38"/>
      <c r="I149" s="38"/>
      <c r="J149" s="38"/>
      <c r="K149" s="38"/>
      <c r="L149" s="38"/>
      <c r="M149" s="38">
        <f>SUM('Robot Design Input'!$C149:$L149)</f>
        <v>0</v>
      </c>
      <c r="N149" s="80">
        <f>IF('Robot Design Input'!$A149&gt;0,MIN(_xlfn.RANK.EQ('Robot Design Input'!$M149,'Robot Design Input'!$M$2:$M$201,0),NumberOfTeams),NumberOfTeams+1)</f>
        <v>1</v>
      </c>
    </row>
    <row r="150" ht="30.0" customHeight="1">
      <c r="A150" s="38" t="str">
        <f t="array" ref="A150">XLOOKUP(149,'Team and Program Information'!$B$3:$B$202,'Team and Program Information'!$C$3:$C$202,"ERROR",0)</f>
        <v/>
      </c>
      <c r="B150" s="68" t="str">
        <f t="array" ref="B150">XLOOKUP('Robot Design Input'!$A150,'Team and Program Information'!$C$3:$C$202,'Team and Program Information'!$D$3:$D$202,"",0,)</f>
        <v>#VALUE!</v>
      </c>
      <c r="C150" s="38"/>
      <c r="D150" s="38"/>
      <c r="E150" s="38"/>
      <c r="F150" s="38"/>
      <c r="G150" s="38"/>
      <c r="H150" s="38"/>
      <c r="I150" s="38"/>
      <c r="J150" s="38"/>
      <c r="K150" s="38"/>
      <c r="L150" s="38"/>
      <c r="M150" s="38">
        <f>SUM('Robot Design Input'!$C150:$L150)</f>
        <v>0</v>
      </c>
      <c r="N150" s="80">
        <f>IF('Robot Design Input'!$A150&gt;0,MIN(_xlfn.RANK.EQ('Robot Design Input'!$M150,'Robot Design Input'!$M$2:$M$201,0),NumberOfTeams),NumberOfTeams+1)</f>
        <v>1</v>
      </c>
    </row>
    <row r="151" ht="30.0" customHeight="1">
      <c r="A151" s="38" t="str">
        <f t="array" ref="A151">XLOOKUP(150,'Team and Program Information'!$B$3:$B$202,'Team and Program Information'!$C$3:$C$202,"ERROR",0)</f>
        <v/>
      </c>
      <c r="B151" s="68" t="str">
        <f t="array" ref="B151">XLOOKUP('Robot Design Input'!$A151,'Team and Program Information'!$C$3:$C$202,'Team and Program Information'!$D$3:$D$202,"",0,)</f>
        <v>#VALUE!</v>
      </c>
      <c r="C151" s="38"/>
      <c r="D151" s="38"/>
      <c r="E151" s="38"/>
      <c r="F151" s="38"/>
      <c r="G151" s="38"/>
      <c r="H151" s="38"/>
      <c r="I151" s="38"/>
      <c r="J151" s="38"/>
      <c r="K151" s="38"/>
      <c r="L151" s="38"/>
      <c r="M151" s="38">
        <f>SUM('Robot Design Input'!$C151:$L151)</f>
        <v>0</v>
      </c>
      <c r="N151" s="80">
        <f>IF('Robot Design Input'!$A151&gt;0,MIN(_xlfn.RANK.EQ('Robot Design Input'!$M151,'Robot Design Input'!$M$2:$M$201,0),NumberOfTeams),NumberOfTeams+1)</f>
        <v>1</v>
      </c>
    </row>
    <row r="152" ht="30.0" customHeight="1">
      <c r="A152" s="38" t="str">
        <f t="array" ref="A152">XLOOKUP(151,'Team and Program Information'!$B$3:$B$202,'Team and Program Information'!$C$3:$C$202,"ERROR",0)</f>
        <v/>
      </c>
      <c r="B152" s="68" t="str">
        <f t="array" ref="B152">XLOOKUP('Robot Design Input'!$A152,'Team and Program Information'!$C$3:$C$202,'Team and Program Information'!$D$3:$D$202,"",0,)</f>
        <v>#VALUE!</v>
      </c>
      <c r="C152" s="38"/>
      <c r="D152" s="38"/>
      <c r="E152" s="38"/>
      <c r="F152" s="38"/>
      <c r="G152" s="38"/>
      <c r="H152" s="38"/>
      <c r="I152" s="38"/>
      <c r="J152" s="38"/>
      <c r="K152" s="38"/>
      <c r="L152" s="38"/>
      <c r="M152" s="38">
        <f>SUM('Robot Design Input'!$C152:$L152)</f>
        <v>0</v>
      </c>
      <c r="N152" s="80">
        <f>IF('Robot Design Input'!$A152&gt;0,MIN(_xlfn.RANK.EQ('Robot Design Input'!$M152,'Robot Design Input'!$M$2:$M$201,0),NumberOfTeams),NumberOfTeams+1)</f>
        <v>1</v>
      </c>
    </row>
    <row r="153" ht="30.0" customHeight="1">
      <c r="A153" s="38" t="str">
        <f t="array" ref="A153">XLOOKUP(152,'Team and Program Information'!$B$3:$B$202,'Team and Program Information'!$C$3:$C$202,"ERROR",0)</f>
        <v/>
      </c>
      <c r="B153" s="68" t="str">
        <f t="array" ref="B153">XLOOKUP('Robot Design Input'!$A153,'Team and Program Information'!$C$3:$C$202,'Team and Program Information'!$D$3:$D$202,"",0,)</f>
        <v>#VALUE!</v>
      </c>
      <c r="C153" s="38"/>
      <c r="D153" s="38"/>
      <c r="E153" s="38"/>
      <c r="F153" s="38"/>
      <c r="G153" s="38"/>
      <c r="H153" s="38"/>
      <c r="I153" s="38"/>
      <c r="J153" s="38"/>
      <c r="K153" s="38"/>
      <c r="L153" s="38"/>
      <c r="M153" s="38">
        <f>SUM('Robot Design Input'!$C153:$L153)</f>
        <v>0</v>
      </c>
      <c r="N153" s="80">
        <f>IF('Robot Design Input'!$A153&gt;0,MIN(_xlfn.RANK.EQ('Robot Design Input'!$M153,'Robot Design Input'!$M$2:$M$201,0),NumberOfTeams),NumberOfTeams+1)</f>
        <v>1</v>
      </c>
    </row>
    <row r="154" ht="30.0" customHeight="1">
      <c r="A154" s="38" t="str">
        <f t="array" ref="A154">XLOOKUP(153,'Team and Program Information'!$B$3:$B$202,'Team and Program Information'!$C$3:$C$202,"ERROR",0)</f>
        <v/>
      </c>
      <c r="B154" s="68" t="str">
        <f t="array" ref="B154">XLOOKUP('Robot Design Input'!$A154,'Team and Program Information'!$C$3:$C$202,'Team and Program Information'!$D$3:$D$202,"",0,)</f>
        <v>#VALUE!</v>
      </c>
      <c r="C154" s="38"/>
      <c r="D154" s="38"/>
      <c r="E154" s="38"/>
      <c r="F154" s="38"/>
      <c r="G154" s="38"/>
      <c r="H154" s="38"/>
      <c r="I154" s="38"/>
      <c r="J154" s="38"/>
      <c r="K154" s="38"/>
      <c r="L154" s="38"/>
      <c r="M154" s="38">
        <f>SUM('Robot Design Input'!$C154:$L154)</f>
        <v>0</v>
      </c>
      <c r="N154" s="80">
        <f>IF('Robot Design Input'!$A154&gt;0,MIN(_xlfn.RANK.EQ('Robot Design Input'!$M154,'Robot Design Input'!$M$2:$M$201,0),NumberOfTeams),NumberOfTeams+1)</f>
        <v>1</v>
      </c>
    </row>
    <row r="155" ht="30.0" customHeight="1">
      <c r="A155" s="38" t="str">
        <f t="array" ref="A155">XLOOKUP(154,'Team and Program Information'!$B$3:$B$202,'Team and Program Information'!$C$3:$C$202,"ERROR",0)</f>
        <v/>
      </c>
      <c r="B155" s="68" t="str">
        <f t="array" ref="B155">XLOOKUP('Robot Design Input'!$A155,'Team and Program Information'!$C$3:$C$202,'Team and Program Information'!$D$3:$D$202,"",0,)</f>
        <v>#VALUE!</v>
      </c>
      <c r="C155" s="38"/>
      <c r="D155" s="38"/>
      <c r="E155" s="38"/>
      <c r="F155" s="38"/>
      <c r="G155" s="38"/>
      <c r="H155" s="38"/>
      <c r="I155" s="38"/>
      <c r="J155" s="38"/>
      <c r="K155" s="38"/>
      <c r="L155" s="38"/>
      <c r="M155" s="38">
        <f>SUM('Robot Design Input'!$C155:$L155)</f>
        <v>0</v>
      </c>
      <c r="N155" s="80">
        <f>IF('Robot Design Input'!$A155&gt;0,MIN(_xlfn.RANK.EQ('Robot Design Input'!$M155,'Robot Design Input'!$M$2:$M$201,0),NumberOfTeams),NumberOfTeams+1)</f>
        <v>1</v>
      </c>
    </row>
    <row r="156" ht="30.0" customHeight="1">
      <c r="A156" s="38" t="str">
        <f t="array" ref="A156">XLOOKUP(155,'Team and Program Information'!$B$3:$B$202,'Team and Program Information'!$C$3:$C$202,"ERROR",0)</f>
        <v/>
      </c>
      <c r="B156" s="68" t="str">
        <f t="array" ref="B156">XLOOKUP('Robot Design Input'!$A156,'Team and Program Information'!$C$3:$C$202,'Team and Program Information'!$D$3:$D$202,"",0,)</f>
        <v>#VALUE!</v>
      </c>
      <c r="C156" s="38"/>
      <c r="D156" s="38"/>
      <c r="E156" s="38"/>
      <c r="F156" s="38"/>
      <c r="G156" s="38"/>
      <c r="H156" s="38"/>
      <c r="I156" s="38"/>
      <c r="J156" s="38"/>
      <c r="K156" s="38"/>
      <c r="L156" s="38"/>
      <c r="M156" s="38">
        <f>SUM('Robot Design Input'!$C156:$L156)</f>
        <v>0</v>
      </c>
      <c r="N156" s="80">
        <f>IF('Robot Design Input'!$A156&gt;0,MIN(_xlfn.RANK.EQ('Robot Design Input'!$M156,'Robot Design Input'!$M$2:$M$201,0),NumberOfTeams),NumberOfTeams+1)</f>
        <v>1</v>
      </c>
    </row>
    <row r="157" ht="30.0" customHeight="1">
      <c r="A157" s="38" t="str">
        <f t="array" ref="A157">XLOOKUP(156,'Team and Program Information'!$B$3:$B$202,'Team and Program Information'!$C$3:$C$202,"ERROR",0)</f>
        <v/>
      </c>
      <c r="B157" s="68" t="str">
        <f t="array" ref="B157">XLOOKUP('Robot Design Input'!$A157,'Team and Program Information'!$C$3:$C$202,'Team and Program Information'!$D$3:$D$202,"",0,)</f>
        <v>#VALUE!</v>
      </c>
      <c r="C157" s="38"/>
      <c r="D157" s="38"/>
      <c r="E157" s="38"/>
      <c r="F157" s="38"/>
      <c r="G157" s="38"/>
      <c r="H157" s="38"/>
      <c r="I157" s="38"/>
      <c r="J157" s="38"/>
      <c r="K157" s="38"/>
      <c r="L157" s="38"/>
      <c r="M157" s="38">
        <f>SUM('Robot Design Input'!$C157:$L157)</f>
        <v>0</v>
      </c>
      <c r="N157" s="80">
        <f>IF('Robot Design Input'!$A157&gt;0,MIN(_xlfn.RANK.EQ('Robot Design Input'!$M157,'Robot Design Input'!$M$2:$M$201,0),NumberOfTeams),NumberOfTeams+1)</f>
        <v>1</v>
      </c>
    </row>
    <row r="158" ht="30.0" customHeight="1">
      <c r="A158" s="38" t="str">
        <f t="array" ref="A158">XLOOKUP(157,'Team and Program Information'!$B$3:$B$202,'Team and Program Information'!$C$3:$C$202,"ERROR",0)</f>
        <v/>
      </c>
      <c r="B158" s="68" t="str">
        <f t="array" ref="B158">XLOOKUP('Robot Design Input'!$A158,'Team and Program Information'!$C$3:$C$202,'Team and Program Information'!$D$3:$D$202,"",0,)</f>
        <v>#VALUE!</v>
      </c>
      <c r="C158" s="38"/>
      <c r="D158" s="38"/>
      <c r="E158" s="38"/>
      <c r="F158" s="38"/>
      <c r="G158" s="38"/>
      <c r="H158" s="38"/>
      <c r="I158" s="38"/>
      <c r="J158" s="38"/>
      <c r="K158" s="38"/>
      <c r="L158" s="38"/>
      <c r="M158" s="38">
        <f>SUM('Robot Design Input'!$C158:$L158)</f>
        <v>0</v>
      </c>
      <c r="N158" s="80">
        <f>IF('Robot Design Input'!$A158&gt;0,MIN(_xlfn.RANK.EQ('Robot Design Input'!$M158,'Robot Design Input'!$M$2:$M$201,0),NumberOfTeams),NumberOfTeams+1)</f>
        <v>1</v>
      </c>
    </row>
    <row r="159" ht="30.0" customHeight="1">
      <c r="A159" s="38" t="str">
        <f t="array" ref="A159">XLOOKUP(158,'Team and Program Information'!$B$3:$B$202,'Team and Program Information'!$C$3:$C$202,"ERROR",0)</f>
        <v/>
      </c>
      <c r="B159" s="68" t="str">
        <f t="array" ref="B159">XLOOKUP('Robot Design Input'!$A159,'Team and Program Information'!$C$3:$C$202,'Team and Program Information'!$D$3:$D$202,"",0,)</f>
        <v>#VALUE!</v>
      </c>
      <c r="C159" s="38"/>
      <c r="D159" s="38"/>
      <c r="E159" s="38"/>
      <c r="F159" s="38"/>
      <c r="G159" s="38"/>
      <c r="H159" s="38"/>
      <c r="I159" s="38"/>
      <c r="J159" s="38"/>
      <c r="K159" s="38"/>
      <c r="L159" s="38"/>
      <c r="M159" s="38">
        <f>SUM('Robot Design Input'!$C159:$L159)</f>
        <v>0</v>
      </c>
      <c r="N159" s="80">
        <f>IF('Robot Design Input'!$A159&gt;0,MIN(_xlfn.RANK.EQ('Robot Design Input'!$M159,'Robot Design Input'!$M$2:$M$201,0),NumberOfTeams),NumberOfTeams+1)</f>
        <v>1</v>
      </c>
    </row>
    <row r="160" ht="30.0" customHeight="1">
      <c r="A160" s="38" t="str">
        <f t="array" ref="A160">XLOOKUP(159,'Team and Program Information'!$B$3:$B$202,'Team and Program Information'!$C$3:$C$202,"ERROR",0)</f>
        <v/>
      </c>
      <c r="B160" s="68" t="str">
        <f t="array" ref="B160">XLOOKUP('Robot Design Input'!$A160,'Team and Program Information'!$C$3:$C$202,'Team and Program Information'!$D$3:$D$202,"",0,)</f>
        <v>#VALUE!</v>
      </c>
      <c r="C160" s="38"/>
      <c r="D160" s="38"/>
      <c r="E160" s="38"/>
      <c r="F160" s="38"/>
      <c r="G160" s="38"/>
      <c r="H160" s="38"/>
      <c r="I160" s="38"/>
      <c r="J160" s="38"/>
      <c r="K160" s="38"/>
      <c r="L160" s="38"/>
      <c r="M160" s="38">
        <f>SUM('Robot Design Input'!$C160:$L160)</f>
        <v>0</v>
      </c>
      <c r="N160" s="80">
        <f>IF('Robot Design Input'!$A160&gt;0,MIN(_xlfn.RANK.EQ('Robot Design Input'!$M160,'Robot Design Input'!$M$2:$M$201,0),NumberOfTeams),NumberOfTeams+1)</f>
        <v>1</v>
      </c>
    </row>
    <row r="161" ht="30.0" customHeight="1">
      <c r="A161" s="38" t="str">
        <f t="array" ref="A161">XLOOKUP(160,'Team and Program Information'!$B$3:$B$202,'Team and Program Information'!$C$3:$C$202,"ERROR",0)</f>
        <v/>
      </c>
      <c r="B161" s="68" t="str">
        <f t="array" ref="B161">XLOOKUP('Robot Design Input'!$A161,'Team and Program Information'!$C$3:$C$202,'Team and Program Information'!$D$3:$D$202,"",0,)</f>
        <v>#VALUE!</v>
      </c>
      <c r="C161" s="38"/>
      <c r="D161" s="38"/>
      <c r="E161" s="38"/>
      <c r="F161" s="38"/>
      <c r="G161" s="38"/>
      <c r="H161" s="38"/>
      <c r="I161" s="38"/>
      <c r="J161" s="38"/>
      <c r="K161" s="38"/>
      <c r="L161" s="38"/>
      <c r="M161" s="38">
        <f>SUM('Robot Design Input'!$C161:$L161)</f>
        <v>0</v>
      </c>
      <c r="N161" s="80">
        <f>IF('Robot Design Input'!$A161&gt;0,MIN(_xlfn.RANK.EQ('Robot Design Input'!$M161,'Robot Design Input'!$M$2:$M$201,0),NumberOfTeams),NumberOfTeams+1)</f>
        <v>1</v>
      </c>
    </row>
    <row r="162" ht="30.0" customHeight="1">
      <c r="A162" s="38" t="str">
        <f t="array" ref="A162">XLOOKUP(161,'Team and Program Information'!$B$3:$B$202,'Team and Program Information'!$C$3:$C$202,"ERROR",0)</f>
        <v/>
      </c>
      <c r="B162" s="68" t="str">
        <f t="array" ref="B162">XLOOKUP('Robot Design Input'!$A162,'Team and Program Information'!$C$3:$C$202,'Team and Program Information'!$D$3:$D$202,"",0,)</f>
        <v>#VALUE!</v>
      </c>
      <c r="C162" s="38"/>
      <c r="D162" s="38"/>
      <c r="E162" s="38"/>
      <c r="F162" s="38"/>
      <c r="G162" s="38"/>
      <c r="H162" s="38"/>
      <c r="I162" s="38"/>
      <c r="J162" s="38"/>
      <c r="K162" s="38"/>
      <c r="L162" s="38"/>
      <c r="M162" s="38">
        <f>SUM('Robot Design Input'!$C162:$L162)</f>
        <v>0</v>
      </c>
      <c r="N162" s="80">
        <f>IF('Robot Design Input'!$A162&gt;0,MIN(_xlfn.RANK.EQ('Robot Design Input'!$M162,'Robot Design Input'!$M$2:$M$201,0),NumberOfTeams),NumberOfTeams+1)</f>
        <v>1</v>
      </c>
    </row>
    <row r="163" ht="30.0" customHeight="1">
      <c r="A163" s="38" t="str">
        <f t="array" ref="A163">XLOOKUP(162,'Team and Program Information'!$B$3:$B$202,'Team and Program Information'!$C$3:$C$202,"ERROR",0)</f>
        <v/>
      </c>
      <c r="B163" s="68" t="str">
        <f t="array" ref="B163">XLOOKUP('Robot Design Input'!$A163,'Team and Program Information'!$C$3:$C$202,'Team and Program Information'!$D$3:$D$202,"",0,)</f>
        <v>#VALUE!</v>
      </c>
      <c r="C163" s="38"/>
      <c r="D163" s="38"/>
      <c r="E163" s="38"/>
      <c r="F163" s="38"/>
      <c r="G163" s="38"/>
      <c r="H163" s="38"/>
      <c r="I163" s="38"/>
      <c r="J163" s="38"/>
      <c r="K163" s="38"/>
      <c r="L163" s="38"/>
      <c r="M163" s="38">
        <f>SUM('Robot Design Input'!$C163:$L163)</f>
        <v>0</v>
      </c>
      <c r="N163" s="80">
        <f>IF('Robot Design Input'!$A163&gt;0,MIN(_xlfn.RANK.EQ('Robot Design Input'!$M163,'Robot Design Input'!$M$2:$M$201,0),NumberOfTeams),NumberOfTeams+1)</f>
        <v>1</v>
      </c>
    </row>
    <row r="164" ht="30.0" customHeight="1">
      <c r="A164" s="38" t="str">
        <f t="array" ref="A164">XLOOKUP(163,'Team and Program Information'!$B$3:$B$202,'Team and Program Information'!$C$3:$C$202,"ERROR",0)</f>
        <v/>
      </c>
      <c r="B164" s="68" t="str">
        <f t="array" ref="B164">XLOOKUP('Robot Design Input'!$A164,'Team and Program Information'!$C$3:$C$202,'Team and Program Information'!$D$3:$D$202,"",0,)</f>
        <v>#VALUE!</v>
      </c>
      <c r="C164" s="38"/>
      <c r="D164" s="38"/>
      <c r="E164" s="38"/>
      <c r="F164" s="38"/>
      <c r="G164" s="38"/>
      <c r="H164" s="38"/>
      <c r="I164" s="38"/>
      <c r="J164" s="38"/>
      <c r="K164" s="38"/>
      <c r="L164" s="38"/>
      <c r="M164" s="38">
        <f>SUM('Robot Design Input'!$C164:$L164)</f>
        <v>0</v>
      </c>
      <c r="N164" s="80">
        <f>IF('Robot Design Input'!$A164&gt;0,MIN(_xlfn.RANK.EQ('Robot Design Input'!$M164,'Robot Design Input'!$M$2:$M$201,0),NumberOfTeams),NumberOfTeams+1)</f>
        <v>1</v>
      </c>
    </row>
    <row r="165" ht="30.0" customHeight="1">
      <c r="A165" s="38" t="str">
        <f t="array" ref="A165">XLOOKUP(164,'Team and Program Information'!$B$3:$B$202,'Team and Program Information'!$C$3:$C$202,"ERROR",0)</f>
        <v/>
      </c>
      <c r="B165" s="68" t="str">
        <f t="array" ref="B165">XLOOKUP('Robot Design Input'!$A165,'Team and Program Information'!$C$3:$C$202,'Team and Program Information'!$D$3:$D$202,"",0,)</f>
        <v>#VALUE!</v>
      </c>
      <c r="C165" s="38"/>
      <c r="D165" s="38"/>
      <c r="E165" s="38"/>
      <c r="F165" s="38"/>
      <c r="G165" s="38"/>
      <c r="H165" s="38"/>
      <c r="I165" s="38"/>
      <c r="J165" s="38"/>
      <c r="K165" s="38"/>
      <c r="L165" s="38"/>
      <c r="M165" s="38">
        <f>SUM('Robot Design Input'!$C165:$L165)</f>
        <v>0</v>
      </c>
      <c r="N165" s="80">
        <f>IF('Robot Design Input'!$A165&gt;0,MIN(_xlfn.RANK.EQ('Robot Design Input'!$M165,'Robot Design Input'!$M$2:$M$201,0),NumberOfTeams),NumberOfTeams+1)</f>
        <v>1</v>
      </c>
    </row>
    <row r="166" ht="30.0" customHeight="1">
      <c r="A166" s="38" t="str">
        <f t="array" ref="A166">XLOOKUP(165,'Team and Program Information'!$B$3:$B$202,'Team and Program Information'!$C$3:$C$202,"ERROR",0)</f>
        <v/>
      </c>
      <c r="B166" s="68" t="str">
        <f t="array" ref="B166">XLOOKUP('Robot Design Input'!$A166,'Team and Program Information'!$C$3:$C$202,'Team and Program Information'!$D$3:$D$202,"",0,)</f>
        <v>#VALUE!</v>
      </c>
      <c r="C166" s="38"/>
      <c r="D166" s="38"/>
      <c r="E166" s="38"/>
      <c r="F166" s="38"/>
      <c r="G166" s="38"/>
      <c r="H166" s="38"/>
      <c r="I166" s="38"/>
      <c r="J166" s="38"/>
      <c r="K166" s="38"/>
      <c r="L166" s="38"/>
      <c r="M166" s="38">
        <f>SUM('Robot Design Input'!$C166:$L166)</f>
        <v>0</v>
      </c>
      <c r="N166" s="80">
        <f>IF('Robot Design Input'!$A166&gt;0,MIN(_xlfn.RANK.EQ('Robot Design Input'!$M166,'Robot Design Input'!$M$2:$M$201,0),NumberOfTeams),NumberOfTeams+1)</f>
        <v>1</v>
      </c>
    </row>
    <row r="167" ht="30.0" customHeight="1">
      <c r="A167" s="38" t="str">
        <f t="array" ref="A167">XLOOKUP(166,'Team and Program Information'!$B$3:$B$202,'Team and Program Information'!$C$3:$C$202,"ERROR",0)</f>
        <v/>
      </c>
      <c r="B167" s="68" t="str">
        <f t="array" ref="B167">XLOOKUP('Robot Design Input'!$A167,'Team and Program Information'!$C$3:$C$202,'Team and Program Information'!$D$3:$D$202,"",0,)</f>
        <v>#VALUE!</v>
      </c>
      <c r="C167" s="38"/>
      <c r="D167" s="38"/>
      <c r="E167" s="38"/>
      <c r="F167" s="38"/>
      <c r="G167" s="38"/>
      <c r="H167" s="38"/>
      <c r="I167" s="38"/>
      <c r="J167" s="38"/>
      <c r="K167" s="38"/>
      <c r="L167" s="38"/>
      <c r="M167" s="38">
        <f>SUM('Robot Design Input'!$C167:$L167)</f>
        <v>0</v>
      </c>
      <c r="N167" s="80">
        <f>IF('Robot Design Input'!$A167&gt;0,MIN(_xlfn.RANK.EQ('Robot Design Input'!$M167,'Robot Design Input'!$M$2:$M$201,0),NumberOfTeams),NumberOfTeams+1)</f>
        <v>1</v>
      </c>
    </row>
    <row r="168" ht="30.0" customHeight="1">
      <c r="A168" s="38" t="str">
        <f t="array" ref="A168">XLOOKUP(167,'Team and Program Information'!$B$3:$B$202,'Team and Program Information'!$C$3:$C$202,"ERROR",0)</f>
        <v/>
      </c>
      <c r="B168" s="68" t="str">
        <f t="array" ref="B168">XLOOKUP('Robot Design Input'!$A168,'Team and Program Information'!$C$3:$C$202,'Team and Program Information'!$D$3:$D$202,"",0,)</f>
        <v>#VALUE!</v>
      </c>
      <c r="C168" s="38"/>
      <c r="D168" s="38"/>
      <c r="E168" s="38"/>
      <c r="F168" s="38"/>
      <c r="G168" s="38"/>
      <c r="H168" s="38"/>
      <c r="I168" s="38"/>
      <c r="J168" s="38"/>
      <c r="K168" s="38"/>
      <c r="L168" s="38"/>
      <c r="M168" s="38">
        <f>SUM('Robot Design Input'!$C168:$L168)</f>
        <v>0</v>
      </c>
      <c r="N168" s="80">
        <f>IF('Robot Design Input'!$A168&gt;0,MIN(_xlfn.RANK.EQ('Robot Design Input'!$M168,'Robot Design Input'!$M$2:$M$201,0),NumberOfTeams),NumberOfTeams+1)</f>
        <v>1</v>
      </c>
    </row>
    <row r="169" ht="30.0" customHeight="1">
      <c r="A169" s="38" t="str">
        <f t="array" ref="A169">XLOOKUP(168,'Team and Program Information'!$B$3:$B$202,'Team and Program Information'!$C$3:$C$202,"ERROR",0)</f>
        <v/>
      </c>
      <c r="B169" s="68" t="str">
        <f t="array" ref="B169">XLOOKUP('Robot Design Input'!$A169,'Team and Program Information'!$C$3:$C$202,'Team and Program Information'!$D$3:$D$202,"",0,)</f>
        <v>#VALUE!</v>
      </c>
      <c r="C169" s="38"/>
      <c r="D169" s="38"/>
      <c r="E169" s="38"/>
      <c r="F169" s="38"/>
      <c r="G169" s="38"/>
      <c r="H169" s="38"/>
      <c r="I169" s="38"/>
      <c r="J169" s="38"/>
      <c r="K169" s="38"/>
      <c r="L169" s="38"/>
      <c r="M169" s="38">
        <f>SUM('Robot Design Input'!$C169:$L169)</f>
        <v>0</v>
      </c>
      <c r="N169" s="80">
        <f>IF('Robot Design Input'!$A169&gt;0,MIN(_xlfn.RANK.EQ('Robot Design Input'!$M169,'Robot Design Input'!$M$2:$M$201,0),NumberOfTeams),NumberOfTeams+1)</f>
        <v>1</v>
      </c>
    </row>
    <row r="170" ht="30.0" customHeight="1">
      <c r="A170" s="38" t="str">
        <f t="array" ref="A170">XLOOKUP(169,'Team and Program Information'!$B$3:$B$202,'Team and Program Information'!$C$3:$C$202,"ERROR",0)</f>
        <v/>
      </c>
      <c r="B170" s="68" t="str">
        <f t="array" ref="B170">XLOOKUP('Robot Design Input'!$A170,'Team and Program Information'!$C$3:$C$202,'Team and Program Information'!$D$3:$D$202,"",0,)</f>
        <v>#VALUE!</v>
      </c>
      <c r="C170" s="38"/>
      <c r="D170" s="38"/>
      <c r="E170" s="38"/>
      <c r="F170" s="38"/>
      <c r="G170" s="38"/>
      <c r="H170" s="38"/>
      <c r="I170" s="38"/>
      <c r="J170" s="38"/>
      <c r="K170" s="38"/>
      <c r="L170" s="38"/>
      <c r="M170" s="38">
        <f>SUM('Robot Design Input'!$C170:$L170)</f>
        <v>0</v>
      </c>
      <c r="N170" s="80">
        <f>IF('Robot Design Input'!$A170&gt;0,MIN(_xlfn.RANK.EQ('Robot Design Input'!$M170,'Robot Design Input'!$M$2:$M$201,0),NumberOfTeams),NumberOfTeams+1)</f>
        <v>1</v>
      </c>
    </row>
    <row r="171" ht="30.0" customHeight="1">
      <c r="A171" s="38" t="str">
        <f t="array" ref="A171">XLOOKUP(170,'Team and Program Information'!$B$3:$B$202,'Team and Program Information'!$C$3:$C$202,"ERROR",0)</f>
        <v/>
      </c>
      <c r="B171" s="68" t="str">
        <f t="array" ref="B171">XLOOKUP('Robot Design Input'!$A171,'Team and Program Information'!$C$3:$C$202,'Team and Program Information'!$D$3:$D$202,"",0,)</f>
        <v>#VALUE!</v>
      </c>
      <c r="C171" s="38"/>
      <c r="D171" s="38"/>
      <c r="E171" s="38"/>
      <c r="F171" s="38"/>
      <c r="G171" s="38"/>
      <c r="H171" s="38"/>
      <c r="I171" s="38"/>
      <c r="J171" s="38"/>
      <c r="K171" s="38"/>
      <c r="L171" s="38"/>
      <c r="M171" s="38">
        <f>SUM('Robot Design Input'!$C171:$L171)</f>
        <v>0</v>
      </c>
      <c r="N171" s="80">
        <f>IF('Robot Design Input'!$A171&gt;0,MIN(_xlfn.RANK.EQ('Robot Design Input'!$M171,'Robot Design Input'!$M$2:$M$201,0),NumberOfTeams),NumberOfTeams+1)</f>
        <v>1</v>
      </c>
    </row>
    <row r="172" ht="30.0" customHeight="1">
      <c r="A172" s="38" t="str">
        <f t="array" ref="A172">XLOOKUP(171,'Team and Program Information'!$B$3:$B$202,'Team and Program Information'!$C$3:$C$202,"ERROR",0)</f>
        <v/>
      </c>
      <c r="B172" s="68" t="str">
        <f t="array" ref="B172">XLOOKUP('Robot Design Input'!$A172,'Team and Program Information'!$C$3:$C$202,'Team and Program Information'!$D$3:$D$202,"",0,)</f>
        <v>#VALUE!</v>
      </c>
      <c r="C172" s="38"/>
      <c r="D172" s="38"/>
      <c r="E172" s="38"/>
      <c r="F172" s="38"/>
      <c r="G172" s="38"/>
      <c r="H172" s="38"/>
      <c r="I172" s="38"/>
      <c r="J172" s="38"/>
      <c r="K172" s="38"/>
      <c r="L172" s="38"/>
      <c r="M172" s="38">
        <f>SUM('Robot Design Input'!$C172:$L172)</f>
        <v>0</v>
      </c>
      <c r="N172" s="80">
        <f>IF('Robot Design Input'!$A172&gt;0,MIN(_xlfn.RANK.EQ('Robot Design Input'!$M172,'Robot Design Input'!$M$2:$M$201,0),NumberOfTeams),NumberOfTeams+1)</f>
        <v>1</v>
      </c>
    </row>
    <row r="173" ht="30.0" customHeight="1">
      <c r="A173" s="38" t="str">
        <f t="array" ref="A173">XLOOKUP(172,'Team and Program Information'!$B$3:$B$202,'Team and Program Information'!$C$3:$C$202,"ERROR",0)</f>
        <v/>
      </c>
      <c r="B173" s="68" t="str">
        <f t="array" ref="B173">XLOOKUP('Robot Design Input'!$A173,'Team and Program Information'!$C$3:$C$202,'Team and Program Information'!$D$3:$D$202,"",0,)</f>
        <v>#VALUE!</v>
      </c>
      <c r="C173" s="38"/>
      <c r="D173" s="38"/>
      <c r="E173" s="38"/>
      <c r="F173" s="38"/>
      <c r="G173" s="38"/>
      <c r="H173" s="38"/>
      <c r="I173" s="38"/>
      <c r="J173" s="38"/>
      <c r="K173" s="38"/>
      <c r="L173" s="38"/>
      <c r="M173" s="38">
        <f>SUM('Robot Design Input'!$C173:$L173)</f>
        <v>0</v>
      </c>
      <c r="N173" s="80">
        <f>IF('Robot Design Input'!$A173&gt;0,MIN(_xlfn.RANK.EQ('Robot Design Input'!$M173,'Robot Design Input'!$M$2:$M$201,0),NumberOfTeams),NumberOfTeams+1)</f>
        <v>1</v>
      </c>
    </row>
    <row r="174" ht="30.0" customHeight="1">
      <c r="A174" s="38" t="str">
        <f t="array" ref="A174">XLOOKUP(173,'Team and Program Information'!$B$3:$B$202,'Team and Program Information'!$C$3:$C$202,"ERROR",0)</f>
        <v/>
      </c>
      <c r="B174" s="68" t="str">
        <f t="array" ref="B174">XLOOKUP('Robot Design Input'!$A174,'Team and Program Information'!$C$3:$C$202,'Team and Program Information'!$D$3:$D$202,"",0,)</f>
        <v>#VALUE!</v>
      </c>
      <c r="C174" s="38"/>
      <c r="D174" s="38"/>
      <c r="E174" s="38"/>
      <c r="F174" s="38"/>
      <c r="G174" s="38"/>
      <c r="H174" s="38"/>
      <c r="I174" s="38"/>
      <c r="J174" s="38"/>
      <c r="K174" s="38"/>
      <c r="L174" s="38"/>
      <c r="M174" s="38">
        <f>SUM('Robot Design Input'!$C174:$L174)</f>
        <v>0</v>
      </c>
      <c r="N174" s="80">
        <f>IF('Robot Design Input'!$A174&gt;0,MIN(_xlfn.RANK.EQ('Robot Design Input'!$M174,'Robot Design Input'!$M$2:$M$201,0),NumberOfTeams),NumberOfTeams+1)</f>
        <v>1</v>
      </c>
    </row>
    <row r="175" ht="30.0" customHeight="1">
      <c r="A175" s="38" t="str">
        <f t="array" ref="A175">XLOOKUP(174,'Team and Program Information'!$B$3:$B$202,'Team and Program Information'!$C$3:$C$202,"ERROR",0)</f>
        <v/>
      </c>
      <c r="B175" s="68" t="str">
        <f t="array" ref="B175">XLOOKUP('Robot Design Input'!$A175,'Team and Program Information'!$C$3:$C$202,'Team and Program Information'!$D$3:$D$202,"",0,)</f>
        <v>#VALUE!</v>
      </c>
      <c r="C175" s="38"/>
      <c r="D175" s="38"/>
      <c r="E175" s="38"/>
      <c r="F175" s="38"/>
      <c r="G175" s="38"/>
      <c r="H175" s="38"/>
      <c r="I175" s="38"/>
      <c r="J175" s="38"/>
      <c r="K175" s="38"/>
      <c r="L175" s="38"/>
      <c r="M175" s="38">
        <f>SUM('Robot Design Input'!$C175:$L175)</f>
        <v>0</v>
      </c>
      <c r="N175" s="80">
        <f>IF('Robot Design Input'!$A175&gt;0,MIN(_xlfn.RANK.EQ('Robot Design Input'!$M175,'Robot Design Input'!$M$2:$M$201,0),NumberOfTeams),NumberOfTeams+1)</f>
        <v>1</v>
      </c>
    </row>
    <row r="176" ht="30.0" customHeight="1">
      <c r="A176" s="38" t="str">
        <f t="array" ref="A176">XLOOKUP(175,'Team and Program Information'!$B$3:$B$202,'Team and Program Information'!$C$3:$C$202,"ERROR",0)</f>
        <v/>
      </c>
      <c r="B176" s="68" t="str">
        <f t="array" ref="B176">XLOOKUP('Robot Design Input'!$A176,'Team and Program Information'!$C$3:$C$202,'Team and Program Information'!$D$3:$D$202,"",0,)</f>
        <v>#VALUE!</v>
      </c>
      <c r="C176" s="38"/>
      <c r="D176" s="38"/>
      <c r="E176" s="38"/>
      <c r="F176" s="38"/>
      <c r="G176" s="38"/>
      <c r="H176" s="38"/>
      <c r="I176" s="38"/>
      <c r="J176" s="38"/>
      <c r="K176" s="38"/>
      <c r="L176" s="38"/>
      <c r="M176" s="38">
        <f>SUM('Robot Design Input'!$C176:$L176)</f>
        <v>0</v>
      </c>
      <c r="N176" s="80">
        <f>IF('Robot Design Input'!$A176&gt;0,MIN(_xlfn.RANK.EQ('Robot Design Input'!$M176,'Robot Design Input'!$M$2:$M$201,0),NumberOfTeams),NumberOfTeams+1)</f>
        <v>1</v>
      </c>
    </row>
    <row r="177" ht="30.0" customHeight="1">
      <c r="A177" s="38" t="str">
        <f t="array" ref="A177">XLOOKUP(176,'Team and Program Information'!$B$3:$B$202,'Team and Program Information'!$C$3:$C$202,"ERROR",0)</f>
        <v/>
      </c>
      <c r="B177" s="68" t="str">
        <f t="array" ref="B177">XLOOKUP('Robot Design Input'!$A177,'Team and Program Information'!$C$3:$C$202,'Team and Program Information'!$D$3:$D$202,"",0,)</f>
        <v>#VALUE!</v>
      </c>
      <c r="C177" s="38"/>
      <c r="D177" s="38"/>
      <c r="E177" s="38"/>
      <c r="F177" s="38"/>
      <c r="G177" s="38"/>
      <c r="H177" s="38"/>
      <c r="I177" s="38"/>
      <c r="J177" s="38"/>
      <c r="K177" s="38"/>
      <c r="L177" s="38"/>
      <c r="M177" s="38">
        <f>SUM('Robot Design Input'!$C177:$L177)</f>
        <v>0</v>
      </c>
      <c r="N177" s="80">
        <f>IF('Robot Design Input'!$A177&gt;0,MIN(_xlfn.RANK.EQ('Robot Design Input'!$M177,'Robot Design Input'!$M$2:$M$201,0),NumberOfTeams),NumberOfTeams+1)</f>
        <v>1</v>
      </c>
    </row>
    <row r="178" ht="30.0" customHeight="1">
      <c r="A178" s="38" t="str">
        <f t="array" ref="A178">XLOOKUP(177,'Team and Program Information'!$B$3:$B$202,'Team and Program Information'!$C$3:$C$202,"ERROR",0)</f>
        <v/>
      </c>
      <c r="B178" s="68" t="str">
        <f t="array" ref="B178">XLOOKUP('Robot Design Input'!$A178,'Team and Program Information'!$C$3:$C$202,'Team and Program Information'!$D$3:$D$202,"",0,)</f>
        <v>#VALUE!</v>
      </c>
      <c r="C178" s="38"/>
      <c r="D178" s="38"/>
      <c r="E178" s="38"/>
      <c r="F178" s="38"/>
      <c r="G178" s="38"/>
      <c r="H178" s="38"/>
      <c r="I178" s="38"/>
      <c r="J178" s="38"/>
      <c r="K178" s="38"/>
      <c r="L178" s="38"/>
      <c r="M178" s="38">
        <f>SUM('Robot Design Input'!$C178:$L178)</f>
        <v>0</v>
      </c>
      <c r="N178" s="80">
        <f>IF('Robot Design Input'!$A178&gt;0,MIN(_xlfn.RANK.EQ('Robot Design Input'!$M178,'Robot Design Input'!$M$2:$M$201,0),NumberOfTeams),NumberOfTeams+1)</f>
        <v>1</v>
      </c>
    </row>
    <row r="179" ht="30.0" customHeight="1">
      <c r="A179" s="38" t="str">
        <f t="array" ref="A179">XLOOKUP(178,'Team and Program Information'!$B$3:$B$202,'Team and Program Information'!$C$3:$C$202,"ERROR",0)</f>
        <v/>
      </c>
      <c r="B179" s="68" t="str">
        <f t="array" ref="B179">XLOOKUP('Robot Design Input'!$A179,'Team and Program Information'!$C$3:$C$202,'Team and Program Information'!$D$3:$D$202,"",0,)</f>
        <v>#VALUE!</v>
      </c>
      <c r="C179" s="38"/>
      <c r="D179" s="38"/>
      <c r="E179" s="38"/>
      <c r="F179" s="38"/>
      <c r="G179" s="38"/>
      <c r="H179" s="38"/>
      <c r="I179" s="38"/>
      <c r="J179" s="38"/>
      <c r="K179" s="38"/>
      <c r="L179" s="38"/>
      <c r="M179" s="38">
        <f>SUM('Robot Design Input'!$C179:$L179)</f>
        <v>0</v>
      </c>
      <c r="N179" s="80">
        <f>IF('Robot Design Input'!$A179&gt;0,MIN(_xlfn.RANK.EQ('Robot Design Input'!$M179,'Robot Design Input'!$M$2:$M$201,0),NumberOfTeams),NumberOfTeams+1)</f>
        <v>1</v>
      </c>
    </row>
    <row r="180" ht="30.0" customHeight="1">
      <c r="A180" s="38" t="str">
        <f t="array" ref="A180">XLOOKUP(179,'Team and Program Information'!$B$3:$B$202,'Team and Program Information'!$C$3:$C$202,"ERROR",0)</f>
        <v/>
      </c>
      <c r="B180" s="68" t="str">
        <f t="array" ref="B180">XLOOKUP('Robot Design Input'!$A180,'Team and Program Information'!$C$3:$C$202,'Team and Program Information'!$D$3:$D$202,"",0,)</f>
        <v>#VALUE!</v>
      </c>
      <c r="C180" s="38"/>
      <c r="D180" s="38"/>
      <c r="E180" s="38"/>
      <c r="F180" s="38"/>
      <c r="G180" s="38"/>
      <c r="H180" s="38"/>
      <c r="I180" s="38"/>
      <c r="J180" s="38"/>
      <c r="K180" s="38"/>
      <c r="L180" s="38"/>
      <c r="M180" s="38">
        <f>SUM('Robot Design Input'!$C180:$L180)</f>
        <v>0</v>
      </c>
      <c r="N180" s="80">
        <f>IF('Robot Design Input'!$A180&gt;0,MIN(_xlfn.RANK.EQ('Robot Design Input'!$M180,'Robot Design Input'!$M$2:$M$201,0),NumberOfTeams),NumberOfTeams+1)</f>
        <v>1</v>
      </c>
    </row>
    <row r="181" ht="30.0" customHeight="1">
      <c r="A181" s="38" t="str">
        <f t="array" ref="A181">XLOOKUP(180,'Team and Program Information'!$B$3:$B$202,'Team and Program Information'!$C$3:$C$202,"ERROR",0)</f>
        <v/>
      </c>
      <c r="B181" s="68" t="str">
        <f t="array" ref="B181">XLOOKUP('Robot Design Input'!$A181,'Team and Program Information'!$C$3:$C$202,'Team and Program Information'!$D$3:$D$202,"",0,)</f>
        <v>#VALUE!</v>
      </c>
      <c r="C181" s="38"/>
      <c r="D181" s="38"/>
      <c r="E181" s="38"/>
      <c r="F181" s="38"/>
      <c r="G181" s="38"/>
      <c r="H181" s="38"/>
      <c r="I181" s="38"/>
      <c r="J181" s="38"/>
      <c r="K181" s="38"/>
      <c r="L181" s="38"/>
      <c r="M181" s="38">
        <f>SUM('Robot Design Input'!$C181:$L181)</f>
        <v>0</v>
      </c>
      <c r="N181" s="80">
        <f>IF('Robot Design Input'!$A181&gt;0,MIN(_xlfn.RANK.EQ('Robot Design Input'!$M181,'Robot Design Input'!$M$2:$M$201,0),NumberOfTeams),NumberOfTeams+1)</f>
        <v>1</v>
      </c>
    </row>
    <row r="182" ht="30.0" customHeight="1">
      <c r="A182" s="38" t="str">
        <f t="array" ref="A182">XLOOKUP(181,'Team and Program Information'!$B$3:$B$202,'Team and Program Information'!$C$3:$C$202,"ERROR",0)</f>
        <v/>
      </c>
      <c r="B182" s="68" t="str">
        <f t="array" ref="B182">XLOOKUP('Robot Design Input'!$A182,'Team and Program Information'!$C$3:$C$202,'Team and Program Information'!$D$3:$D$202,"",0,)</f>
        <v>#VALUE!</v>
      </c>
      <c r="C182" s="38"/>
      <c r="D182" s="38"/>
      <c r="E182" s="38"/>
      <c r="F182" s="38"/>
      <c r="G182" s="38"/>
      <c r="H182" s="38"/>
      <c r="I182" s="38"/>
      <c r="J182" s="38"/>
      <c r="K182" s="38"/>
      <c r="L182" s="38"/>
      <c r="M182" s="38">
        <f>SUM('Robot Design Input'!$C182:$L182)</f>
        <v>0</v>
      </c>
      <c r="N182" s="80">
        <f>IF('Robot Design Input'!$A182&gt;0,MIN(_xlfn.RANK.EQ('Robot Design Input'!$M182,'Robot Design Input'!$M$2:$M$201,0),NumberOfTeams),NumberOfTeams+1)</f>
        <v>1</v>
      </c>
    </row>
    <row r="183" ht="30.0" customHeight="1">
      <c r="A183" s="38" t="str">
        <f t="array" ref="A183">XLOOKUP(182,'Team and Program Information'!$B$3:$B$202,'Team and Program Information'!$C$3:$C$202,"ERROR",0)</f>
        <v/>
      </c>
      <c r="B183" s="68" t="str">
        <f t="array" ref="B183">XLOOKUP('Robot Design Input'!$A183,'Team and Program Information'!$C$3:$C$202,'Team and Program Information'!$D$3:$D$202,"",0,)</f>
        <v>#VALUE!</v>
      </c>
      <c r="C183" s="38"/>
      <c r="D183" s="38"/>
      <c r="E183" s="38"/>
      <c r="F183" s="38"/>
      <c r="G183" s="38"/>
      <c r="H183" s="38"/>
      <c r="I183" s="38"/>
      <c r="J183" s="38"/>
      <c r="K183" s="38"/>
      <c r="L183" s="38"/>
      <c r="M183" s="38">
        <f>SUM('Robot Design Input'!$C183:$L183)</f>
        <v>0</v>
      </c>
      <c r="N183" s="80">
        <f>IF('Robot Design Input'!$A183&gt;0,MIN(_xlfn.RANK.EQ('Robot Design Input'!$M183,'Robot Design Input'!$M$2:$M$201,0),NumberOfTeams),NumberOfTeams+1)</f>
        <v>1</v>
      </c>
    </row>
    <row r="184" ht="30.0" customHeight="1">
      <c r="A184" s="38" t="str">
        <f t="array" ref="A184">XLOOKUP(183,'Team and Program Information'!$B$3:$B$202,'Team and Program Information'!$C$3:$C$202,"ERROR",0)</f>
        <v/>
      </c>
      <c r="B184" s="68" t="str">
        <f t="array" ref="B184">XLOOKUP('Robot Design Input'!$A184,'Team and Program Information'!$C$3:$C$202,'Team and Program Information'!$D$3:$D$202,"",0,)</f>
        <v>#VALUE!</v>
      </c>
      <c r="C184" s="38"/>
      <c r="D184" s="38"/>
      <c r="E184" s="38"/>
      <c r="F184" s="38"/>
      <c r="G184" s="38"/>
      <c r="H184" s="38"/>
      <c r="I184" s="38"/>
      <c r="J184" s="38"/>
      <c r="K184" s="38"/>
      <c r="L184" s="38"/>
      <c r="M184" s="38">
        <f>SUM('Robot Design Input'!$C184:$L184)</f>
        <v>0</v>
      </c>
      <c r="N184" s="80">
        <f>IF('Robot Design Input'!$A184&gt;0,MIN(_xlfn.RANK.EQ('Robot Design Input'!$M184,'Robot Design Input'!$M$2:$M$201,0),NumberOfTeams),NumberOfTeams+1)</f>
        <v>1</v>
      </c>
    </row>
    <row r="185" ht="30.0" customHeight="1">
      <c r="A185" s="38" t="str">
        <f t="array" ref="A185">XLOOKUP(184,'Team and Program Information'!$B$3:$B$202,'Team and Program Information'!$C$3:$C$202,"ERROR",0)</f>
        <v/>
      </c>
      <c r="B185" s="68" t="str">
        <f t="array" ref="B185">XLOOKUP('Robot Design Input'!$A185,'Team and Program Information'!$C$3:$C$202,'Team and Program Information'!$D$3:$D$202,"",0,)</f>
        <v>#VALUE!</v>
      </c>
      <c r="C185" s="38"/>
      <c r="D185" s="38"/>
      <c r="E185" s="38"/>
      <c r="F185" s="38"/>
      <c r="G185" s="38"/>
      <c r="H185" s="38"/>
      <c r="I185" s="38"/>
      <c r="J185" s="38"/>
      <c r="K185" s="38"/>
      <c r="L185" s="38"/>
      <c r="M185" s="38">
        <f>SUM('Robot Design Input'!$C185:$L185)</f>
        <v>0</v>
      </c>
      <c r="N185" s="80">
        <f>IF('Robot Design Input'!$A185&gt;0,MIN(_xlfn.RANK.EQ('Robot Design Input'!$M185,'Robot Design Input'!$M$2:$M$201,0),NumberOfTeams),NumberOfTeams+1)</f>
        <v>1</v>
      </c>
    </row>
    <row r="186" ht="30.0" customHeight="1">
      <c r="A186" s="38" t="str">
        <f t="array" ref="A186">XLOOKUP(185,'Team and Program Information'!$B$3:$B$202,'Team and Program Information'!$C$3:$C$202,"ERROR",0)</f>
        <v/>
      </c>
      <c r="B186" s="68" t="str">
        <f t="array" ref="B186">XLOOKUP('Robot Design Input'!$A186,'Team and Program Information'!$C$3:$C$202,'Team and Program Information'!$D$3:$D$202,"",0,)</f>
        <v>#VALUE!</v>
      </c>
      <c r="C186" s="38"/>
      <c r="D186" s="38"/>
      <c r="E186" s="38"/>
      <c r="F186" s="38"/>
      <c r="G186" s="38"/>
      <c r="H186" s="38"/>
      <c r="I186" s="38"/>
      <c r="J186" s="38"/>
      <c r="K186" s="38"/>
      <c r="L186" s="38"/>
      <c r="M186" s="38">
        <f>SUM('Robot Design Input'!$C186:$L186)</f>
        <v>0</v>
      </c>
      <c r="N186" s="80">
        <f>IF('Robot Design Input'!$A186&gt;0,MIN(_xlfn.RANK.EQ('Robot Design Input'!$M186,'Robot Design Input'!$M$2:$M$201,0),NumberOfTeams),NumberOfTeams+1)</f>
        <v>1</v>
      </c>
    </row>
    <row r="187" ht="30.0" customHeight="1">
      <c r="A187" s="38" t="str">
        <f t="array" ref="A187">XLOOKUP(186,'Team and Program Information'!$B$3:$B$202,'Team and Program Information'!$C$3:$C$202,"ERROR",0)</f>
        <v/>
      </c>
      <c r="B187" s="68" t="str">
        <f t="array" ref="B187">XLOOKUP('Robot Design Input'!$A187,'Team and Program Information'!$C$3:$C$202,'Team and Program Information'!$D$3:$D$202,"",0,)</f>
        <v>#VALUE!</v>
      </c>
      <c r="C187" s="38"/>
      <c r="D187" s="38"/>
      <c r="E187" s="38"/>
      <c r="F187" s="38"/>
      <c r="G187" s="38"/>
      <c r="H187" s="38"/>
      <c r="I187" s="38"/>
      <c r="J187" s="38"/>
      <c r="K187" s="38"/>
      <c r="L187" s="38"/>
      <c r="M187" s="38">
        <f>SUM('Robot Design Input'!$C187:$L187)</f>
        <v>0</v>
      </c>
      <c r="N187" s="80">
        <f>IF('Robot Design Input'!$A187&gt;0,MIN(_xlfn.RANK.EQ('Robot Design Input'!$M187,'Robot Design Input'!$M$2:$M$201,0),NumberOfTeams),NumberOfTeams+1)</f>
        <v>1</v>
      </c>
    </row>
    <row r="188" ht="30.0" customHeight="1">
      <c r="A188" s="38" t="str">
        <f t="array" ref="A188">XLOOKUP(187,'Team and Program Information'!$B$3:$B$202,'Team and Program Information'!$C$3:$C$202,"ERROR",0)</f>
        <v/>
      </c>
      <c r="B188" s="68" t="str">
        <f t="array" ref="B188">XLOOKUP('Robot Design Input'!$A188,'Team and Program Information'!$C$3:$C$202,'Team and Program Information'!$D$3:$D$202,"",0,)</f>
        <v>#VALUE!</v>
      </c>
      <c r="C188" s="38"/>
      <c r="D188" s="38"/>
      <c r="E188" s="38"/>
      <c r="F188" s="38"/>
      <c r="G188" s="38"/>
      <c r="H188" s="38"/>
      <c r="I188" s="38"/>
      <c r="J188" s="38"/>
      <c r="K188" s="38"/>
      <c r="L188" s="38"/>
      <c r="M188" s="38">
        <f>SUM('Robot Design Input'!$C188:$L188)</f>
        <v>0</v>
      </c>
      <c r="N188" s="80">
        <f>IF('Robot Design Input'!$A188&gt;0,MIN(_xlfn.RANK.EQ('Robot Design Input'!$M188,'Robot Design Input'!$M$2:$M$201,0),NumberOfTeams),NumberOfTeams+1)</f>
        <v>1</v>
      </c>
    </row>
    <row r="189" ht="30.0" customHeight="1">
      <c r="A189" s="38" t="str">
        <f t="array" ref="A189">XLOOKUP(188,'Team and Program Information'!$B$3:$B$202,'Team and Program Information'!$C$3:$C$202,"ERROR",0)</f>
        <v/>
      </c>
      <c r="B189" s="68" t="str">
        <f t="array" ref="B189">XLOOKUP('Robot Design Input'!$A189,'Team and Program Information'!$C$3:$C$202,'Team and Program Information'!$D$3:$D$202,"",0,)</f>
        <v>#VALUE!</v>
      </c>
      <c r="C189" s="38"/>
      <c r="D189" s="38"/>
      <c r="E189" s="38"/>
      <c r="F189" s="38"/>
      <c r="G189" s="38"/>
      <c r="H189" s="38"/>
      <c r="I189" s="38"/>
      <c r="J189" s="38"/>
      <c r="K189" s="38"/>
      <c r="L189" s="38"/>
      <c r="M189" s="38">
        <f>SUM('Robot Design Input'!$C189:$L189)</f>
        <v>0</v>
      </c>
      <c r="N189" s="80">
        <f>IF('Robot Design Input'!$A189&gt;0,MIN(_xlfn.RANK.EQ('Robot Design Input'!$M189,'Robot Design Input'!$M$2:$M$201,0),NumberOfTeams),NumberOfTeams+1)</f>
        <v>1</v>
      </c>
    </row>
    <row r="190" ht="30.0" customHeight="1">
      <c r="A190" s="38" t="str">
        <f t="array" ref="A190">XLOOKUP(189,'Team and Program Information'!$B$3:$B$202,'Team and Program Information'!$C$3:$C$202,"ERROR",0)</f>
        <v/>
      </c>
      <c r="B190" s="68" t="str">
        <f t="array" ref="B190">XLOOKUP('Robot Design Input'!$A190,'Team and Program Information'!$C$3:$C$202,'Team and Program Information'!$D$3:$D$202,"",0,)</f>
        <v>#VALUE!</v>
      </c>
      <c r="C190" s="38"/>
      <c r="D190" s="38"/>
      <c r="E190" s="38"/>
      <c r="F190" s="38"/>
      <c r="G190" s="38"/>
      <c r="H190" s="38"/>
      <c r="I190" s="38"/>
      <c r="J190" s="38"/>
      <c r="K190" s="38"/>
      <c r="L190" s="38"/>
      <c r="M190" s="38">
        <f>SUM('Robot Design Input'!$C190:$L190)</f>
        <v>0</v>
      </c>
      <c r="N190" s="80">
        <f>IF('Robot Design Input'!$A190&gt;0,MIN(_xlfn.RANK.EQ('Robot Design Input'!$M190,'Robot Design Input'!$M$2:$M$201,0),NumberOfTeams),NumberOfTeams+1)</f>
        <v>1</v>
      </c>
    </row>
    <row r="191" ht="30.0" customHeight="1">
      <c r="A191" s="38" t="str">
        <f t="array" ref="A191">XLOOKUP(190,'Team and Program Information'!$B$3:$B$202,'Team and Program Information'!$C$3:$C$202,"ERROR",0)</f>
        <v/>
      </c>
      <c r="B191" s="68" t="str">
        <f t="array" ref="B191">XLOOKUP('Robot Design Input'!$A191,'Team and Program Information'!$C$3:$C$202,'Team and Program Information'!$D$3:$D$202,"",0,)</f>
        <v>#VALUE!</v>
      </c>
      <c r="C191" s="38"/>
      <c r="D191" s="38"/>
      <c r="E191" s="38"/>
      <c r="F191" s="38"/>
      <c r="G191" s="38"/>
      <c r="H191" s="38"/>
      <c r="I191" s="38"/>
      <c r="J191" s="38"/>
      <c r="K191" s="38"/>
      <c r="L191" s="38"/>
      <c r="M191" s="38">
        <f>SUM('Robot Design Input'!$C191:$L191)</f>
        <v>0</v>
      </c>
      <c r="N191" s="80">
        <f>IF('Robot Design Input'!$A191&gt;0,MIN(_xlfn.RANK.EQ('Robot Design Input'!$M191,'Robot Design Input'!$M$2:$M$201,0),NumberOfTeams),NumberOfTeams+1)</f>
        <v>1</v>
      </c>
    </row>
    <row r="192" ht="30.0" customHeight="1">
      <c r="A192" s="38" t="str">
        <f t="array" ref="A192">XLOOKUP(191,'Team and Program Information'!$B$3:$B$202,'Team and Program Information'!$C$3:$C$202,"ERROR",0)</f>
        <v/>
      </c>
      <c r="B192" s="68" t="str">
        <f t="array" ref="B192">XLOOKUP('Robot Design Input'!$A192,'Team and Program Information'!$C$3:$C$202,'Team and Program Information'!$D$3:$D$202,"",0,)</f>
        <v>#VALUE!</v>
      </c>
      <c r="C192" s="38"/>
      <c r="D192" s="38"/>
      <c r="E192" s="38"/>
      <c r="F192" s="38"/>
      <c r="G192" s="38"/>
      <c r="H192" s="38"/>
      <c r="I192" s="38"/>
      <c r="J192" s="38"/>
      <c r="K192" s="38"/>
      <c r="L192" s="38"/>
      <c r="M192" s="38">
        <f>SUM('Robot Design Input'!$C192:$L192)</f>
        <v>0</v>
      </c>
      <c r="N192" s="80">
        <f>IF('Robot Design Input'!$A192&gt;0,MIN(_xlfn.RANK.EQ('Robot Design Input'!$M192,'Robot Design Input'!$M$2:$M$201,0),NumberOfTeams),NumberOfTeams+1)</f>
        <v>1</v>
      </c>
    </row>
    <row r="193" ht="30.0" customHeight="1">
      <c r="A193" s="38" t="str">
        <f t="array" ref="A193">XLOOKUP(192,'Team and Program Information'!$B$3:$B$202,'Team and Program Information'!$C$3:$C$202,"ERROR",0)</f>
        <v/>
      </c>
      <c r="B193" s="68" t="str">
        <f t="array" ref="B193">XLOOKUP('Robot Design Input'!$A193,'Team and Program Information'!$C$3:$C$202,'Team and Program Information'!$D$3:$D$202,"",0,)</f>
        <v>#VALUE!</v>
      </c>
      <c r="C193" s="38"/>
      <c r="D193" s="38"/>
      <c r="E193" s="38"/>
      <c r="F193" s="38"/>
      <c r="G193" s="38"/>
      <c r="H193" s="38"/>
      <c r="I193" s="38"/>
      <c r="J193" s="38"/>
      <c r="K193" s="38"/>
      <c r="L193" s="38"/>
      <c r="M193" s="38">
        <f>SUM('Robot Design Input'!$C193:$L193)</f>
        <v>0</v>
      </c>
      <c r="N193" s="80">
        <f>IF('Robot Design Input'!$A193&gt;0,MIN(_xlfn.RANK.EQ('Robot Design Input'!$M193,'Robot Design Input'!$M$2:$M$201,0),NumberOfTeams),NumberOfTeams+1)</f>
        <v>1</v>
      </c>
    </row>
    <row r="194" ht="30.0" customHeight="1">
      <c r="A194" s="38" t="str">
        <f t="array" ref="A194">XLOOKUP(193,'Team and Program Information'!$B$3:$B$202,'Team and Program Information'!$C$3:$C$202,"ERROR",0)</f>
        <v/>
      </c>
      <c r="B194" s="68" t="str">
        <f t="array" ref="B194">XLOOKUP('Robot Design Input'!$A194,'Team and Program Information'!$C$3:$C$202,'Team and Program Information'!$D$3:$D$202,"",0,)</f>
        <v>#VALUE!</v>
      </c>
      <c r="C194" s="38"/>
      <c r="D194" s="38"/>
      <c r="E194" s="38"/>
      <c r="F194" s="38"/>
      <c r="G194" s="38"/>
      <c r="H194" s="38"/>
      <c r="I194" s="38"/>
      <c r="J194" s="38"/>
      <c r="K194" s="38"/>
      <c r="L194" s="38"/>
      <c r="M194" s="38">
        <f>SUM('Robot Design Input'!$C194:$L194)</f>
        <v>0</v>
      </c>
      <c r="N194" s="80">
        <f>IF('Robot Design Input'!$A194&gt;0,MIN(_xlfn.RANK.EQ('Robot Design Input'!$M194,'Robot Design Input'!$M$2:$M$201,0),NumberOfTeams),NumberOfTeams+1)</f>
        <v>1</v>
      </c>
    </row>
    <row r="195" ht="30.0" customHeight="1">
      <c r="A195" s="38" t="str">
        <f t="array" ref="A195">XLOOKUP(194,'Team and Program Information'!$B$3:$B$202,'Team and Program Information'!$C$3:$C$202,"ERROR",0)</f>
        <v/>
      </c>
      <c r="B195" s="68" t="str">
        <f t="array" ref="B195">XLOOKUP('Robot Design Input'!$A195,'Team and Program Information'!$C$3:$C$202,'Team and Program Information'!$D$3:$D$202,"",0,)</f>
        <v>#VALUE!</v>
      </c>
      <c r="C195" s="38"/>
      <c r="D195" s="38"/>
      <c r="E195" s="38"/>
      <c r="F195" s="38"/>
      <c r="G195" s="38"/>
      <c r="H195" s="38"/>
      <c r="I195" s="38"/>
      <c r="J195" s="38"/>
      <c r="K195" s="38"/>
      <c r="L195" s="38"/>
      <c r="M195" s="38">
        <f>SUM('Robot Design Input'!$C195:$L195)</f>
        <v>0</v>
      </c>
      <c r="N195" s="80">
        <f>IF('Robot Design Input'!$A195&gt;0,MIN(_xlfn.RANK.EQ('Robot Design Input'!$M195,'Robot Design Input'!$M$2:$M$201,0),NumberOfTeams),NumberOfTeams+1)</f>
        <v>1</v>
      </c>
    </row>
    <row r="196" ht="30.0" customHeight="1">
      <c r="A196" s="38" t="str">
        <f t="array" ref="A196">XLOOKUP(195,'Team and Program Information'!$B$3:$B$202,'Team and Program Information'!$C$3:$C$202,"ERROR",0)</f>
        <v/>
      </c>
      <c r="B196" s="68" t="str">
        <f t="array" ref="B196">XLOOKUP('Robot Design Input'!$A196,'Team and Program Information'!$C$3:$C$202,'Team and Program Information'!$D$3:$D$202,"",0,)</f>
        <v>#VALUE!</v>
      </c>
      <c r="C196" s="38"/>
      <c r="D196" s="38"/>
      <c r="E196" s="38"/>
      <c r="F196" s="38"/>
      <c r="G196" s="38"/>
      <c r="H196" s="38"/>
      <c r="I196" s="38"/>
      <c r="J196" s="38"/>
      <c r="K196" s="38"/>
      <c r="L196" s="38"/>
      <c r="M196" s="38">
        <f>SUM('Robot Design Input'!$C196:$L196)</f>
        <v>0</v>
      </c>
      <c r="N196" s="80">
        <f>IF('Robot Design Input'!$A196&gt;0,MIN(_xlfn.RANK.EQ('Robot Design Input'!$M196,'Robot Design Input'!$M$2:$M$201,0),NumberOfTeams),NumberOfTeams+1)</f>
        <v>1</v>
      </c>
    </row>
    <row r="197" ht="30.0" customHeight="1">
      <c r="A197" s="38" t="str">
        <f t="array" ref="A197">XLOOKUP(196,'Team and Program Information'!$B$3:$B$202,'Team and Program Information'!$C$3:$C$202,"ERROR",0)</f>
        <v/>
      </c>
      <c r="B197" s="68" t="str">
        <f t="array" ref="B197">XLOOKUP('Robot Design Input'!$A197,'Team and Program Information'!$C$3:$C$202,'Team and Program Information'!$D$3:$D$202,"",0,)</f>
        <v>#VALUE!</v>
      </c>
      <c r="C197" s="38"/>
      <c r="D197" s="38"/>
      <c r="E197" s="38"/>
      <c r="F197" s="38"/>
      <c r="G197" s="38"/>
      <c r="H197" s="38"/>
      <c r="I197" s="38"/>
      <c r="J197" s="38"/>
      <c r="K197" s="38"/>
      <c r="L197" s="38"/>
      <c r="M197" s="38">
        <f>SUM('Robot Design Input'!$C197:$L197)</f>
        <v>0</v>
      </c>
      <c r="N197" s="80">
        <f>IF('Robot Design Input'!$A197&gt;0,MIN(_xlfn.RANK.EQ('Robot Design Input'!$M197,'Robot Design Input'!$M$2:$M$201,0),NumberOfTeams),NumberOfTeams+1)</f>
        <v>1</v>
      </c>
    </row>
    <row r="198" ht="30.0" customHeight="1">
      <c r="A198" s="38" t="str">
        <f t="array" ref="A198">XLOOKUP(197,'Team and Program Information'!$B$3:$B$202,'Team and Program Information'!$C$3:$C$202,"ERROR",0)</f>
        <v/>
      </c>
      <c r="B198" s="68" t="str">
        <f t="array" ref="B198">XLOOKUP('Robot Design Input'!$A198,'Team and Program Information'!$C$3:$C$202,'Team and Program Information'!$D$3:$D$202,"",0,)</f>
        <v>#VALUE!</v>
      </c>
      <c r="C198" s="38"/>
      <c r="D198" s="38"/>
      <c r="E198" s="38"/>
      <c r="F198" s="38"/>
      <c r="G198" s="38"/>
      <c r="H198" s="38"/>
      <c r="I198" s="38"/>
      <c r="J198" s="38"/>
      <c r="K198" s="38"/>
      <c r="L198" s="38"/>
      <c r="M198" s="38">
        <f>SUM('Robot Design Input'!$C198:$L198)</f>
        <v>0</v>
      </c>
      <c r="N198" s="80">
        <f>IF('Robot Design Input'!$A198&gt;0,MIN(_xlfn.RANK.EQ('Robot Design Input'!$M198,'Robot Design Input'!$M$2:$M$201,0),NumberOfTeams),NumberOfTeams+1)</f>
        <v>1</v>
      </c>
    </row>
    <row r="199" ht="30.0" customHeight="1">
      <c r="A199" s="38" t="str">
        <f t="array" ref="A199">XLOOKUP(198,'Team and Program Information'!$B$3:$B$202,'Team and Program Information'!$C$3:$C$202,"ERROR",0)</f>
        <v/>
      </c>
      <c r="B199" s="68" t="str">
        <f t="array" ref="B199">XLOOKUP('Robot Design Input'!$A199,'Team and Program Information'!$C$3:$C$202,'Team and Program Information'!$D$3:$D$202,"",0,)</f>
        <v>#VALUE!</v>
      </c>
      <c r="C199" s="38"/>
      <c r="D199" s="38"/>
      <c r="E199" s="38"/>
      <c r="F199" s="38"/>
      <c r="G199" s="38"/>
      <c r="H199" s="38"/>
      <c r="I199" s="38"/>
      <c r="J199" s="38"/>
      <c r="K199" s="38"/>
      <c r="L199" s="38"/>
      <c r="M199" s="38">
        <f>SUM('Robot Design Input'!$C199:$L199)</f>
        <v>0</v>
      </c>
      <c r="N199" s="80">
        <f>IF('Robot Design Input'!$A199&gt;0,MIN(_xlfn.RANK.EQ('Robot Design Input'!$M199,'Robot Design Input'!$M$2:$M$201,0),NumberOfTeams),NumberOfTeams+1)</f>
        <v>1</v>
      </c>
    </row>
    <row r="200" ht="30.0" customHeight="1">
      <c r="A200" s="38" t="str">
        <f t="array" ref="A200">XLOOKUP(199,'Team and Program Information'!$B$3:$B$202,'Team and Program Information'!$C$3:$C$202,"ERROR",0)</f>
        <v/>
      </c>
      <c r="B200" s="68" t="str">
        <f t="array" ref="B200">XLOOKUP('Robot Design Input'!$A200,'Team and Program Information'!$C$3:$C$202,'Team and Program Information'!$D$3:$D$202,"",0,)</f>
        <v>#VALUE!</v>
      </c>
      <c r="C200" s="38"/>
      <c r="D200" s="38"/>
      <c r="E200" s="38"/>
      <c r="F200" s="38"/>
      <c r="G200" s="38"/>
      <c r="H200" s="38"/>
      <c r="I200" s="38"/>
      <c r="J200" s="38"/>
      <c r="K200" s="38"/>
      <c r="L200" s="38"/>
      <c r="M200" s="38">
        <f>SUM('Robot Design Input'!$C200:$L200)</f>
        <v>0</v>
      </c>
      <c r="N200" s="80">
        <f>IF('Robot Design Input'!$A200&gt;0,MIN(_xlfn.RANK.EQ('Robot Design Input'!$M200,'Robot Design Input'!$M$2:$M$201,0),NumberOfTeams),NumberOfTeams+1)</f>
        <v>1</v>
      </c>
    </row>
    <row r="201" ht="30.0" customHeight="1">
      <c r="A201" s="38" t="str">
        <f t="array" ref="A201">XLOOKUP(200,'Team and Program Information'!$B$3:$B$202,'Team and Program Information'!$C$3:$C$202,"ERROR",0)</f>
        <v/>
      </c>
      <c r="B201" s="68" t="str">
        <f t="array" ref="B201">XLOOKUP('Robot Design Input'!$A201,'Team and Program Information'!$C$3:$C$202,'Team and Program Information'!$D$3:$D$202,"",0,)</f>
        <v>#VALUE!</v>
      </c>
      <c r="C201" s="38"/>
      <c r="D201" s="38"/>
      <c r="E201" s="38"/>
      <c r="F201" s="38"/>
      <c r="G201" s="38"/>
      <c r="H201" s="38"/>
      <c r="I201" s="38"/>
      <c r="J201" s="38"/>
      <c r="K201" s="38"/>
      <c r="L201" s="38"/>
      <c r="M201" s="38">
        <f>SUM('Robot Design Input'!$C201:$L201)</f>
        <v>0</v>
      </c>
      <c r="N201" s="80">
        <f>IF('Robot Design Input'!$A201&gt;0,MIN(_xlfn.RANK.EQ('Robot Design Input'!$M201,'Robot Design Input'!$M$2:$M$201,0),NumberOfTeams),NumberOfTeams+1)</f>
        <v>1</v>
      </c>
    </row>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decimal" allowBlank="1" showInputMessage="1" showErrorMessage="1" prompt="Only values between 1 and 4 are permitted." sqref="C2:L201">
      <formula1>1.0</formula1>
      <formula2>4.0</formula2>
    </dataValidation>
  </dataValidations>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4.43" defaultRowHeight="15.0" outlineLevelCol="1"/>
  <cols>
    <col customWidth="1" min="1" max="1" width="7.43"/>
    <col customWidth="1" min="2" max="2" width="23.43"/>
    <col customWidth="1" min="3" max="3" width="37.57"/>
    <col customWidth="1" min="4" max="6" width="7.43"/>
    <col customWidth="1" hidden="1" min="7" max="8" width="7.43" outlineLevel="1"/>
    <col customWidth="1" min="9" max="9" width="10.43"/>
    <col customWidth="1" min="10" max="26" width="8.71"/>
  </cols>
  <sheetData>
    <row r="1" ht="168.75" customHeight="1">
      <c r="A1" s="85" t="s">
        <v>52</v>
      </c>
      <c r="B1" s="86" t="s">
        <v>24</v>
      </c>
      <c r="C1" s="87" t="s">
        <v>25</v>
      </c>
      <c r="D1" s="88" t="s">
        <v>84</v>
      </c>
      <c r="E1" s="88" t="s">
        <v>85</v>
      </c>
      <c r="F1" s="88" t="s">
        <v>86</v>
      </c>
      <c r="G1" s="88" t="s">
        <v>87</v>
      </c>
      <c r="H1" s="88" t="s">
        <v>88</v>
      </c>
      <c r="I1" s="89" t="s">
        <v>89</v>
      </c>
    </row>
    <row r="2" ht="30.0" customHeight="1">
      <c r="A2" s="67">
        <f>IF('Robot Game Scores'!$B2&gt;0,MIN(_xlfn.RANK.EQ('Robot Game Scores'!$I2,'Robot Game Scores'!$I$2:$I$201,0),NumberOfTeams),NumberOfTeams+1)</f>
        <v>1</v>
      </c>
      <c r="B2" s="38">
        <f t="array" ref="B2">(XLOOKUP(1,'Team and Program Information'!$B$3:$B$202,'Team and Program Information'!$C$3:$C$202,"ERROR",0))+0</f>
        <v>0</v>
      </c>
      <c r="C2" s="68" t="str">
        <f t="array" ref="C2">XLOOKUP('Robot Design Input'!$A2,'Team and Program Information'!$C$3:$C$202,'Team and Program Information'!$D$3:$D$202,"",0,)</f>
        <v>#VALUE!</v>
      </c>
      <c r="D2" s="67"/>
      <c r="E2" s="67"/>
      <c r="F2" s="67"/>
      <c r="G2" s="38"/>
      <c r="H2" s="38"/>
      <c r="I2" s="90">
        <f>IF('Robot Game Scores'!$B2&gt;0,MAX('Robot Game Scores'!$D2:$H2),0)</f>
        <v>0</v>
      </c>
    </row>
    <row r="3" ht="30.0" customHeight="1">
      <c r="A3" s="67">
        <f>IF('Robot Game Scores'!$B3&gt;0,MIN(_xlfn.RANK.EQ('Robot Game Scores'!$I3,'Robot Game Scores'!$I$2:$I$201,0),NumberOfTeams),NumberOfTeams+1)</f>
        <v>1</v>
      </c>
      <c r="B3" s="38">
        <f t="array" ref="B3">(XLOOKUP(2,'Team and Program Information'!$B$3:$B$202,'Team and Program Information'!$C$3:$C$202,"ERROR",0))+0</f>
        <v>0</v>
      </c>
      <c r="C3" s="68" t="str">
        <f t="array" ref="C3">XLOOKUP('Robot Design Input'!$A3,'Team and Program Information'!$C$3:$C$202,'Team and Program Information'!$D$3:$D$202,"",0,)</f>
        <v>#VALUE!</v>
      </c>
      <c r="D3" s="67"/>
      <c r="E3" s="67"/>
      <c r="F3" s="67"/>
      <c r="G3" s="38"/>
      <c r="H3" s="38"/>
      <c r="I3" s="90">
        <f>IF('Robot Game Scores'!$B3&gt;0,MAX('Robot Game Scores'!$D3:$H3),0)</f>
        <v>0</v>
      </c>
    </row>
    <row r="4" ht="30.0" customHeight="1">
      <c r="A4" s="67">
        <f>IF('Robot Game Scores'!$B4&gt;0,MIN(_xlfn.RANK.EQ('Robot Game Scores'!$I4,'Robot Game Scores'!$I$2:$I$201,0),NumberOfTeams),NumberOfTeams+1)</f>
        <v>1</v>
      </c>
      <c r="B4" s="38">
        <f t="array" ref="B4">(XLOOKUP(3,'Team and Program Information'!$B$3:$B$202,'Team and Program Information'!$C$3:$C$202,"ERROR",0))+0</f>
        <v>0</v>
      </c>
      <c r="C4" s="68" t="str">
        <f t="array" ref="C4">XLOOKUP('Robot Design Input'!$A4,'Team and Program Information'!$C$3:$C$202,'Team and Program Information'!$D$3:$D$202,"",0,)</f>
        <v>#VALUE!</v>
      </c>
      <c r="D4" s="67"/>
      <c r="E4" s="67"/>
      <c r="F4" s="67"/>
      <c r="G4" s="38"/>
      <c r="H4" s="38"/>
      <c r="I4" s="90">
        <f>IF('Robot Game Scores'!$B4&gt;0,MAX('Robot Game Scores'!$D4:$H4),0)</f>
        <v>0</v>
      </c>
    </row>
    <row r="5" ht="30.0" customHeight="1">
      <c r="A5" s="67">
        <f>IF('Robot Game Scores'!$B5&gt;0,MIN(_xlfn.RANK.EQ('Robot Game Scores'!$I5,'Robot Game Scores'!$I$2:$I$201,0),NumberOfTeams),NumberOfTeams+1)</f>
        <v>1</v>
      </c>
      <c r="B5" s="38" t="str">
        <f t="array" ref="B5">XLOOKUP(4,'Team and Program Information'!$B$3:$B$202,'Team and Program Information'!$C$3:$C$202,"ERROR",0)</f>
        <v/>
      </c>
      <c r="C5" s="68" t="str">
        <f t="array" ref="C5">XLOOKUP('Robot Design Input'!$A5,'Team and Program Information'!$C$3:$C$202,'Team and Program Information'!$D$3:$D$202,"",0,)</f>
        <v>#VALUE!</v>
      </c>
      <c r="D5" s="67"/>
      <c r="E5" s="67"/>
      <c r="F5" s="67"/>
      <c r="G5" s="38"/>
      <c r="H5" s="38"/>
      <c r="I5" s="90">
        <f>IF('Robot Game Scores'!$B5&gt;0,MAX('Robot Game Scores'!$D5:$H5),0)</f>
        <v>0</v>
      </c>
    </row>
    <row r="6" ht="30.0" customHeight="1">
      <c r="A6" s="67">
        <f>IF('Robot Game Scores'!$B6&gt;0,MIN(_xlfn.RANK.EQ('Robot Game Scores'!$I6,'Robot Game Scores'!$I$2:$I$201,0),NumberOfTeams),NumberOfTeams+1)</f>
        <v>1</v>
      </c>
      <c r="B6" s="38" t="str">
        <f t="array" ref="B6">XLOOKUP(5,'Team and Program Information'!$B$3:$B$202,'Team and Program Information'!$C$3:$C$202,"ERROR",0)</f>
        <v/>
      </c>
      <c r="C6" s="68" t="str">
        <f t="array" ref="C6">XLOOKUP('Robot Design Input'!$A6,'Team and Program Information'!$C$3:$C$202,'Team and Program Information'!$D$3:$D$202,"",0,)</f>
        <v>#VALUE!</v>
      </c>
      <c r="D6" s="67"/>
      <c r="E6" s="67"/>
      <c r="F6" s="67"/>
      <c r="G6" s="38"/>
      <c r="H6" s="38"/>
      <c r="I6" s="90">
        <f>IF('Robot Game Scores'!$B6&gt;0,MAX('Robot Game Scores'!$D6:$H6),0)</f>
        <v>0</v>
      </c>
    </row>
    <row r="7" ht="30.0" customHeight="1">
      <c r="A7" s="67">
        <f>IF('Robot Game Scores'!$B7&gt;0,MIN(_xlfn.RANK.EQ('Robot Game Scores'!$I7,'Robot Game Scores'!$I$2:$I$201,0),NumberOfTeams),NumberOfTeams+1)</f>
        <v>1</v>
      </c>
      <c r="B7" s="38" t="str">
        <f t="array" ref="B7">XLOOKUP(6,'Team and Program Information'!$B$3:$B$202,'Team and Program Information'!$C$3:$C$202,"ERROR",0)</f>
        <v/>
      </c>
      <c r="C7" s="68" t="str">
        <f t="array" ref="C7">XLOOKUP('Robot Design Input'!$A7,'Team and Program Information'!$C$3:$C$202,'Team and Program Information'!$D$3:$D$202,"",0,)</f>
        <v>#VALUE!</v>
      </c>
      <c r="D7" s="67"/>
      <c r="E7" s="67"/>
      <c r="F7" s="67"/>
      <c r="G7" s="38"/>
      <c r="H7" s="38"/>
      <c r="I7" s="90">
        <f>IF('Robot Game Scores'!$B7&gt;0,MAX('Robot Game Scores'!$D7:$H7),0)</f>
        <v>0</v>
      </c>
    </row>
    <row r="8" ht="30.0" customHeight="1">
      <c r="A8" s="67">
        <f>IF('Robot Game Scores'!$B8&gt;0,MIN(_xlfn.RANK.EQ('Robot Game Scores'!$I8,'Robot Game Scores'!$I$2:$I$201,0),NumberOfTeams),NumberOfTeams+1)</f>
        <v>1</v>
      </c>
      <c r="B8" s="38" t="str">
        <f t="array" ref="B8">XLOOKUP(7,'Team and Program Information'!$B$3:$B$202,'Team and Program Information'!$C$3:$C$202,"ERROR",0)</f>
        <v/>
      </c>
      <c r="C8" s="68" t="str">
        <f t="array" ref="C8">XLOOKUP('Robot Design Input'!$A8,'Team and Program Information'!$C$3:$C$202,'Team and Program Information'!$D$3:$D$202,"",0,)</f>
        <v>#VALUE!</v>
      </c>
      <c r="D8" s="67"/>
      <c r="E8" s="67"/>
      <c r="F8" s="67"/>
      <c r="G8" s="38"/>
      <c r="H8" s="38"/>
      <c r="I8" s="90">
        <f>IF('Robot Game Scores'!$B8&gt;0,MAX('Robot Game Scores'!$D8:$H8),0)</f>
        <v>0</v>
      </c>
    </row>
    <row r="9" ht="30.0" customHeight="1">
      <c r="A9" s="67">
        <f>IF('Robot Game Scores'!$B9&gt;0,MIN(_xlfn.RANK.EQ('Robot Game Scores'!$I9,'Robot Game Scores'!$I$2:$I$201,0),NumberOfTeams),NumberOfTeams+1)</f>
        <v>1</v>
      </c>
      <c r="B9" s="38" t="str">
        <f t="array" ref="B9">XLOOKUP(8,'Team and Program Information'!$B$3:$B$202,'Team and Program Information'!$C$3:$C$202,"ERROR",0)</f>
        <v/>
      </c>
      <c r="C9" s="68" t="str">
        <f t="array" ref="C9">XLOOKUP('Robot Design Input'!$A9,'Team and Program Information'!$C$3:$C$202,'Team and Program Information'!$D$3:$D$202,"",0,)</f>
        <v>#VALUE!</v>
      </c>
      <c r="D9" s="67"/>
      <c r="E9" s="67"/>
      <c r="F9" s="67"/>
      <c r="G9" s="38"/>
      <c r="H9" s="38"/>
      <c r="I9" s="90">
        <f>IF('Robot Game Scores'!$B9&gt;0,MAX('Robot Game Scores'!$D9:$H9),0)</f>
        <v>0</v>
      </c>
    </row>
    <row r="10" ht="30.0" customHeight="1">
      <c r="A10" s="67">
        <f>IF('Robot Game Scores'!$B10&gt;0,MIN(_xlfn.RANK.EQ('Robot Game Scores'!$I10,'Robot Game Scores'!$I$2:$I$201,0),NumberOfTeams),NumberOfTeams+1)</f>
        <v>1</v>
      </c>
      <c r="B10" s="38" t="str">
        <f t="array" ref="B10">XLOOKUP(9,'Team and Program Information'!$B$3:$B$202,'Team and Program Information'!$C$3:$C$202,"ERROR",0)</f>
        <v/>
      </c>
      <c r="C10" s="68" t="str">
        <f t="array" ref="C10">XLOOKUP('Robot Design Input'!$A10,'Team and Program Information'!$C$3:$C$202,'Team and Program Information'!$D$3:$D$202,"",0,)</f>
        <v>#VALUE!</v>
      </c>
      <c r="D10" s="67"/>
      <c r="E10" s="67"/>
      <c r="F10" s="67"/>
      <c r="G10" s="38"/>
      <c r="H10" s="38"/>
      <c r="I10" s="90">
        <f>IF('Robot Game Scores'!$B10&gt;0,MAX('Robot Game Scores'!$D10:$H10),0)</f>
        <v>0</v>
      </c>
    </row>
    <row r="11" ht="30.0" customHeight="1">
      <c r="A11" s="67">
        <f>IF('Robot Game Scores'!$B11&gt;0,MIN(_xlfn.RANK.EQ('Robot Game Scores'!$I11,'Robot Game Scores'!$I$2:$I$201,0),NumberOfTeams),NumberOfTeams+1)</f>
        <v>1</v>
      </c>
      <c r="B11" s="38" t="str">
        <f t="array" ref="B11">XLOOKUP(10,'Team and Program Information'!$B$3:$B$202,'Team and Program Information'!$C$3:$C$202,"ERROR",0)</f>
        <v/>
      </c>
      <c r="C11" s="68" t="str">
        <f t="array" ref="C11">XLOOKUP('Robot Design Input'!$A11,'Team and Program Information'!$C$3:$C$202,'Team and Program Information'!$D$3:$D$202,"",0,)</f>
        <v>#VALUE!</v>
      </c>
      <c r="D11" s="67"/>
      <c r="E11" s="67"/>
      <c r="F11" s="67"/>
      <c r="G11" s="38"/>
      <c r="H11" s="38"/>
      <c r="I11" s="90">
        <f>IF('Robot Game Scores'!$B11&gt;0,MAX('Robot Game Scores'!$D11:$H11),0)</f>
        <v>0</v>
      </c>
    </row>
    <row r="12" ht="30.0" customHeight="1">
      <c r="A12" s="67">
        <f>IF('Robot Game Scores'!$B12&gt;0,MIN(_xlfn.RANK.EQ('Robot Game Scores'!$I12,'Robot Game Scores'!$I$2:$I$201,0),NumberOfTeams),NumberOfTeams+1)</f>
        <v>1</v>
      </c>
      <c r="B12" s="38" t="str">
        <f t="array" ref="B12">XLOOKUP(11,'Team and Program Information'!$B$3:$B$202,'Team and Program Information'!$C$3:$C$202,"ERROR",0)</f>
        <v/>
      </c>
      <c r="C12" s="68" t="str">
        <f t="array" ref="C12">XLOOKUP('Robot Design Input'!$A12,'Team and Program Information'!$C$3:$C$202,'Team and Program Information'!$D$3:$D$202,"",0,)</f>
        <v>#VALUE!</v>
      </c>
      <c r="D12" s="67"/>
      <c r="E12" s="67"/>
      <c r="F12" s="67"/>
      <c r="G12" s="38"/>
      <c r="H12" s="38"/>
      <c r="I12" s="90">
        <f>IF('Robot Game Scores'!$B12&gt;0,MAX('Robot Game Scores'!$D12:$H12),0)</f>
        <v>0</v>
      </c>
    </row>
    <row r="13" ht="30.0" customHeight="1">
      <c r="A13" s="67">
        <f>IF('Robot Game Scores'!$B13&gt;0,MIN(_xlfn.RANK.EQ('Robot Game Scores'!$I13,'Robot Game Scores'!$I$2:$I$201,0),NumberOfTeams),NumberOfTeams+1)</f>
        <v>1</v>
      </c>
      <c r="B13" s="38" t="str">
        <f t="array" ref="B13">XLOOKUP(12,'Team and Program Information'!$B$3:$B$202,'Team and Program Information'!$C$3:$C$202,"ERROR",0)</f>
        <v/>
      </c>
      <c r="C13" s="68" t="str">
        <f t="array" ref="C13">XLOOKUP('Robot Design Input'!$A13,'Team and Program Information'!$C$3:$C$202,'Team and Program Information'!$D$3:$D$202,"",0,)</f>
        <v>#VALUE!</v>
      </c>
      <c r="D13" s="67"/>
      <c r="E13" s="67"/>
      <c r="F13" s="67"/>
      <c r="G13" s="38"/>
      <c r="H13" s="38"/>
      <c r="I13" s="90">
        <f>IF('Robot Game Scores'!$B13&gt;0,MAX('Robot Game Scores'!$D13:$H13),0)</f>
        <v>0</v>
      </c>
    </row>
    <row r="14" ht="30.0" customHeight="1">
      <c r="A14" s="67">
        <f>IF('Robot Game Scores'!$B14&gt;0,MIN(_xlfn.RANK.EQ('Robot Game Scores'!$I14,'Robot Game Scores'!$I$2:$I$201,0),NumberOfTeams),NumberOfTeams+1)</f>
        <v>1</v>
      </c>
      <c r="B14" s="38" t="str">
        <f t="array" ref="B14">XLOOKUP(13,'Team and Program Information'!$B$3:$B$202,'Team and Program Information'!$C$3:$C$202,"ERROR",0)</f>
        <v/>
      </c>
      <c r="C14" s="68" t="str">
        <f t="array" ref="C14">XLOOKUP('Robot Design Input'!$A14,'Team and Program Information'!$C$3:$C$202,'Team and Program Information'!$D$3:$D$202,"",0,)</f>
        <v>#VALUE!</v>
      </c>
      <c r="D14" s="67"/>
      <c r="E14" s="67"/>
      <c r="F14" s="67"/>
      <c r="G14" s="38"/>
      <c r="H14" s="38"/>
      <c r="I14" s="90">
        <f>IF('Robot Game Scores'!$B14&gt;0,MAX('Robot Game Scores'!$D14:$H14),0)</f>
        <v>0</v>
      </c>
    </row>
    <row r="15" ht="30.0" customHeight="1">
      <c r="A15" s="67">
        <f>IF('Robot Game Scores'!$B15&gt;0,MIN(_xlfn.RANK.EQ('Robot Game Scores'!$I15,'Robot Game Scores'!$I$2:$I$201,0),NumberOfTeams),NumberOfTeams+1)</f>
        <v>1</v>
      </c>
      <c r="B15" s="38" t="str">
        <f t="array" ref="B15">XLOOKUP(14,'Team and Program Information'!$B$3:$B$202,'Team and Program Information'!$C$3:$C$202,"ERROR",0)</f>
        <v/>
      </c>
      <c r="C15" s="68" t="str">
        <f t="array" ref="C15">XLOOKUP('Robot Design Input'!$A15,'Team and Program Information'!$C$3:$C$202,'Team and Program Information'!$D$3:$D$202,"",0,)</f>
        <v>#VALUE!</v>
      </c>
      <c r="D15" s="67"/>
      <c r="E15" s="67"/>
      <c r="F15" s="67"/>
      <c r="G15" s="38"/>
      <c r="H15" s="38"/>
      <c r="I15" s="90">
        <f>IF('Robot Game Scores'!$B15&gt;0,MAX('Robot Game Scores'!$D15:$H15),0)</f>
        <v>0</v>
      </c>
    </row>
    <row r="16" ht="30.0" customHeight="1">
      <c r="A16" s="67">
        <f>IF('Robot Game Scores'!$B16&gt;0,MIN(_xlfn.RANK.EQ('Robot Game Scores'!$I16,'Robot Game Scores'!$I$2:$I$201,0),NumberOfTeams),NumberOfTeams+1)</f>
        <v>1</v>
      </c>
      <c r="B16" s="38" t="str">
        <f t="array" ref="B16">XLOOKUP(15,'Team and Program Information'!$B$3:$B$202,'Team and Program Information'!$C$3:$C$202,"ERROR",0)</f>
        <v/>
      </c>
      <c r="C16" s="68" t="str">
        <f t="array" ref="C16">XLOOKUP('Robot Design Input'!$A16,'Team and Program Information'!$C$3:$C$202,'Team and Program Information'!$D$3:$D$202,"",0,)</f>
        <v>#VALUE!</v>
      </c>
      <c r="D16" s="67"/>
      <c r="E16" s="67"/>
      <c r="F16" s="67"/>
      <c r="G16" s="38"/>
      <c r="H16" s="38"/>
      <c r="I16" s="90">
        <f>IF('Robot Game Scores'!$B16&gt;0,MAX('Robot Game Scores'!$D16:$H16),0)</f>
        <v>0</v>
      </c>
    </row>
    <row r="17" ht="30.0" customHeight="1">
      <c r="A17" s="67">
        <f>IF('Robot Game Scores'!$B17&gt;0,MIN(_xlfn.RANK.EQ('Robot Game Scores'!$I17,'Robot Game Scores'!$I$2:$I$201,0),NumberOfTeams),NumberOfTeams+1)</f>
        <v>1</v>
      </c>
      <c r="B17" s="38" t="str">
        <f t="array" ref="B17">XLOOKUP(16,'Team and Program Information'!$B$3:$B$202,'Team and Program Information'!$C$3:$C$202,"ERROR",0)</f>
        <v/>
      </c>
      <c r="C17" s="68" t="str">
        <f t="array" ref="C17">XLOOKUP('Robot Design Input'!$A17,'Team and Program Information'!$C$3:$C$202,'Team and Program Information'!$D$3:$D$202,"",0,)</f>
        <v>#VALUE!</v>
      </c>
      <c r="D17" s="67"/>
      <c r="E17" s="67"/>
      <c r="F17" s="67"/>
      <c r="G17" s="38"/>
      <c r="H17" s="38"/>
      <c r="I17" s="90">
        <f>IF('Robot Game Scores'!$B17&gt;0,MAX('Robot Game Scores'!$D17:$H17),0)</f>
        <v>0</v>
      </c>
    </row>
    <row r="18" ht="30.0" customHeight="1">
      <c r="A18" s="67">
        <f>IF('Robot Game Scores'!$B18&gt;0,MIN(_xlfn.RANK.EQ('Robot Game Scores'!$I18,'Robot Game Scores'!$I$2:$I$201,0),NumberOfTeams),NumberOfTeams+1)</f>
        <v>1</v>
      </c>
      <c r="B18" s="38" t="str">
        <f t="array" ref="B18">XLOOKUP(17,'Team and Program Information'!$B$3:$B$202,'Team and Program Information'!$C$3:$C$202,"ERROR",0)</f>
        <v/>
      </c>
      <c r="C18" s="68" t="str">
        <f t="array" ref="C18">XLOOKUP('Robot Design Input'!$A18,'Team and Program Information'!$C$3:$C$202,'Team and Program Information'!$D$3:$D$202,"",0,)</f>
        <v>#VALUE!</v>
      </c>
      <c r="D18" s="67"/>
      <c r="E18" s="67"/>
      <c r="F18" s="67"/>
      <c r="G18" s="38"/>
      <c r="H18" s="38"/>
      <c r="I18" s="90">
        <f>IF('Robot Game Scores'!$B18&gt;0,MAX('Robot Game Scores'!$D18:$H18),0)</f>
        <v>0</v>
      </c>
    </row>
    <row r="19" ht="30.0" customHeight="1">
      <c r="A19" s="67">
        <f>IF('Robot Game Scores'!$B19&gt;0,MIN(_xlfn.RANK.EQ('Robot Game Scores'!$I19,'Robot Game Scores'!$I$2:$I$201,0),NumberOfTeams),NumberOfTeams+1)</f>
        <v>1</v>
      </c>
      <c r="B19" s="38" t="str">
        <f t="array" ref="B19">XLOOKUP(18,'Team and Program Information'!$B$3:$B$202,'Team and Program Information'!$C$3:$C$202,"ERROR",0)</f>
        <v/>
      </c>
      <c r="C19" s="68" t="str">
        <f t="array" ref="C19">XLOOKUP('Robot Design Input'!$A19,'Team and Program Information'!$C$3:$C$202,'Team and Program Information'!$D$3:$D$202,"",0,)</f>
        <v>#VALUE!</v>
      </c>
      <c r="D19" s="67"/>
      <c r="E19" s="67"/>
      <c r="F19" s="67"/>
      <c r="G19" s="38"/>
      <c r="H19" s="38"/>
      <c r="I19" s="90">
        <f>IF('Robot Game Scores'!$B19&gt;0,MAX('Robot Game Scores'!$D19:$H19),0)</f>
        <v>0</v>
      </c>
    </row>
    <row r="20" ht="30.0" customHeight="1">
      <c r="A20" s="67">
        <f>IF('Robot Game Scores'!$B20&gt;0,MIN(_xlfn.RANK.EQ('Robot Game Scores'!$I20,'Robot Game Scores'!$I$2:$I$201,0),NumberOfTeams),NumberOfTeams+1)</f>
        <v>1</v>
      </c>
      <c r="B20" s="38" t="str">
        <f t="array" ref="B20">XLOOKUP(19,'Team and Program Information'!$B$3:$B$202,'Team and Program Information'!$C$3:$C$202,"ERROR",0)</f>
        <v/>
      </c>
      <c r="C20" s="68" t="str">
        <f t="array" ref="C20">XLOOKUP('Robot Design Input'!$A20,'Team and Program Information'!$C$3:$C$202,'Team and Program Information'!$D$3:$D$202,"",0,)</f>
        <v>#VALUE!</v>
      </c>
      <c r="D20" s="67"/>
      <c r="E20" s="67"/>
      <c r="F20" s="67"/>
      <c r="G20" s="38"/>
      <c r="H20" s="38"/>
      <c r="I20" s="90">
        <f>IF('Robot Game Scores'!$B20&gt;0,MAX('Robot Game Scores'!$D20:$H20),0)</f>
        <v>0</v>
      </c>
    </row>
    <row r="21" ht="30.0" customHeight="1">
      <c r="A21" s="67">
        <f>IF('Robot Game Scores'!$B21&gt;0,MIN(_xlfn.RANK.EQ('Robot Game Scores'!$I21,'Robot Game Scores'!$I$2:$I$201,0),NumberOfTeams),NumberOfTeams+1)</f>
        <v>1</v>
      </c>
      <c r="B21" s="38" t="str">
        <f t="array" ref="B21">XLOOKUP(20,'Team and Program Information'!$B$3:$B$202,'Team and Program Information'!$C$3:$C$202,"ERROR",0)</f>
        <v/>
      </c>
      <c r="C21" s="68" t="str">
        <f t="array" ref="C21">XLOOKUP('Robot Design Input'!$A21,'Team and Program Information'!$C$3:$C$202,'Team and Program Information'!$D$3:$D$202,"",0,)</f>
        <v>#VALUE!</v>
      </c>
      <c r="D21" s="67"/>
      <c r="E21" s="67"/>
      <c r="F21" s="67"/>
      <c r="G21" s="38"/>
      <c r="H21" s="38"/>
      <c r="I21" s="90">
        <f>IF('Robot Game Scores'!$B21&gt;0,MAX('Robot Game Scores'!$D21:$H21),0)</f>
        <v>0</v>
      </c>
    </row>
    <row r="22" ht="30.0" customHeight="1">
      <c r="A22" s="67">
        <f>IF('Robot Game Scores'!$B22&gt;0,MIN(_xlfn.RANK.EQ('Robot Game Scores'!$I22,'Robot Game Scores'!$I$2:$I$201,0),NumberOfTeams),NumberOfTeams+1)</f>
        <v>1</v>
      </c>
      <c r="B22" s="38" t="str">
        <f t="array" ref="B22">XLOOKUP(21,'Team and Program Information'!$B$3:$B$202,'Team and Program Information'!$C$3:$C$202,"ERROR",0)</f>
        <v/>
      </c>
      <c r="C22" s="68" t="str">
        <f t="array" ref="C22">XLOOKUP('Robot Design Input'!$A22,'Team and Program Information'!$C$3:$C$202,'Team and Program Information'!$D$3:$D$202,"",0,)</f>
        <v>#VALUE!</v>
      </c>
      <c r="D22" s="67"/>
      <c r="E22" s="67"/>
      <c r="F22" s="67"/>
      <c r="G22" s="38"/>
      <c r="H22" s="38"/>
      <c r="I22" s="90">
        <f>IF('Robot Game Scores'!$B22&gt;0,MAX('Robot Game Scores'!$D22:$H22),0)</f>
        <v>0</v>
      </c>
    </row>
    <row r="23" ht="30.0" customHeight="1">
      <c r="A23" s="67">
        <f>IF('Robot Game Scores'!$B23&gt;0,MIN(_xlfn.RANK.EQ('Robot Game Scores'!$I23,'Robot Game Scores'!$I$2:$I$201,0),NumberOfTeams),NumberOfTeams+1)</f>
        <v>1</v>
      </c>
      <c r="B23" s="38" t="str">
        <f t="array" ref="B23">XLOOKUP(22,'Team and Program Information'!$B$3:$B$202,'Team and Program Information'!$C$3:$C$202,"ERROR",0)</f>
        <v/>
      </c>
      <c r="C23" s="68" t="str">
        <f t="array" ref="C23">XLOOKUP('Robot Design Input'!$A23,'Team and Program Information'!$C$3:$C$202,'Team and Program Information'!$D$3:$D$202,"",0,)</f>
        <v>#VALUE!</v>
      </c>
      <c r="D23" s="67"/>
      <c r="E23" s="67"/>
      <c r="F23" s="67"/>
      <c r="G23" s="38"/>
      <c r="H23" s="38"/>
      <c r="I23" s="90">
        <f>IF('Robot Game Scores'!$B23&gt;0,MAX('Robot Game Scores'!$D23:$H23),0)</f>
        <v>0</v>
      </c>
    </row>
    <row r="24" ht="30.0" customHeight="1">
      <c r="A24" s="67">
        <f>IF('Robot Game Scores'!$B24&gt;0,MIN(_xlfn.RANK.EQ('Robot Game Scores'!$I24,'Robot Game Scores'!$I$2:$I$201,0),NumberOfTeams),NumberOfTeams+1)</f>
        <v>1</v>
      </c>
      <c r="B24" s="38" t="str">
        <f t="array" ref="B24">XLOOKUP(23,'Team and Program Information'!$B$3:$B$202,'Team and Program Information'!$C$3:$C$202,"ERROR",0)</f>
        <v/>
      </c>
      <c r="C24" s="68" t="str">
        <f t="array" ref="C24">XLOOKUP('Robot Design Input'!$A24,'Team and Program Information'!$C$3:$C$202,'Team and Program Information'!$D$3:$D$202,"",0,)</f>
        <v>#VALUE!</v>
      </c>
      <c r="D24" s="67"/>
      <c r="E24" s="67"/>
      <c r="F24" s="67"/>
      <c r="G24" s="38"/>
      <c r="H24" s="38"/>
      <c r="I24" s="90">
        <f>IF('Robot Game Scores'!$B24&gt;0,MAX('Robot Game Scores'!$D24:$H24),0)</f>
        <v>0</v>
      </c>
    </row>
    <row r="25" ht="30.0" customHeight="1">
      <c r="A25" s="67">
        <f>IF('Robot Game Scores'!$B25&gt;0,MIN(_xlfn.RANK.EQ('Robot Game Scores'!$I25,'Robot Game Scores'!$I$2:$I$201,0),NumberOfTeams),NumberOfTeams+1)</f>
        <v>1</v>
      </c>
      <c r="B25" s="38" t="str">
        <f t="array" ref="B25">XLOOKUP(24,'Team and Program Information'!$B$3:$B$202,'Team and Program Information'!$C$3:$C$202,"ERROR",0)</f>
        <v/>
      </c>
      <c r="C25" s="68" t="str">
        <f t="array" ref="C25">XLOOKUP('Robot Design Input'!$A25,'Team and Program Information'!$C$3:$C$202,'Team and Program Information'!$D$3:$D$202,"",0,)</f>
        <v>#VALUE!</v>
      </c>
      <c r="D25" s="67"/>
      <c r="E25" s="67"/>
      <c r="F25" s="67"/>
      <c r="G25" s="38"/>
      <c r="H25" s="38"/>
      <c r="I25" s="90">
        <f>IF('Robot Game Scores'!$B25&gt;0,MAX('Robot Game Scores'!$D25:$H25),0)</f>
        <v>0</v>
      </c>
    </row>
    <row r="26" ht="30.0" customHeight="1">
      <c r="A26" s="67">
        <f>IF('Robot Game Scores'!$B26&gt;0,MIN(_xlfn.RANK.EQ('Robot Game Scores'!$I26,'Robot Game Scores'!$I$2:$I$201,0),NumberOfTeams),NumberOfTeams+1)</f>
        <v>1</v>
      </c>
      <c r="B26" s="38" t="str">
        <f t="array" ref="B26">XLOOKUP(25,'Team and Program Information'!$B$3:$B$202,'Team and Program Information'!$C$3:$C$202,"ERROR",0)</f>
        <v/>
      </c>
      <c r="C26" s="68" t="str">
        <f t="array" ref="C26">XLOOKUP('Robot Design Input'!$A26,'Team and Program Information'!$C$3:$C$202,'Team and Program Information'!$D$3:$D$202,"",0,)</f>
        <v>#VALUE!</v>
      </c>
      <c r="D26" s="67"/>
      <c r="E26" s="67"/>
      <c r="F26" s="67"/>
      <c r="G26" s="38"/>
      <c r="H26" s="38"/>
      <c r="I26" s="90">
        <f>IF('Robot Game Scores'!$B26&gt;0,MAX('Robot Game Scores'!$D26:$H26),0)</f>
        <v>0</v>
      </c>
    </row>
    <row r="27" ht="30.0" customHeight="1">
      <c r="A27" s="67">
        <f>IF('Robot Game Scores'!$B27&gt;0,MIN(_xlfn.RANK.EQ('Robot Game Scores'!$I27,'Robot Game Scores'!$I$2:$I$201,0),NumberOfTeams),NumberOfTeams+1)</f>
        <v>1</v>
      </c>
      <c r="B27" s="38" t="str">
        <f t="array" ref="B27">XLOOKUP(26,'Team and Program Information'!$B$3:$B$202,'Team and Program Information'!$C$3:$C$202,"ERROR",0)</f>
        <v/>
      </c>
      <c r="C27" s="68" t="str">
        <f t="array" ref="C27">XLOOKUP('Robot Design Input'!$A27,'Team and Program Information'!$C$3:$C$202,'Team and Program Information'!$D$3:$D$202,"",0,)</f>
        <v>#VALUE!</v>
      </c>
      <c r="D27" s="67"/>
      <c r="E27" s="67"/>
      <c r="F27" s="67"/>
      <c r="G27" s="38"/>
      <c r="H27" s="38"/>
      <c r="I27" s="90">
        <f>IF('Robot Game Scores'!$B27&gt;0,MAX('Robot Game Scores'!$D27:$H27),0)</f>
        <v>0</v>
      </c>
    </row>
    <row r="28" ht="30.0" customHeight="1">
      <c r="A28" s="67">
        <f>IF('Robot Game Scores'!$B28&gt;0,MIN(_xlfn.RANK.EQ('Robot Game Scores'!$I28,'Robot Game Scores'!$I$2:$I$201,0),NumberOfTeams),NumberOfTeams+1)</f>
        <v>1</v>
      </c>
      <c r="B28" s="38" t="str">
        <f t="array" ref="B28">XLOOKUP(27,'Team and Program Information'!$B$3:$B$202,'Team and Program Information'!$C$3:$C$202,"ERROR",0)</f>
        <v/>
      </c>
      <c r="C28" s="68" t="str">
        <f t="array" ref="C28">XLOOKUP('Robot Design Input'!$A28,'Team and Program Information'!$C$3:$C$202,'Team and Program Information'!$D$3:$D$202,"",0,)</f>
        <v>#VALUE!</v>
      </c>
      <c r="D28" s="67"/>
      <c r="E28" s="67"/>
      <c r="F28" s="67"/>
      <c r="G28" s="38"/>
      <c r="H28" s="38"/>
      <c r="I28" s="90">
        <f>IF('Robot Game Scores'!$B28&gt;0,MAX('Robot Game Scores'!$D28:$H28),0)</f>
        <v>0</v>
      </c>
    </row>
    <row r="29" ht="30.0" customHeight="1">
      <c r="A29" s="67">
        <f>IF('Robot Game Scores'!$B29&gt;0,MIN(_xlfn.RANK.EQ('Robot Game Scores'!$I29,'Robot Game Scores'!$I$2:$I$201,0),NumberOfTeams),NumberOfTeams+1)</f>
        <v>1</v>
      </c>
      <c r="B29" s="38" t="str">
        <f t="array" ref="B29">XLOOKUP(28,'Team and Program Information'!$B$3:$B$202,'Team and Program Information'!$C$3:$C$202,"ERROR",0)</f>
        <v/>
      </c>
      <c r="C29" s="68" t="str">
        <f t="array" ref="C29">XLOOKUP('Robot Design Input'!$A29,'Team and Program Information'!$C$3:$C$202,'Team and Program Information'!$D$3:$D$202,"",0,)</f>
        <v>#VALUE!</v>
      </c>
      <c r="D29" s="67"/>
      <c r="E29" s="67"/>
      <c r="F29" s="67"/>
      <c r="G29" s="38"/>
      <c r="H29" s="38"/>
      <c r="I29" s="90">
        <f>IF('Robot Game Scores'!$B29&gt;0,MAX('Robot Game Scores'!$D29:$H29),0)</f>
        <v>0</v>
      </c>
    </row>
    <row r="30" ht="30.0" customHeight="1">
      <c r="A30" s="67">
        <f>IF('Robot Game Scores'!$B30&gt;0,MIN(_xlfn.RANK.EQ('Robot Game Scores'!$I30,'Robot Game Scores'!$I$2:$I$201,0),NumberOfTeams),NumberOfTeams+1)</f>
        <v>1</v>
      </c>
      <c r="B30" s="38" t="str">
        <f t="array" ref="B30">XLOOKUP(29,'Team and Program Information'!$B$3:$B$202,'Team and Program Information'!$C$3:$C$202,"ERROR",0)</f>
        <v/>
      </c>
      <c r="C30" s="68" t="str">
        <f t="array" ref="C30">XLOOKUP('Robot Design Input'!$A30,'Team and Program Information'!$C$3:$C$202,'Team and Program Information'!$D$3:$D$202,"",0,)</f>
        <v>#VALUE!</v>
      </c>
      <c r="D30" s="67"/>
      <c r="E30" s="67"/>
      <c r="F30" s="67"/>
      <c r="G30" s="38"/>
      <c r="H30" s="38"/>
      <c r="I30" s="90">
        <f>IF('Robot Game Scores'!$B30&gt;0,MAX('Robot Game Scores'!$D30:$H30),0)</f>
        <v>0</v>
      </c>
    </row>
    <row r="31" ht="30.0" customHeight="1">
      <c r="A31" s="67">
        <f>IF('Robot Game Scores'!$B31&gt;0,MIN(_xlfn.RANK.EQ('Robot Game Scores'!$I31,'Robot Game Scores'!$I$2:$I$201,0),NumberOfTeams),NumberOfTeams+1)</f>
        <v>1</v>
      </c>
      <c r="B31" s="38" t="str">
        <f t="array" ref="B31">XLOOKUP(30,'Team and Program Information'!$B$3:$B$202,'Team and Program Information'!$C$3:$C$202,"ERROR",0)</f>
        <v/>
      </c>
      <c r="C31" s="68" t="str">
        <f t="array" ref="C31">XLOOKUP('Robot Design Input'!$A31,'Team and Program Information'!$C$3:$C$202,'Team and Program Information'!$D$3:$D$202,"",0,)</f>
        <v>#VALUE!</v>
      </c>
      <c r="D31" s="67"/>
      <c r="E31" s="67"/>
      <c r="F31" s="67"/>
      <c r="G31" s="38"/>
      <c r="H31" s="38"/>
      <c r="I31" s="90">
        <f>IF('Robot Game Scores'!$B31&gt;0,MAX('Robot Game Scores'!$D31:$H31),0)</f>
        <v>0</v>
      </c>
    </row>
    <row r="32" ht="30.0" customHeight="1">
      <c r="A32" s="67">
        <f>IF('Robot Game Scores'!$B32&gt;0,MIN(_xlfn.RANK.EQ('Robot Game Scores'!$I32,'Robot Game Scores'!$I$2:$I$201,0),NumberOfTeams),NumberOfTeams+1)</f>
        <v>1</v>
      </c>
      <c r="B32" s="38" t="str">
        <f t="array" ref="B32">XLOOKUP(31,'Team and Program Information'!$B$3:$B$202,'Team and Program Information'!$C$3:$C$202,"ERROR",0)</f>
        <v/>
      </c>
      <c r="C32" s="68" t="str">
        <f t="array" ref="C32">XLOOKUP('Robot Design Input'!$A32,'Team and Program Information'!$C$3:$C$202,'Team and Program Information'!$D$3:$D$202,"",0,)</f>
        <v>#VALUE!</v>
      </c>
      <c r="D32" s="67"/>
      <c r="E32" s="67"/>
      <c r="F32" s="67"/>
      <c r="G32" s="38"/>
      <c r="H32" s="38"/>
      <c r="I32" s="90">
        <f>IF('Robot Game Scores'!$B32&gt;0,MAX('Robot Game Scores'!$D32:$H32),0)</f>
        <v>0</v>
      </c>
    </row>
    <row r="33" ht="30.0" customHeight="1">
      <c r="A33" s="67">
        <f>IF('Robot Game Scores'!$B33&gt;0,MIN(_xlfn.RANK.EQ('Robot Game Scores'!$I33,'Robot Game Scores'!$I$2:$I$201,0),NumberOfTeams),NumberOfTeams+1)</f>
        <v>1</v>
      </c>
      <c r="B33" s="38" t="str">
        <f t="array" ref="B33">XLOOKUP(32,'Team and Program Information'!$B$3:$B$202,'Team and Program Information'!$C$3:$C$202,"ERROR",0)</f>
        <v/>
      </c>
      <c r="C33" s="68" t="str">
        <f t="array" ref="C33">XLOOKUP('Robot Design Input'!$A33,'Team and Program Information'!$C$3:$C$202,'Team and Program Information'!$D$3:$D$202,"",0,)</f>
        <v>#VALUE!</v>
      </c>
      <c r="D33" s="67"/>
      <c r="E33" s="67"/>
      <c r="F33" s="67"/>
      <c r="G33" s="38"/>
      <c r="H33" s="38"/>
      <c r="I33" s="90">
        <f>IF('Robot Game Scores'!$B33&gt;0,MAX('Robot Game Scores'!$D33:$H33),0)</f>
        <v>0</v>
      </c>
    </row>
    <row r="34" ht="30.0" customHeight="1">
      <c r="A34" s="67">
        <f>IF('Robot Game Scores'!$B34&gt;0,MIN(_xlfn.RANK.EQ('Robot Game Scores'!$I34,'Robot Game Scores'!$I$2:$I$201,0),NumberOfTeams),NumberOfTeams+1)</f>
        <v>1</v>
      </c>
      <c r="B34" s="38" t="str">
        <f t="array" ref="B34">XLOOKUP(33,'Team and Program Information'!$B$3:$B$202,'Team and Program Information'!$C$3:$C$202,"ERROR",0)</f>
        <v/>
      </c>
      <c r="C34" s="68" t="str">
        <f t="array" ref="C34">XLOOKUP('Robot Design Input'!$A34,'Team and Program Information'!$C$3:$C$202,'Team and Program Information'!$D$3:$D$202,"",0,)</f>
        <v>#VALUE!</v>
      </c>
      <c r="D34" s="67"/>
      <c r="E34" s="67"/>
      <c r="F34" s="67"/>
      <c r="G34" s="38"/>
      <c r="H34" s="38"/>
      <c r="I34" s="90">
        <f>IF('Robot Game Scores'!$B34&gt;0,MAX('Robot Game Scores'!$D34:$H34),0)</f>
        <v>0</v>
      </c>
    </row>
    <row r="35" ht="30.0" customHeight="1">
      <c r="A35" s="67">
        <f>IF('Robot Game Scores'!$B35&gt;0,MIN(_xlfn.RANK.EQ('Robot Game Scores'!$I35,'Robot Game Scores'!$I$2:$I$201,0),NumberOfTeams),NumberOfTeams+1)</f>
        <v>1</v>
      </c>
      <c r="B35" s="38" t="str">
        <f t="array" ref="B35">XLOOKUP(34,'Team and Program Information'!$B$3:$B$202,'Team and Program Information'!$C$3:$C$202,"ERROR",0)</f>
        <v/>
      </c>
      <c r="C35" s="68" t="str">
        <f t="array" ref="C35">XLOOKUP('Robot Design Input'!$A35,'Team and Program Information'!$C$3:$C$202,'Team and Program Information'!$D$3:$D$202,"",0,)</f>
        <v>#VALUE!</v>
      </c>
      <c r="D35" s="67"/>
      <c r="E35" s="67"/>
      <c r="F35" s="67"/>
      <c r="G35" s="38"/>
      <c r="H35" s="38"/>
      <c r="I35" s="90">
        <f>IF('Robot Game Scores'!$B35&gt;0,MAX('Robot Game Scores'!$D35:$H35),0)</f>
        <v>0</v>
      </c>
    </row>
    <row r="36" ht="30.0" customHeight="1">
      <c r="A36" s="67">
        <f>IF('Robot Game Scores'!$B36&gt;0,MIN(_xlfn.RANK.EQ('Robot Game Scores'!$I36,'Robot Game Scores'!$I$2:$I$201,0),NumberOfTeams),NumberOfTeams+1)</f>
        <v>1</v>
      </c>
      <c r="B36" s="38" t="str">
        <f t="array" ref="B36">XLOOKUP(35,'Team and Program Information'!$B$3:$B$202,'Team and Program Information'!$C$3:$C$202,"ERROR",0)</f>
        <v/>
      </c>
      <c r="C36" s="68" t="str">
        <f t="array" ref="C36">XLOOKUP('Robot Design Input'!$A36,'Team and Program Information'!$C$3:$C$202,'Team and Program Information'!$D$3:$D$202,"",0,)</f>
        <v>#VALUE!</v>
      </c>
      <c r="D36" s="67"/>
      <c r="E36" s="67"/>
      <c r="F36" s="67"/>
      <c r="G36" s="38"/>
      <c r="H36" s="38"/>
      <c r="I36" s="90">
        <f>IF('Robot Game Scores'!$B36&gt;0,MAX('Robot Game Scores'!$D36:$H36),0)</f>
        <v>0</v>
      </c>
    </row>
    <row r="37" ht="30.0" customHeight="1">
      <c r="A37" s="67">
        <f>IF('Robot Game Scores'!$B37&gt;0,MIN(_xlfn.RANK.EQ('Robot Game Scores'!$I37,'Robot Game Scores'!$I$2:$I$201,0),NumberOfTeams),NumberOfTeams+1)</f>
        <v>1</v>
      </c>
      <c r="B37" s="38" t="str">
        <f t="array" ref="B37">XLOOKUP(36,'Team and Program Information'!$B$3:$B$202,'Team and Program Information'!$C$3:$C$202,"ERROR",0)</f>
        <v/>
      </c>
      <c r="C37" s="68" t="str">
        <f t="array" ref="C37">XLOOKUP('Robot Design Input'!$A37,'Team and Program Information'!$C$3:$C$202,'Team and Program Information'!$D$3:$D$202,"",0,)</f>
        <v>#VALUE!</v>
      </c>
      <c r="D37" s="67"/>
      <c r="E37" s="67"/>
      <c r="F37" s="67"/>
      <c r="G37" s="38"/>
      <c r="H37" s="38"/>
      <c r="I37" s="90">
        <f>IF('Robot Game Scores'!$B37&gt;0,MAX('Robot Game Scores'!$D37:$H37),0)</f>
        <v>0</v>
      </c>
    </row>
    <row r="38" ht="30.0" customHeight="1">
      <c r="A38" s="67">
        <f>IF('Robot Game Scores'!$B38&gt;0,MIN(_xlfn.RANK.EQ('Robot Game Scores'!$I38,'Robot Game Scores'!$I$2:$I$201,0),NumberOfTeams),NumberOfTeams+1)</f>
        <v>1</v>
      </c>
      <c r="B38" s="38" t="str">
        <f t="array" ref="B38">XLOOKUP(37,'Team and Program Information'!$B$3:$B$202,'Team and Program Information'!$C$3:$C$202,"ERROR",0)</f>
        <v/>
      </c>
      <c r="C38" s="68" t="str">
        <f t="array" ref="C38">XLOOKUP('Robot Design Input'!$A38,'Team and Program Information'!$C$3:$C$202,'Team and Program Information'!$D$3:$D$202,"",0,)</f>
        <v>#VALUE!</v>
      </c>
      <c r="D38" s="67"/>
      <c r="E38" s="67"/>
      <c r="F38" s="67"/>
      <c r="G38" s="38"/>
      <c r="H38" s="38"/>
      <c r="I38" s="90">
        <f>IF('Robot Game Scores'!$B38&gt;0,MAX('Robot Game Scores'!$D38:$H38),0)</f>
        <v>0</v>
      </c>
    </row>
    <row r="39" ht="30.0" customHeight="1">
      <c r="A39" s="67">
        <f>IF('Robot Game Scores'!$B39&gt;0,MIN(_xlfn.RANK.EQ('Robot Game Scores'!$I39,'Robot Game Scores'!$I$2:$I$201,0),NumberOfTeams),NumberOfTeams+1)</f>
        <v>1</v>
      </c>
      <c r="B39" s="38" t="str">
        <f t="array" ref="B39">XLOOKUP(38,'Team and Program Information'!$B$3:$B$202,'Team and Program Information'!$C$3:$C$202,"ERROR",0)</f>
        <v/>
      </c>
      <c r="C39" s="68" t="str">
        <f t="array" ref="C39">XLOOKUP('Robot Design Input'!$A39,'Team and Program Information'!$C$3:$C$202,'Team and Program Information'!$D$3:$D$202,"",0,)</f>
        <v>#VALUE!</v>
      </c>
      <c r="D39" s="67"/>
      <c r="E39" s="67"/>
      <c r="F39" s="67"/>
      <c r="G39" s="38"/>
      <c r="H39" s="38"/>
      <c r="I39" s="90">
        <f>IF('Robot Game Scores'!$B39&gt;0,MAX('Robot Game Scores'!$D39:$H39),0)</f>
        <v>0</v>
      </c>
    </row>
    <row r="40" ht="30.0" customHeight="1">
      <c r="A40" s="67">
        <f>IF('Robot Game Scores'!$B40&gt;0,MIN(_xlfn.RANK.EQ('Robot Game Scores'!$I40,'Robot Game Scores'!$I$2:$I$201,0),NumberOfTeams),NumberOfTeams+1)</f>
        <v>1</v>
      </c>
      <c r="B40" s="38" t="str">
        <f t="array" ref="B40">XLOOKUP(39,'Team and Program Information'!$B$3:$B$202,'Team and Program Information'!$C$3:$C$202,"ERROR",0)</f>
        <v/>
      </c>
      <c r="C40" s="68" t="str">
        <f t="array" ref="C40">XLOOKUP('Robot Design Input'!$A40,'Team and Program Information'!$C$3:$C$202,'Team and Program Information'!$D$3:$D$202,"",0,)</f>
        <v>#VALUE!</v>
      </c>
      <c r="D40" s="67"/>
      <c r="E40" s="67"/>
      <c r="F40" s="67"/>
      <c r="G40" s="38"/>
      <c r="H40" s="38"/>
      <c r="I40" s="90">
        <f>IF('Robot Game Scores'!$B40&gt;0,MAX('Robot Game Scores'!$D40:$H40),0)</f>
        <v>0</v>
      </c>
    </row>
    <row r="41" ht="30.0" customHeight="1">
      <c r="A41" s="67">
        <f>IF('Robot Game Scores'!$B41&gt;0,MIN(_xlfn.RANK.EQ('Robot Game Scores'!$I41,'Robot Game Scores'!$I$2:$I$201,0),NumberOfTeams),NumberOfTeams+1)</f>
        <v>1</v>
      </c>
      <c r="B41" s="38" t="str">
        <f t="array" ref="B41">XLOOKUP(40,'Team and Program Information'!$B$3:$B$202,'Team and Program Information'!$C$3:$C$202,"ERROR",0)</f>
        <v/>
      </c>
      <c r="C41" s="68" t="str">
        <f t="array" ref="C41">XLOOKUP('Robot Design Input'!$A41,'Team and Program Information'!$C$3:$C$202,'Team and Program Information'!$D$3:$D$202,"",0,)</f>
        <v>#VALUE!</v>
      </c>
      <c r="D41" s="67"/>
      <c r="E41" s="67"/>
      <c r="F41" s="67"/>
      <c r="G41" s="38"/>
      <c r="H41" s="38"/>
      <c r="I41" s="90">
        <f>IF('Robot Game Scores'!$B41&gt;0,MAX('Robot Game Scores'!$D41:$H41),0)</f>
        <v>0</v>
      </c>
    </row>
    <row r="42" ht="30.0" customHeight="1">
      <c r="A42" s="67">
        <f>IF('Robot Game Scores'!$B42&gt;0,MIN(_xlfn.RANK.EQ('Robot Game Scores'!$I42,'Robot Game Scores'!$I$2:$I$201,0),NumberOfTeams),NumberOfTeams+1)</f>
        <v>1</v>
      </c>
      <c r="B42" s="38" t="str">
        <f t="array" ref="B42">XLOOKUP(41,'Team and Program Information'!$B$3:$B$202,'Team and Program Information'!$C$3:$C$202,"ERROR",0)</f>
        <v/>
      </c>
      <c r="C42" s="68" t="str">
        <f t="array" ref="C42">XLOOKUP('Robot Design Input'!$A42,'Team and Program Information'!$C$3:$C$202,'Team and Program Information'!$D$3:$D$202,"",0,)</f>
        <v>#VALUE!</v>
      </c>
      <c r="D42" s="67"/>
      <c r="E42" s="67"/>
      <c r="F42" s="67"/>
      <c r="G42" s="38"/>
      <c r="H42" s="38"/>
      <c r="I42" s="90">
        <f>IF('Robot Game Scores'!$B42&gt;0,MAX('Robot Game Scores'!$D42:$H42),0)</f>
        <v>0</v>
      </c>
    </row>
    <row r="43" ht="30.0" customHeight="1">
      <c r="A43" s="67">
        <f>IF('Robot Game Scores'!$B43&gt;0,MIN(_xlfn.RANK.EQ('Robot Game Scores'!$I43,'Robot Game Scores'!$I$2:$I$201,0),NumberOfTeams),NumberOfTeams+1)</f>
        <v>1</v>
      </c>
      <c r="B43" s="38" t="str">
        <f t="array" ref="B43">XLOOKUP(42,'Team and Program Information'!$B$3:$B$202,'Team and Program Information'!$C$3:$C$202,"ERROR",0)</f>
        <v/>
      </c>
      <c r="C43" s="68" t="str">
        <f t="array" ref="C43">XLOOKUP('Robot Design Input'!$A43,'Team and Program Information'!$C$3:$C$202,'Team and Program Information'!$D$3:$D$202,"",0,)</f>
        <v>#VALUE!</v>
      </c>
      <c r="D43" s="67"/>
      <c r="E43" s="67"/>
      <c r="F43" s="67"/>
      <c r="G43" s="38"/>
      <c r="H43" s="38"/>
      <c r="I43" s="90">
        <f>IF('Robot Game Scores'!$B43&gt;0,MAX('Robot Game Scores'!$D43:$H43),0)</f>
        <v>0</v>
      </c>
    </row>
    <row r="44" ht="30.0" customHeight="1">
      <c r="A44" s="67">
        <f>IF('Robot Game Scores'!$B44&gt;0,MIN(_xlfn.RANK.EQ('Robot Game Scores'!$I44,'Robot Game Scores'!$I$2:$I$201,0),NumberOfTeams),NumberOfTeams+1)</f>
        <v>1</v>
      </c>
      <c r="B44" s="38" t="str">
        <f t="array" ref="B44">XLOOKUP(43,'Team and Program Information'!$B$3:$B$202,'Team and Program Information'!$C$3:$C$202,"ERROR",0)</f>
        <v/>
      </c>
      <c r="C44" s="68" t="str">
        <f t="array" ref="C44">XLOOKUP('Robot Design Input'!$A44,'Team and Program Information'!$C$3:$C$202,'Team and Program Information'!$D$3:$D$202,"",0,)</f>
        <v>#VALUE!</v>
      </c>
      <c r="D44" s="67"/>
      <c r="E44" s="67"/>
      <c r="F44" s="67"/>
      <c r="G44" s="38"/>
      <c r="H44" s="38"/>
      <c r="I44" s="90">
        <f>IF('Robot Game Scores'!$B44&gt;0,MAX('Robot Game Scores'!$D44:$H44),0)</f>
        <v>0</v>
      </c>
    </row>
    <row r="45" ht="30.0" customHeight="1">
      <c r="A45" s="67">
        <f>IF('Robot Game Scores'!$B45&gt;0,MIN(_xlfn.RANK.EQ('Robot Game Scores'!$I45,'Robot Game Scores'!$I$2:$I$201,0),NumberOfTeams),NumberOfTeams+1)</f>
        <v>1</v>
      </c>
      <c r="B45" s="38" t="str">
        <f t="array" ref="B45">XLOOKUP(44,'Team and Program Information'!$B$3:$B$202,'Team and Program Information'!$C$3:$C$202,"ERROR",0)</f>
        <v/>
      </c>
      <c r="C45" s="68" t="str">
        <f t="array" ref="C45">XLOOKUP('Robot Design Input'!$A45,'Team and Program Information'!$C$3:$C$202,'Team and Program Information'!$D$3:$D$202,"",0,)</f>
        <v>#VALUE!</v>
      </c>
      <c r="D45" s="67"/>
      <c r="E45" s="67"/>
      <c r="F45" s="67"/>
      <c r="G45" s="38"/>
      <c r="H45" s="38"/>
      <c r="I45" s="90">
        <f>IF('Robot Game Scores'!$B45&gt;0,MAX('Robot Game Scores'!$D45:$H45),0)</f>
        <v>0</v>
      </c>
    </row>
    <row r="46" ht="30.0" customHeight="1">
      <c r="A46" s="67">
        <f>IF('Robot Game Scores'!$B46&gt;0,MIN(_xlfn.RANK.EQ('Robot Game Scores'!$I46,'Robot Game Scores'!$I$2:$I$201,0),NumberOfTeams),NumberOfTeams+1)</f>
        <v>1</v>
      </c>
      <c r="B46" s="38" t="str">
        <f t="array" ref="B46">XLOOKUP(45,'Team and Program Information'!$B$3:$B$202,'Team and Program Information'!$C$3:$C$202,"ERROR",0)</f>
        <v/>
      </c>
      <c r="C46" s="68" t="str">
        <f t="array" ref="C46">XLOOKUP('Robot Design Input'!$A46,'Team and Program Information'!$C$3:$C$202,'Team and Program Information'!$D$3:$D$202,"",0,)</f>
        <v>#VALUE!</v>
      </c>
      <c r="D46" s="67"/>
      <c r="E46" s="67"/>
      <c r="F46" s="67"/>
      <c r="G46" s="38"/>
      <c r="H46" s="38"/>
      <c r="I46" s="90">
        <f>IF('Robot Game Scores'!$B46&gt;0,MAX('Robot Game Scores'!$D46:$H46),0)</f>
        <v>0</v>
      </c>
    </row>
    <row r="47" ht="30.0" customHeight="1">
      <c r="A47" s="67">
        <f>IF('Robot Game Scores'!$B47&gt;0,MIN(_xlfn.RANK.EQ('Robot Game Scores'!$I47,'Robot Game Scores'!$I$2:$I$201,0),NumberOfTeams),NumberOfTeams+1)</f>
        <v>1</v>
      </c>
      <c r="B47" s="38" t="str">
        <f t="array" ref="B47">XLOOKUP(46,'Team and Program Information'!$B$3:$B$202,'Team and Program Information'!$C$3:$C$202,"ERROR",0)</f>
        <v/>
      </c>
      <c r="C47" s="68" t="str">
        <f t="array" ref="C47">XLOOKUP('Robot Design Input'!$A47,'Team and Program Information'!$C$3:$C$202,'Team and Program Information'!$D$3:$D$202,"",0,)</f>
        <v>#VALUE!</v>
      </c>
      <c r="D47" s="67"/>
      <c r="E47" s="67"/>
      <c r="F47" s="67"/>
      <c r="G47" s="38"/>
      <c r="H47" s="38"/>
      <c r="I47" s="90">
        <f>IF('Robot Game Scores'!$B47&gt;0,MAX('Robot Game Scores'!$D47:$H47),0)</f>
        <v>0</v>
      </c>
    </row>
    <row r="48" ht="30.0" customHeight="1">
      <c r="A48" s="67">
        <f>IF('Robot Game Scores'!$B48&gt;0,MIN(_xlfn.RANK.EQ('Robot Game Scores'!$I48,'Robot Game Scores'!$I$2:$I$201,0),NumberOfTeams),NumberOfTeams+1)</f>
        <v>1</v>
      </c>
      <c r="B48" s="38" t="str">
        <f t="array" ref="B48">XLOOKUP(47,'Team and Program Information'!$B$3:$B$202,'Team and Program Information'!$C$3:$C$202,"ERROR",0)</f>
        <v/>
      </c>
      <c r="C48" s="68" t="str">
        <f t="array" ref="C48">XLOOKUP('Robot Design Input'!$A48,'Team and Program Information'!$C$3:$C$202,'Team and Program Information'!$D$3:$D$202,"",0,)</f>
        <v>#VALUE!</v>
      </c>
      <c r="D48" s="67"/>
      <c r="E48" s="67"/>
      <c r="F48" s="67"/>
      <c r="G48" s="38"/>
      <c r="H48" s="38"/>
      <c r="I48" s="90">
        <f>IF('Robot Game Scores'!$B48&gt;0,MAX('Robot Game Scores'!$D48:$H48),0)</f>
        <v>0</v>
      </c>
    </row>
    <row r="49" ht="30.0" customHeight="1">
      <c r="A49" s="67">
        <f>IF('Robot Game Scores'!$B49&gt;0,MIN(_xlfn.RANK.EQ('Robot Game Scores'!$I49,'Robot Game Scores'!$I$2:$I$201,0),NumberOfTeams),NumberOfTeams+1)</f>
        <v>1</v>
      </c>
      <c r="B49" s="38" t="str">
        <f t="array" ref="B49">XLOOKUP(48,'Team and Program Information'!$B$3:$B$202,'Team and Program Information'!$C$3:$C$202,"ERROR",0)</f>
        <v/>
      </c>
      <c r="C49" s="68" t="str">
        <f t="array" ref="C49">XLOOKUP('Robot Design Input'!$A49,'Team and Program Information'!$C$3:$C$202,'Team and Program Information'!$D$3:$D$202,"",0,)</f>
        <v>#VALUE!</v>
      </c>
      <c r="D49" s="67"/>
      <c r="E49" s="67"/>
      <c r="F49" s="67"/>
      <c r="G49" s="38"/>
      <c r="H49" s="38"/>
      <c r="I49" s="90">
        <f>IF('Robot Game Scores'!$B49&gt;0,MAX('Robot Game Scores'!$D49:$H49),0)</f>
        <v>0</v>
      </c>
    </row>
    <row r="50" ht="30.0" customHeight="1">
      <c r="A50" s="67">
        <f>IF('Robot Game Scores'!$B50&gt;0,MIN(_xlfn.RANK.EQ('Robot Game Scores'!$I50,'Robot Game Scores'!$I$2:$I$201,0),NumberOfTeams),NumberOfTeams+1)</f>
        <v>1</v>
      </c>
      <c r="B50" s="38" t="str">
        <f t="array" ref="B50">XLOOKUP(49,'Team and Program Information'!$B$3:$B$202,'Team and Program Information'!$C$3:$C$202,"ERROR",0)</f>
        <v/>
      </c>
      <c r="C50" s="68" t="str">
        <f t="array" ref="C50">XLOOKUP('Robot Design Input'!$A50,'Team and Program Information'!$C$3:$C$202,'Team and Program Information'!$D$3:$D$202,"",0,)</f>
        <v>#VALUE!</v>
      </c>
      <c r="D50" s="67"/>
      <c r="E50" s="67"/>
      <c r="F50" s="67"/>
      <c r="G50" s="38"/>
      <c r="H50" s="38"/>
      <c r="I50" s="90">
        <f>IF('Robot Game Scores'!$B50&gt;0,MAX('Robot Game Scores'!$D50:$H50),0)</f>
        <v>0</v>
      </c>
    </row>
    <row r="51" ht="30.0" customHeight="1">
      <c r="A51" s="67">
        <f>IF('Robot Game Scores'!$B51&gt;0,MIN(_xlfn.RANK.EQ('Robot Game Scores'!$I51,'Robot Game Scores'!$I$2:$I$201,0),NumberOfTeams),NumberOfTeams+1)</f>
        <v>1</v>
      </c>
      <c r="B51" s="38" t="str">
        <f t="array" ref="B51">XLOOKUP(50,'Team and Program Information'!$B$3:$B$202,'Team and Program Information'!$C$3:$C$202,"ERROR",0)</f>
        <v/>
      </c>
      <c r="C51" s="68" t="str">
        <f t="array" ref="C51">XLOOKUP('Robot Design Input'!$A51,'Team and Program Information'!$C$3:$C$202,'Team and Program Information'!$D$3:$D$202,"",0,)</f>
        <v>#VALUE!</v>
      </c>
      <c r="D51" s="67"/>
      <c r="E51" s="67"/>
      <c r="F51" s="67"/>
      <c r="G51" s="38"/>
      <c r="H51" s="38"/>
      <c r="I51" s="90">
        <f>IF('Robot Game Scores'!$B51&gt;0,MAX('Robot Game Scores'!$D51:$H51),0)</f>
        <v>0</v>
      </c>
    </row>
    <row r="52" ht="30.0" customHeight="1">
      <c r="A52" s="67">
        <f>IF('Robot Game Scores'!$B52&gt;0,MIN(_xlfn.RANK.EQ('Robot Game Scores'!$I52,'Robot Game Scores'!$I$2:$I$201,0),NumberOfTeams),NumberOfTeams+1)</f>
        <v>1</v>
      </c>
      <c r="B52" s="38" t="str">
        <f t="array" ref="B52">XLOOKUP(51,'Team and Program Information'!$B$3:$B$202,'Team and Program Information'!$C$3:$C$202,"ERROR",0)</f>
        <v/>
      </c>
      <c r="C52" s="68" t="str">
        <f t="array" ref="C52">XLOOKUP('Robot Design Input'!$A52,'Team and Program Information'!$C$3:$C$202,'Team and Program Information'!$D$3:$D$202,"",0,)</f>
        <v>#VALUE!</v>
      </c>
      <c r="D52" s="67"/>
      <c r="E52" s="67"/>
      <c r="F52" s="67"/>
      <c r="G52" s="38"/>
      <c r="H52" s="38"/>
      <c r="I52" s="90">
        <f>IF('Robot Game Scores'!$B52&gt;0,MAX('Robot Game Scores'!$D52:$H52),0)</f>
        <v>0</v>
      </c>
    </row>
    <row r="53" ht="30.0" customHeight="1">
      <c r="A53" s="67">
        <f>IF('Robot Game Scores'!$B53&gt;0,MIN(_xlfn.RANK.EQ('Robot Game Scores'!$I53,'Robot Game Scores'!$I$2:$I$201,0),NumberOfTeams),NumberOfTeams+1)</f>
        <v>1</v>
      </c>
      <c r="B53" s="38" t="str">
        <f t="array" ref="B53">XLOOKUP(52,'Team and Program Information'!$B$3:$B$202,'Team and Program Information'!$C$3:$C$202,"ERROR",0)</f>
        <v/>
      </c>
      <c r="C53" s="68" t="str">
        <f t="array" ref="C53">XLOOKUP('Robot Design Input'!$A53,'Team and Program Information'!$C$3:$C$202,'Team and Program Information'!$D$3:$D$202,"",0,)</f>
        <v>#VALUE!</v>
      </c>
      <c r="D53" s="67"/>
      <c r="E53" s="67"/>
      <c r="F53" s="67"/>
      <c r="G53" s="38"/>
      <c r="H53" s="38"/>
      <c r="I53" s="90">
        <f>IF('Robot Game Scores'!$B53&gt;0,MAX('Robot Game Scores'!$D53:$H53),0)</f>
        <v>0</v>
      </c>
    </row>
    <row r="54" ht="30.0" customHeight="1">
      <c r="A54" s="67">
        <f>IF('Robot Game Scores'!$B54&gt;0,MIN(_xlfn.RANK.EQ('Robot Game Scores'!$I54,'Robot Game Scores'!$I$2:$I$201,0),NumberOfTeams),NumberOfTeams+1)</f>
        <v>1</v>
      </c>
      <c r="B54" s="38" t="str">
        <f t="array" ref="B54">XLOOKUP(53,'Team and Program Information'!$B$3:$B$202,'Team and Program Information'!$C$3:$C$202,"ERROR",0)</f>
        <v/>
      </c>
      <c r="C54" s="68" t="str">
        <f t="array" ref="C54">XLOOKUP('Robot Design Input'!$A54,'Team and Program Information'!$C$3:$C$202,'Team and Program Information'!$D$3:$D$202,"",0,)</f>
        <v>#VALUE!</v>
      </c>
      <c r="D54" s="67"/>
      <c r="E54" s="67"/>
      <c r="F54" s="67"/>
      <c r="G54" s="38"/>
      <c r="H54" s="38"/>
      <c r="I54" s="90">
        <f>IF('Robot Game Scores'!$B54&gt;0,MAX('Robot Game Scores'!$D54:$H54),0)</f>
        <v>0</v>
      </c>
    </row>
    <row r="55" ht="30.0" customHeight="1">
      <c r="A55" s="67">
        <f>IF('Robot Game Scores'!$B55&gt;0,MIN(_xlfn.RANK.EQ('Robot Game Scores'!$I55,'Robot Game Scores'!$I$2:$I$201,0),NumberOfTeams),NumberOfTeams+1)</f>
        <v>1</v>
      </c>
      <c r="B55" s="38" t="str">
        <f t="array" ref="B55">XLOOKUP(54,'Team and Program Information'!$B$3:$B$202,'Team and Program Information'!$C$3:$C$202,"ERROR",0)</f>
        <v/>
      </c>
      <c r="C55" s="68" t="str">
        <f t="array" ref="C55">XLOOKUP('Robot Design Input'!$A55,'Team and Program Information'!$C$3:$C$202,'Team and Program Information'!$D$3:$D$202,"",0,)</f>
        <v>#VALUE!</v>
      </c>
      <c r="D55" s="67"/>
      <c r="E55" s="67"/>
      <c r="F55" s="67"/>
      <c r="G55" s="38"/>
      <c r="H55" s="38"/>
      <c r="I55" s="90">
        <f>IF('Robot Game Scores'!$B55&gt;0,MAX('Robot Game Scores'!$D55:$H55),0)</f>
        <v>0</v>
      </c>
    </row>
    <row r="56" ht="30.0" customHeight="1">
      <c r="A56" s="67">
        <f>IF('Robot Game Scores'!$B56&gt;0,MIN(_xlfn.RANK.EQ('Robot Game Scores'!$I56,'Robot Game Scores'!$I$2:$I$201,0),NumberOfTeams),NumberOfTeams+1)</f>
        <v>1</v>
      </c>
      <c r="B56" s="38" t="str">
        <f t="array" ref="B56">XLOOKUP(55,'Team and Program Information'!$B$3:$B$202,'Team and Program Information'!$C$3:$C$202,"ERROR",0)</f>
        <v/>
      </c>
      <c r="C56" s="68" t="str">
        <f t="array" ref="C56">XLOOKUP('Robot Design Input'!$A56,'Team and Program Information'!$C$3:$C$202,'Team and Program Information'!$D$3:$D$202,"",0,)</f>
        <v>#VALUE!</v>
      </c>
      <c r="D56" s="67"/>
      <c r="E56" s="67"/>
      <c r="F56" s="67"/>
      <c r="G56" s="38"/>
      <c r="H56" s="38"/>
      <c r="I56" s="90">
        <f>IF('Robot Game Scores'!$B56&gt;0,MAX('Robot Game Scores'!$D56:$H56),0)</f>
        <v>0</v>
      </c>
    </row>
    <row r="57" ht="30.0" customHeight="1">
      <c r="A57" s="67">
        <f>IF('Robot Game Scores'!$B57&gt;0,MIN(_xlfn.RANK.EQ('Robot Game Scores'!$I57,'Robot Game Scores'!$I$2:$I$201,0),NumberOfTeams),NumberOfTeams+1)</f>
        <v>1</v>
      </c>
      <c r="B57" s="38" t="str">
        <f t="array" ref="B57">XLOOKUP(56,'Team and Program Information'!$B$3:$B$202,'Team and Program Information'!$C$3:$C$202,"ERROR",0)</f>
        <v/>
      </c>
      <c r="C57" s="68" t="str">
        <f t="array" ref="C57">XLOOKUP('Robot Design Input'!$A57,'Team and Program Information'!$C$3:$C$202,'Team and Program Information'!$D$3:$D$202,"",0,)</f>
        <v>#VALUE!</v>
      </c>
      <c r="D57" s="67"/>
      <c r="E57" s="67"/>
      <c r="F57" s="67"/>
      <c r="G57" s="38"/>
      <c r="H57" s="38"/>
      <c r="I57" s="90">
        <f>IF('Robot Game Scores'!$B57&gt;0,MAX('Robot Game Scores'!$D57:$H57),0)</f>
        <v>0</v>
      </c>
    </row>
    <row r="58" ht="30.0" customHeight="1">
      <c r="A58" s="67">
        <f>IF('Robot Game Scores'!$B58&gt;0,MIN(_xlfn.RANK.EQ('Robot Game Scores'!$I58,'Robot Game Scores'!$I$2:$I$201,0),NumberOfTeams),NumberOfTeams+1)</f>
        <v>1</v>
      </c>
      <c r="B58" s="38" t="str">
        <f t="array" ref="B58">XLOOKUP(57,'Team and Program Information'!$B$3:$B$202,'Team and Program Information'!$C$3:$C$202,"ERROR",0)</f>
        <v/>
      </c>
      <c r="C58" s="68" t="str">
        <f t="array" ref="C58">XLOOKUP('Robot Design Input'!$A58,'Team and Program Information'!$C$3:$C$202,'Team and Program Information'!$D$3:$D$202,"",0,)</f>
        <v>#VALUE!</v>
      </c>
      <c r="D58" s="67"/>
      <c r="E58" s="67"/>
      <c r="F58" s="67"/>
      <c r="G58" s="38"/>
      <c r="H58" s="38"/>
      <c r="I58" s="90">
        <f>IF('Robot Game Scores'!$B58&gt;0,MAX('Robot Game Scores'!$D58:$H58),0)</f>
        <v>0</v>
      </c>
    </row>
    <row r="59" ht="30.0" customHeight="1">
      <c r="A59" s="67">
        <f>IF('Robot Game Scores'!$B59&gt;0,MIN(_xlfn.RANK.EQ('Robot Game Scores'!$I59,'Robot Game Scores'!$I$2:$I$201,0),NumberOfTeams),NumberOfTeams+1)</f>
        <v>1</v>
      </c>
      <c r="B59" s="38" t="str">
        <f t="array" ref="B59">XLOOKUP(58,'Team and Program Information'!$B$3:$B$202,'Team and Program Information'!$C$3:$C$202,"ERROR",0)</f>
        <v/>
      </c>
      <c r="C59" s="68" t="str">
        <f t="array" ref="C59">XLOOKUP('Robot Design Input'!$A59,'Team and Program Information'!$C$3:$C$202,'Team and Program Information'!$D$3:$D$202,"",0,)</f>
        <v>#VALUE!</v>
      </c>
      <c r="D59" s="67"/>
      <c r="E59" s="67"/>
      <c r="F59" s="67"/>
      <c r="G59" s="38"/>
      <c r="H59" s="38"/>
      <c r="I59" s="90">
        <f>IF('Robot Game Scores'!$B59&gt;0,MAX('Robot Game Scores'!$D59:$H59),0)</f>
        <v>0</v>
      </c>
    </row>
    <row r="60" ht="30.0" customHeight="1">
      <c r="A60" s="67">
        <f>IF('Robot Game Scores'!$B60&gt;0,MIN(_xlfn.RANK.EQ('Robot Game Scores'!$I60,'Robot Game Scores'!$I$2:$I$201,0),NumberOfTeams),NumberOfTeams+1)</f>
        <v>1</v>
      </c>
      <c r="B60" s="38" t="str">
        <f t="array" ref="B60">XLOOKUP(59,'Team and Program Information'!$B$3:$B$202,'Team and Program Information'!$C$3:$C$202,"ERROR",0)</f>
        <v/>
      </c>
      <c r="C60" s="68" t="str">
        <f t="array" ref="C60">XLOOKUP('Robot Design Input'!$A60,'Team and Program Information'!$C$3:$C$202,'Team and Program Information'!$D$3:$D$202,"",0,)</f>
        <v>#VALUE!</v>
      </c>
      <c r="D60" s="67"/>
      <c r="E60" s="67"/>
      <c r="F60" s="67"/>
      <c r="G60" s="38"/>
      <c r="H60" s="38"/>
      <c r="I60" s="90">
        <f>IF('Robot Game Scores'!$B60&gt;0,MAX('Robot Game Scores'!$D60:$H60),0)</f>
        <v>0</v>
      </c>
    </row>
    <row r="61" ht="30.0" customHeight="1">
      <c r="A61" s="67">
        <f>IF('Robot Game Scores'!$B61&gt;0,MIN(_xlfn.RANK.EQ('Robot Game Scores'!$I61,'Robot Game Scores'!$I$2:$I$201,0),NumberOfTeams),NumberOfTeams+1)</f>
        <v>1</v>
      </c>
      <c r="B61" s="38" t="str">
        <f t="array" ref="B61">XLOOKUP(60,'Team and Program Information'!$B$3:$B$202,'Team and Program Information'!$C$3:$C$202,"ERROR",0)</f>
        <v/>
      </c>
      <c r="C61" s="68" t="str">
        <f t="array" ref="C61">XLOOKUP('Robot Design Input'!$A61,'Team and Program Information'!$C$3:$C$202,'Team and Program Information'!$D$3:$D$202,"",0,)</f>
        <v>#VALUE!</v>
      </c>
      <c r="D61" s="67"/>
      <c r="E61" s="67"/>
      <c r="F61" s="67"/>
      <c r="G61" s="38"/>
      <c r="H61" s="38"/>
      <c r="I61" s="90">
        <f>IF('Robot Game Scores'!$B61&gt;0,MAX('Robot Game Scores'!$D61:$H61),0)</f>
        <v>0</v>
      </c>
    </row>
    <row r="62" ht="30.0" customHeight="1">
      <c r="A62" s="67">
        <f>IF('Robot Game Scores'!$B62&gt;0,MIN(_xlfn.RANK.EQ('Robot Game Scores'!$I62,'Robot Game Scores'!$I$2:$I$201,0),NumberOfTeams),NumberOfTeams+1)</f>
        <v>1</v>
      </c>
      <c r="B62" s="38" t="str">
        <f t="array" ref="B62">XLOOKUP(61,'Team and Program Information'!$B$3:$B$202,'Team and Program Information'!$C$3:$C$202,"ERROR",0)</f>
        <v/>
      </c>
      <c r="C62" s="68" t="str">
        <f t="array" ref="C62">XLOOKUP('Robot Design Input'!$A62,'Team and Program Information'!$C$3:$C$202,'Team and Program Information'!$D$3:$D$202,"",0,)</f>
        <v>#VALUE!</v>
      </c>
      <c r="D62" s="67"/>
      <c r="E62" s="67"/>
      <c r="F62" s="67"/>
      <c r="G62" s="38"/>
      <c r="H62" s="38"/>
      <c r="I62" s="90">
        <f>IF('Robot Game Scores'!$B62&gt;0,MAX('Robot Game Scores'!$D62:$H62),0)</f>
        <v>0</v>
      </c>
    </row>
    <row r="63" ht="30.0" customHeight="1">
      <c r="A63" s="67">
        <f>IF('Robot Game Scores'!$B63&gt;0,MIN(_xlfn.RANK.EQ('Robot Game Scores'!$I63,'Robot Game Scores'!$I$2:$I$201,0),NumberOfTeams),NumberOfTeams+1)</f>
        <v>1</v>
      </c>
      <c r="B63" s="38" t="str">
        <f t="array" ref="B63">XLOOKUP(62,'Team and Program Information'!$B$3:$B$202,'Team and Program Information'!$C$3:$C$202,"ERROR",0)</f>
        <v/>
      </c>
      <c r="C63" s="68" t="str">
        <f t="array" ref="C63">XLOOKUP('Robot Design Input'!$A63,'Team and Program Information'!$C$3:$C$202,'Team and Program Information'!$D$3:$D$202,"",0,)</f>
        <v>#VALUE!</v>
      </c>
      <c r="D63" s="67"/>
      <c r="E63" s="67"/>
      <c r="F63" s="67"/>
      <c r="G63" s="38"/>
      <c r="H63" s="38"/>
      <c r="I63" s="90">
        <f>IF('Robot Game Scores'!$B63&gt;0,MAX('Robot Game Scores'!$D63:$H63),0)</f>
        <v>0</v>
      </c>
    </row>
    <row r="64" ht="30.0" customHeight="1">
      <c r="A64" s="67">
        <f>IF('Robot Game Scores'!$B64&gt;0,MIN(_xlfn.RANK.EQ('Robot Game Scores'!$I64,'Robot Game Scores'!$I$2:$I$201,0),NumberOfTeams),NumberOfTeams+1)</f>
        <v>1</v>
      </c>
      <c r="B64" s="38" t="str">
        <f t="array" ref="B64">XLOOKUP(63,'Team and Program Information'!$B$3:$B$202,'Team and Program Information'!$C$3:$C$202,"ERROR",0)</f>
        <v/>
      </c>
      <c r="C64" s="68" t="str">
        <f t="array" ref="C64">XLOOKUP('Robot Design Input'!$A64,'Team and Program Information'!$C$3:$C$202,'Team and Program Information'!$D$3:$D$202,"",0,)</f>
        <v>#VALUE!</v>
      </c>
      <c r="D64" s="67"/>
      <c r="E64" s="67"/>
      <c r="F64" s="67"/>
      <c r="G64" s="38"/>
      <c r="H64" s="38"/>
      <c r="I64" s="90">
        <f>IF('Robot Game Scores'!$B64&gt;0,MAX('Robot Game Scores'!$D64:$H64),0)</f>
        <v>0</v>
      </c>
    </row>
    <row r="65" ht="30.0" customHeight="1">
      <c r="A65" s="67">
        <f>IF('Robot Game Scores'!$B65&gt;0,MIN(_xlfn.RANK.EQ('Robot Game Scores'!$I65,'Robot Game Scores'!$I$2:$I$201,0),NumberOfTeams),NumberOfTeams+1)</f>
        <v>1</v>
      </c>
      <c r="B65" s="38" t="str">
        <f t="array" ref="B65">XLOOKUP(64,'Team and Program Information'!$B$3:$B$202,'Team and Program Information'!$C$3:$C$202,"ERROR",0)</f>
        <v/>
      </c>
      <c r="C65" s="68" t="str">
        <f t="array" ref="C65">XLOOKUP('Robot Design Input'!$A65,'Team and Program Information'!$C$3:$C$202,'Team and Program Information'!$D$3:$D$202,"",0,)</f>
        <v>#VALUE!</v>
      </c>
      <c r="D65" s="67"/>
      <c r="E65" s="67"/>
      <c r="F65" s="67"/>
      <c r="G65" s="38"/>
      <c r="H65" s="38"/>
      <c r="I65" s="90">
        <f>IF('Robot Game Scores'!$B65&gt;0,MAX('Robot Game Scores'!$D65:$H65),0)</f>
        <v>0</v>
      </c>
    </row>
    <row r="66" ht="30.0" customHeight="1">
      <c r="A66" s="67">
        <f>IF('Robot Game Scores'!$B66&gt;0,MIN(_xlfn.RANK.EQ('Robot Game Scores'!$I66,'Robot Game Scores'!$I$2:$I$201,0),NumberOfTeams),NumberOfTeams+1)</f>
        <v>1</v>
      </c>
      <c r="B66" s="38" t="str">
        <f t="array" ref="B66">XLOOKUP(65,'Team and Program Information'!$B$3:$B$202,'Team and Program Information'!$C$3:$C$202,"ERROR",0)</f>
        <v/>
      </c>
      <c r="C66" s="68" t="str">
        <f t="array" ref="C66">XLOOKUP('Robot Design Input'!$A66,'Team and Program Information'!$C$3:$C$202,'Team and Program Information'!$D$3:$D$202,"",0,)</f>
        <v>#VALUE!</v>
      </c>
      <c r="D66" s="67"/>
      <c r="E66" s="67"/>
      <c r="F66" s="67"/>
      <c r="G66" s="38"/>
      <c r="H66" s="38"/>
      <c r="I66" s="90">
        <f>IF('Robot Game Scores'!$B66&gt;0,MAX('Robot Game Scores'!$D66:$H66),0)</f>
        <v>0</v>
      </c>
    </row>
    <row r="67" ht="30.0" customHeight="1">
      <c r="A67" s="67">
        <f>IF('Robot Game Scores'!$B67&gt;0,MIN(_xlfn.RANK.EQ('Robot Game Scores'!$I67,'Robot Game Scores'!$I$2:$I$201,0),NumberOfTeams),NumberOfTeams+1)</f>
        <v>1</v>
      </c>
      <c r="B67" s="38" t="str">
        <f t="array" ref="B67">XLOOKUP(66,'Team and Program Information'!$B$3:$B$202,'Team and Program Information'!$C$3:$C$202,"ERROR",0)</f>
        <v/>
      </c>
      <c r="C67" s="68" t="str">
        <f t="array" ref="C67">XLOOKUP('Robot Design Input'!$A67,'Team and Program Information'!$C$3:$C$202,'Team and Program Information'!$D$3:$D$202,"",0,)</f>
        <v>#VALUE!</v>
      </c>
      <c r="D67" s="67"/>
      <c r="E67" s="67"/>
      <c r="F67" s="67"/>
      <c r="G67" s="38"/>
      <c r="H67" s="38"/>
      <c r="I67" s="90">
        <f>IF('Robot Game Scores'!$B67&gt;0,MAX('Robot Game Scores'!$D67:$H67),0)</f>
        <v>0</v>
      </c>
    </row>
    <row r="68" ht="30.0" customHeight="1">
      <c r="A68" s="67">
        <f>IF('Robot Game Scores'!$B68&gt;0,MIN(_xlfn.RANK.EQ('Robot Game Scores'!$I68,'Robot Game Scores'!$I$2:$I$201,0),NumberOfTeams),NumberOfTeams+1)</f>
        <v>1</v>
      </c>
      <c r="B68" s="38" t="str">
        <f t="array" ref="B68">XLOOKUP(67,'Team and Program Information'!$B$3:$B$202,'Team and Program Information'!$C$3:$C$202,"ERROR",0)</f>
        <v/>
      </c>
      <c r="C68" s="68" t="str">
        <f t="array" ref="C68">XLOOKUP('Robot Design Input'!$A68,'Team and Program Information'!$C$3:$C$202,'Team and Program Information'!$D$3:$D$202,"",0,)</f>
        <v>#VALUE!</v>
      </c>
      <c r="D68" s="67"/>
      <c r="E68" s="67"/>
      <c r="F68" s="67"/>
      <c r="G68" s="38"/>
      <c r="H68" s="38"/>
      <c r="I68" s="90">
        <f>IF('Robot Game Scores'!$B68&gt;0,MAX('Robot Game Scores'!$D68:$H68),0)</f>
        <v>0</v>
      </c>
    </row>
    <row r="69" ht="30.0" customHeight="1">
      <c r="A69" s="67">
        <f>IF('Robot Game Scores'!$B69&gt;0,MIN(_xlfn.RANK.EQ('Robot Game Scores'!$I69,'Robot Game Scores'!$I$2:$I$201,0),NumberOfTeams),NumberOfTeams+1)</f>
        <v>1</v>
      </c>
      <c r="B69" s="38" t="str">
        <f t="array" ref="B69">XLOOKUP(68,'Team and Program Information'!$B$3:$B$202,'Team and Program Information'!$C$3:$C$202,"ERROR",0)</f>
        <v/>
      </c>
      <c r="C69" s="68" t="str">
        <f t="array" ref="C69">XLOOKUP('Robot Design Input'!$A69,'Team and Program Information'!$C$3:$C$202,'Team and Program Information'!$D$3:$D$202,"",0,)</f>
        <v>#VALUE!</v>
      </c>
      <c r="D69" s="67"/>
      <c r="E69" s="67"/>
      <c r="F69" s="67"/>
      <c r="G69" s="38"/>
      <c r="H69" s="38"/>
      <c r="I69" s="90">
        <f>IF('Robot Game Scores'!$B69&gt;0,MAX('Robot Game Scores'!$D69:$H69),0)</f>
        <v>0</v>
      </c>
    </row>
    <row r="70" ht="30.0" customHeight="1">
      <c r="A70" s="67">
        <f>IF('Robot Game Scores'!$B70&gt;0,MIN(_xlfn.RANK.EQ('Robot Game Scores'!$I70,'Robot Game Scores'!$I$2:$I$201,0),NumberOfTeams),NumberOfTeams+1)</f>
        <v>1</v>
      </c>
      <c r="B70" s="38" t="str">
        <f t="array" ref="B70">XLOOKUP(69,'Team and Program Information'!$B$3:$B$202,'Team and Program Information'!$C$3:$C$202,"ERROR",0)</f>
        <v/>
      </c>
      <c r="C70" s="68" t="str">
        <f t="array" ref="C70">XLOOKUP('Robot Design Input'!$A70,'Team and Program Information'!$C$3:$C$202,'Team and Program Information'!$D$3:$D$202,"",0,)</f>
        <v>#VALUE!</v>
      </c>
      <c r="D70" s="67"/>
      <c r="E70" s="67"/>
      <c r="F70" s="67"/>
      <c r="G70" s="38"/>
      <c r="H70" s="38"/>
      <c r="I70" s="90">
        <f>IF('Robot Game Scores'!$B70&gt;0,MAX('Robot Game Scores'!$D70:$H70),0)</f>
        <v>0</v>
      </c>
    </row>
    <row r="71" ht="30.0" customHeight="1">
      <c r="A71" s="67">
        <f>IF('Robot Game Scores'!$B71&gt;0,MIN(_xlfn.RANK.EQ('Robot Game Scores'!$I71,'Robot Game Scores'!$I$2:$I$201,0),NumberOfTeams),NumberOfTeams+1)</f>
        <v>1</v>
      </c>
      <c r="B71" s="38" t="str">
        <f t="array" ref="B71">XLOOKUP(70,'Team and Program Information'!$B$3:$B$202,'Team and Program Information'!$C$3:$C$202,"ERROR",0)</f>
        <v/>
      </c>
      <c r="C71" s="68" t="str">
        <f t="array" ref="C71">XLOOKUP('Robot Design Input'!$A71,'Team and Program Information'!$C$3:$C$202,'Team and Program Information'!$D$3:$D$202,"",0,)</f>
        <v>#VALUE!</v>
      </c>
      <c r="D71" s="67"/>
      <c r="E71" s="67"/>
      <c r="F71" s="67"/>
      <c r="G71" s="38"/>
      <c r="H71" s="38"/>
      <c r="I71" s="90">
        <f>IF('Robot Game Scores'!$B71&gt;0,MAX('Robot Game Scores'!$D71:$H71),0)</f>
        <v>0</v>
      </c>
    </row>
    <row r="72" ht="30.0" customHeight="1">
      <c r="A72" s="67">
        <f>IF('Robot Game Scores'!$B72&gt;0,MIN(_xlfn.RANK.EQ('Robot Game Scores'!$I72,'Robot Game Scores'!$I$2:$I$201,0),NumberOfTeams),NumberOfTeams+1)</f>
        <v>1</v>
      </c>
      <c r="B72" s="38" t="str">
        <f t="array" ref="B72">XLOOKUP(71,'Team and Program Information'!$B$3:$B$202,'Team and Program Information'!$C$3:$C$202,"ERROR",0)</f>
        <v/>
      </c>
      <c r="C72" s="68" t="str">
        <f t="array" ref="C72">XLOOKUP('Robot Design Input'!$A72,'Team and Program Information'!$C$3:$C$202,'Team and Program Information'!$D$3:$D$202,"",0,)</f>
        <v>#VALUE!</v>
      </c>
      <c r="D72" s="67"/>
      <c r="E72" s="67"/>
      <c r="F72" s="67"/>
      <c r="G72" s="38"/>
      <c r="H72" s="38"/>
      <c r="I72" s="90">
        <f>IF('Robot Game Scores'!$B72&gt;0,MAX('Robot Game Scores'!$D72:$H72),0)</f>
        <v>0</v>
      </c>
    </row>
    <row r="73" ht="30.0" customHeight="1">
      <c r="A73" s="67">
        <f>IF('Robot Game Scores'!$B73&gt;0,MIN(_xlfn.RANK.EQ('Robot Game Scores'!$I73,'Robot Game Scores'!$I$2:$I$201,0),NumberOfTeams),NumberOfTeams+1)</f>
        <v>1</v>
      </c>
      <c r="B73" s="38" t="str">
        <f t="array" ref="B73">XLOOKUP(72,'Team and Program Information'!$B$3:$B$202,'Team and Program Information'!$C$3:$C$202,"ERROR",0)</f>
        <v/>
      </c>
      <c r="C73" s="68" t="str">
        <f t="array" ref="C73">XLOOKUP('Robot Design Input'!$A73,'Team and Program Information'!$C$3:$C$202,'Team and Program Information'!$D$3:$D$202,"",0,)</f>
        <v>#VALUE!</v>
      </c>
      <c r="D73" s="67"/>
      <c r="E73" s="67"/>
      <c r="F73" s="67"/>
      <c r="G73" s="38"/>
      <c r="H73" s="38"/>
      <c r="I73" s="90">
        <f>IF('Robot Game Scores'!$B73&gt;0,MAX('Robot Game Scores'!$D73:$H73),0)</f>
        <v>0</v>
      </c>
    </row>
    <row r="74" ht="30.0" customHeight="1">
      <c r="A74" s="67">
        <f>IF('Robot Game Scores'!$B74&gt;0,MIN(_xlfn.RANK.EQ('Robot Game Scores'!$I74,'Robot Game Scores'!$I$2:$I$201,0),NumberOfTeams),NumberOfTeams+1)</f>
        <v>1</v>
      </c>
      <c r="B74" s="38" t="str">
        <f t="array" ref="B74">XLOOKUP(73,'Team and Program Information'!$B$3:$B$202,'Team and Program Information'!$C$3:$C$202,"ERROR",0)</f>
        <v/>
      </c>
      <c r="C74" s="68" t="str">
        <f t="array" ref="C74">XLOOKUP('Robot Design Input'!$A74,'Team and Program Information'!$C$3:$C$202,'Team and Program Information'!$D$3:$D$202,"",0,)</f>
        <v>#VALUE!</v>
      </c>
      <c r="D74" s="67"/>
      <c r="E74" s="67"/>
      <c r="F74" s="67"/>
      <c r="G74" s="38"/>
      <c r="H74" s="38"/>
      <c r="I74" s="90">
        <f>IF('Robot Game Scores'!$B74&gt;0,MAX('Robot Game Scores'!$D74:$H74),0)</f>
        <v>0</v>
      </c>
    </row>
    <row r="75" ht="30.0" customHeight="1">
      <c r="A75" s="67">
        <f>IF('Robot Game Scores'!$B75&gt;0,MIN(_xlfn.RANK.EQ('Robot Game Scores'!$I75,'Robot Game Scores'!$I$2:$I$201,0),NumberOfTeams),NumberOfTeams+1)</f>
        <v>1</v>
      </c>
      <c r="B75" s="38" t="str">
        <f t="array" ref="B75">XLOOKUP(74,'Team and Program Information'!$B$3:$B$202,'Team and Program Information'!$C$3:$C$202,"ERROR",0)</f>
        <v/>
      </c>
      <c r="C75" s="68" t="str">
        <f t="array" ref="C75">XLOOKUP('Robot Design Input'!$A75,'Team and Program Information'!$C$3:$C$202,'Team and Program Information'!$D$3:$D$202,"",0,)</f>
        <v>#VALUE!</v>
      </c>
      <c r="D75" s="67"/>
      <c r="E75" s="67"/>
      <c r="F75" s="67"/>
      <c r="G75" s="38"/>
      <c r="H75" s="38"/>
      <c r="I75" s="90">
        <f>IF('Robot Game Scores'!$B75&gt;0,MAX('Robot Game Scores'!$D75:$H75),0)</f>
        <v>0</v>
      </c>
    </row>
    <row r="76" ht="30.0" customHeight="1">
      <c r="A76" s="67">
        <f>IF('Robot Game Scores'!$B76&gt;0,MIN(_xlfn.RANK.EQ('Robot Game Scores'!$I76,'Robot Game Scores'!$I$2:$I$201,0),NumberOfTeams),NumberOfTeams+1)</f>
        <v>1</v>
      </c>
      <c r="B76" s="38" t="str">
        <f t="array" ref="B76">XLOOKUP(75,'Team and Program Information'!$B$3:$B$202,'Team and Program Information'!$C$3:$C$202,"ERROR",0)</f>
        <v/>
      </c>
      <c r="C76" s="68" t="str">
        <f t="array" ref="C76">XLOOKUP('Robot Design Input'!$A76,'Team and Program Information'!$C$3:$C$202,'Team and Program Information'!$D$3:$D$202,"",0,)</f>
        <v>#VALUE!</v>
      </c>
      <c r="D76" s="67"/>
      <c r="E76" s="67"/>
      <c r="F76" s="67"/>
      <c r="G76" s="38"/>
      <c r="H76" s="38"/>
      <c r="I76" s="90">
        <f>IF('Robot Game Scores'!$B76&gt;0,MAX('Robot Game Scores'!$D76:$H76),0)</f>
        <v>0</v>
      </c>
    </row>
    <row r="77" ht="30.0" customHeight="1">
      <c r="A77" s="67">
        <f>IF('Robot Game Scores'!$B77&gt;0,MIN(_xlfn.RANK.EQ('Robot Game Scores'!$I77,'Robot Game Scores'!$I$2:$I$201,0),NumberOfTeams),NumberOfTeams+1)</f>
        <v>1</v>
      </c>
      <c r="B77" s="38" t="str">
        <f t="array" ref="B77">XLOOKUP(76,'Team and Program Information'!$B$3:$B$202,'Team and Program Information'!$C$3:$C$202,"ERROR",0)</f>
        <v/>
      </c>
      <c r="C77" s="68" t="str">
        <f t="array" ref="C77">XLOOKUP('Robot Design Input'!$A77,'Team and Program Information'!$C$3:$C$202,'Team and Program Information'!$D$3:$D$202,"",0,)</f>
        <v>#VALUE!</v>
      </c>
      <c r="D77" s="67"/>
      <c r="E77" s="67"/>
      <c r="F77" s="67"/>
      <c r="G77" s="38"/>
      <c r="H77" s="38"/>
      <c r="I77" s="90">
        <f>IF('Robot Game Scores'!$B77&gt;0,MAX('Robot Game Scores'!$D77:$H77),0)</f>
        <v>0</v>
      </c>
    </row>
    <row r="78" ht="30.0" customHeight="1">
      <c r="A78" s="67">
        <f>IF('Robot Game Scores'!$B78&gt;0,MIN(_xlfn.RANK.EQ('Robot Game Scores'!$I78,'Robot Game Scores'!$I$2:$I$201,0),NumberOfTeams),NumberOfTeams+1)</f>
        <v>1</v>
      </c>
      <c r="B78" s="38" t="str">
        <f t="array" ref="B78">XLOOKUP(77,'Team and Program Information'!$B$3:$B$202,'Team and Program Information'!$C$3:$C$202,"ERROR",0)</f>
        <v/>
      </c>
      <c r="C78" s="68" t="str">
        <f t="array" ref="C78">XLOOKUP('Robot Design Input'!$A78,'Team and Program Information'!$C$3:$C$202,'Team and Program Information'!$D$3:$D$202,"",0,)</f>
        <v>#VALUE!</v>
      </c>
      <c r="D78" s="67"/>
      <c r="E78" s="67"/>
      <c r="F78" s="67"/>
      <c r="G78" s="38"/>
      <c r="H78" s="38"/>
      <c r="I78" s="90">
        <f>IF('Robot Game Scores'!$B78&gt;0,MAX('Robot Game Scores'!$D78:$H78),0)</f>
        <v>0</v>
      </c>
    </row>
    <row r="79" ht="30.0" customHeight="1">
      <c r="A79" s="67">
        <f>IF('Robot Game Scores'!$B79&gt;0,MIN(_xlfn.RANK.EQ('Robot Game Scores'!$I79,'Robot Game Scores'!$I$2:$I$201,0),NumberOfTeams),NumberOfTeams+1)</f>
        <v>1</v>
      </c>
      <c r="B79" s="38" t="str">
        <f t="array" ref="B79">XLOOKUP(78,'Team and Program Information'!$B$3:$B$202,'Team and Program Information'!$C$3:$C$202,"ERROR",0)</f>
        <v/>
      </c>
      <c r="C79" s="68" t="str">
        <f t="array" ref="C79">XLOOKUP('Robot Design Input'!$A79,'Team and Program Information'!$C$3:$C$202,'Team and Program Information'!$D$3:$D$202,"",0,)</f>
        <v>#VALUE!</v>
      </c>
      <c r="D79" s="67"/>
      <c r="E79" s="67"/>
      <c r="F79" s="67"/>
      <c r="G79" s="38"/>
      <c r="H79" s="38"/>
      <c r="I79" s="90">
        <f>IF('Robot Game Scores'!$B79&gt;0,MAX('Robot Game Scores'!$D79:$H79),0)</f>
        <v>0</v>
      </c>
    </row>
    <row r="80" ht="30.0" customHeight="1">
      <c r="A80" s="67">
        <f>IF('Robot Game Scores'!$B80&gt;0,MIN(_xlfn.RANK.EQ('Robot Game Scores'!$I80,'Robot Game Scores'!$I$2:$I$201,0),NumberOfTeams),NumberOfTeams+1)</f>
        <v>1</v>
      </c>
      <c r="B80" s="38" t="str">
        <f t="array" ref="B80">XLOOKUP(79,'Team and Program Information'!$B$3:$B$202,'Team and Program Information'!$C$3:$C$202,"ERROR",0)</f>
        <v/>
      </c>
      <c r="C80" s="68" t="str">
        <f t="array" ref="C80">XLOOKUP('Robot Design Input'!$A80,'Team and Program Information'!$C$3:$C$202,'Team and Program Information'!$D$3:$D$202,"",0,)</f>
        <v>#VALUE!</v>
      </c>
      <c r="D80" s="67"/>
      <c r="E80" s="67"/>
      <c r="F80" s="67"/>
      <c r="G80" s="38"/>
      <c r="H80" s="38"/>
      <c r="I80" s="90">
        <f>IF('Robot Game Scores'!$B80&gt;0,MAX('Robot Game Scores'!$D80:$H80),0)</f>
        <v>0</v>
      </c>
    </row>
    <row r="81" ht="30.0" customHeight="1">
      <c r="A81" s="67">
        <f>IF('Robot Game Scores'!$B81&gt;0,MIN(_xlfn.RANK.EQ('Robot Game Scores'!$I81,'Robot Game Scores'!$I$2:$I$201,0),NumberOfTeams),NumberOfTeams+1)</f>
        <v>1</v>
      </c>
      <c r="B81" s="38" t="str">
        <f t="array" ref="B81">XLOOKUP(80,'Team and Program Information'!$B$3:$B$202,'Team and Program Information'!$C$3:$C$202,"ERROR",0)</f>
        <v/>
      </c>
      <c r="C81" s="68" t="str">
        <f t="array" ref="C81">XLOOKUP('Robot Design Input'!$A81,'Team and Program Information'!$C$3:$C$202,'Team and Program Information'!$D$3:$D$202,"",0,)</f>
        <v>#VALUE!</v>
      </c>
      <c r="D81" s="67"/>
      <c r="E81" s="67"/>
      <c r="F81" s="67"/>
      <c r="G81" s="38"/>
      <c r="H81" s="38"/>
      <c r="I81" s="90">
        <f>IF('Robot Game Scores'!$B81&gt;0,MAX('Robot Game Scores'!$D81:$H81),0)</f>
        <v>0</v>
      </c>
    </row>
    <row r="82" ht="30.0" customHeight="1">
      <c r="A82" s="67">
        <f>IF('Robot Game Scores'!$B82&gt;0,MIN(_xlfn.RANK.EQ('Robot Game Scores'!$I82,'Robot Game Scores'!$I$2:$I$201,0),NumberOfTeams),NumberOfTeams+1)</f>
        <v>1</v>
      </c>
      <c r="B82" s="38" t="str">
        <f t="array" ref="B82">XLOOKUP(81,'Team and Program Information'!$B$3:$B$202,'Team and Program Information'!$C$3:$C$202,"ERROR",0)</f>
        <v/>
      </c>
      <c r="C82" s="68" t="str">
        <f t="array" ref="C82">XLOOKUP('Robot Design Input'!$A82,'Team and Program Information'!$C$3:$C$202,'Team and Program Information'!$D$3:$D$202,"",0,)</f>
        <v>#VALUE!</v>
      </c>
      <c r="D82" s="67"/>
      <c r="E82" s="67"/>
      <c r="F82" s="67"/>
      <c r="G82" s="38"/>
      <c r="H82" s="38"/>
      <c r="I82" s="90">
        <f>IF('Robot Game Scores'!$B82&gt;0,MAX('Robot Game Scores'!$D82:$H82),0)</f>
        <v>0</v>
      </c>
    </row>
    <row r="83" ht="30.0" customHeight="1">
      <c r="A83" s="67">
        <f>IF('Robot Game Scores'!$B83&gt;0,MIN(_xlfn.RANK.EQ('Robot Game Scores'!$I83,'Robot Game Scores'!$I$2:$I$201,0),NumberOfTeams),NumberOfTeams+1)</f>
        <v>1</v>
      </c>
      <c r="B83" s="38" t="str">
        <f t="array" ref="B83">XLOOKUP(82,'Team and Program Information'!$B$3:$B$202,'Team and Program Information'!$C$3:$C$202,"ERROR",0)</f>
        <v/>
      </c>
      <c r="C83" s="68" t="str">
        <f t="array" ref="C83">XLOOKUP('Robot Design Input'!$A83,'Team and Program Information'!$C$3:$C$202,'Team and Program Information'!$D$3:$D$202,"",0,)</f>
        <v>#VALUE!</v>
      </c>
      <c r="D83" s="67"/>
      <c r="E83" s="67"/>
      <c r="F83" s="67"/>
      <c r="G83" s="38"/>
      <c r="H83" s="38"/>
      <c r="I83" s="90">
        <f>IF('Robot Game Scores'!$B83&gt;0,MAX('Robot Game Scores'!$D83:$H83),0)</f>
        <v>0</v>
      </c>
    </row>
    <row r="84" ht="30.0" customHeight="1">
      <c r="A84" s="67">
        <f>IF('Robot Game Scores'!$B84&gt;0,MIN(_xlfn.RANK.EQ('Robot Game Scores'!$I84,'Robot Game Scores'!$I$2:$I$201,0),NumberOfTeams),NumberOfTeams+1)</f>
        <v>1</v>
      </c>
      <c r="B84" s="38" t="str">
        <f t="array" ref="B84">XLOOKUP(83,'Team and Program Information'!$B$3:$B$202,'Team and Program Information'!$C$3:$C$202,"ERROR",0)</f>
        <v/>
      </c>
      <c r="C84" s="68" t="str">
        <f t="array" ref="C84">XLOOKUP('Robot Design Input'!$A84,'Team and Program Information'!$C$3:$C$202,'Team and Program Information'!$D$3:$D$202,"",0,)</f>
        <v>#VALUE!</v>
      </c>
      <c r="D84" s="67"/>
      <c r="E84" s="67"/>
      <c r="F84" s="67"/>
      <c r="G84" s="38"/>
      <c r="H84" s="38"/>
      <c r="I84" s="90">
        <f>IF('Robot Game Scores'!$B84&gt;0,MAX('Robot Game Scores'!$D84:$H84),0)</f>
        <v>0</v>
      </c>
    </row>
    <row r="85" ht="30.0" customHeight="1">
      <c r="A85" s="67">
        <f>IF('Robot Game Scores'!$B85&gt;0,MIN(_xlfn.RANK.EQ('Robot Game Scores'!$I85,'Robot Game Scores'!$I$2:$I$201,0),NumberOfTeams),NumberOfTeams+1)</f>
        <v>1</v>
      </c>
      <c r="B85" s="38" t="str">
        <f t="array" ref="B85">XLOOKUP(84,'Team and Program Information'!$B$3:$B$202,'Team and Program Information'!$C$3:$C$202,"ERROR",0)</f>
        <v/>
      </c>
      <c r="C85" s="68" t="str">
        <f t="array" ref="C85">XLOOKUP('Robot Design Input'!$A85,'Team and Program Information'!$C$3:$C$202,'Team and Program Information'!$D$3:$D$202,"",0,)</f>
        <v>#VALUE!</v>
      </c>
      <c r="D85" s="67"/>
      <c r="E85" s="67"/>
      <c r="F85" s="67"/>
      <c r="G85" s="38"/>
      <c r="H85" s="38"/>
      <c r="I85" s="90">
        <f>IF('Robot Game Scores'!$B85&gt;0,MAX('Robot Game Scores'!$D85:$H85),0)</f>
        <v>0</v>
      </c>
    </row>
    <row r="86" ht="30.0" customHeight="1">
      <c r="A86" s="67">
        <f>IF('Robot Game Scores'!$B86&gt;0,MIN(_xlfn.RANK.EQ('Robot Game Scores'!$I86,'Robot Game Scores'!$I$2:$I$201,0),NumberOfTeams),NumberOfTeams+1)</f>
        <v>1</v>
      </c>
      <c r="B86" s="38" t="str">
        <f t="array" ref="B86">XLOOKUP(85,'Team and Program Information'!$B$3:$B$202,'Team and Program Information'!$C$3:$C$202,"ERROR",0)</f>
        <v/>
      </c>
      <c r="C86" s="68" t="str">
        <f t="array" ref="C86">XLOOKUP('Robot Design Input'!$A86,'Team and Program Information'!$C$3:$C$202,'Team and Program Information'!$D$3:$D$202,"",0,)</f>
        <v>#VALUE!</v>
      </c>
      <c r="D86" s="67"/>
      <c r="E86" s="67"/>
      <c r="F86" s="67"/>
      <c r="G86" s="38"/>
      <c r="H86" s="38"/>
      <c r="I86" s="90">
        <f>IF('Robot Game Scores'!$B86&gt;0,MAX('Robot Game Scores'!$D86:$H86),0)</f>
        <v>0</v>
      </c>
    </row>
    <row r="87" ht="30.0" customHeight="1">
      <c r="A87" s="67">
        <f>IF('Robot Game Scores'!$B87&gt;0,MIN(_xlfn.RANK.EQ('Robot Game Scores'!$I87,'Robot Game Scores'!$I$2:$I$201,0),NumberOfTeams),NumberOfTeams+1)</f>
        <v>1</v>
      </c>
      <c r="B87" s="38" t="str">
        <f t="array" ref="B87">XLOOKUP(86,'Team and Program Information'!$B$3:$B$202,'Team and Program Information'!$C$3:$C$202,"ERROR",0)</f>
        <v/>
      </c>
      <c r="C87" s="68" t="str">
        <f t="array" ref="C87">XLOOKUP('Robot Design Input'!$A87,'Team and Program Information'!$C$3:$C$202,'Team and Program Information'!$D$3:$D$202,"",0,)</f>
        <v>#VALUE!</v>
      </c>
      <c r="D87" s="67"/>
      <c r="E87" s="67"/>
      <c r="F87" s="67"/>
      <c r="G87" s="38"/>
      <c r="H87" s="38"/>
      <c r="I87" s="90">
        <f>IF('Robot Game Scores'!$B87&gt;0,MAX('Robot Game Scores'!$D87:$H87),0)</f>
        <v>0</v>
      </c>
    </row>
    <row r="88" ht="30.0" customHeight="1">
      <c r="A88" s="67">
        <f>IF('Robot Game Scores'!$B88&gt;0,MIN(_xlfn.RANK.EQ('Robot Game Scores'!$I88,'Robot Game Scores'!$I$2:$I$201,0),NumberOfTeams),NumberOfTeams+1)</f>
        <v>1</v>
      </c>
      <c r="B88" s="38" t="str">
        <f t="array" ref="B88">XLOOKUP(87,'Team and Program Information'!$B$3:$B$202,'Team and Program Information'!$C$3:$C$202,"ERROR",0)</f>
        <v/>
      </c>
      <c r="C88" s="68" t="str">
        <f t="array" ref="C88">XLOOKUP('Robot Design Input'!$A88,'Team and Program Information'!$C$3:$C$202,'Team and Program Information'!$D$3:$D$202,"",0,)</f>
        <v>#VALUE!</v>
      </c>
      <c r="D88" s="67"/>
      <c r="E88" s="67"/>
      <c r="F88" s="67"/>
      <c r="G88" s="38"/>
      <c r="H88" s="38"/>
      <c r="I88" s="90">
        <f>IF('Robot Game Scores'!$B88&gt;0,MAX('Robot Game Scores'!$D88:$H88),0)</f>
        <v>0</v>
      </c>
    </row>
    <row r="89" ht="30.0" customHeight="1">
      <c r="A89" s="67">
        <f>IF('Robot Game Scores'!$B89&gt;0,MIN(_xlfn.RANK.EQ('Robot Game Scores'!$I89,'Robot Game Scores'!$I$2:$I$201,0),NumberOfTeams),NumberOfTeams+1)</f>
        <v>1</v>
      </c>
      <c r="B89" s="38" t="str">
        <f t="array" ref="B89">XLOOKUP(88,'Team and Program Information'!$B$3:$B$202,'Team and Program Information'!$C$3:$C$202,"ERROR",0)</f>
        <v/>
      </c>
      <c r="C89" s="68" t="str">
        <f t="array" ref="C89">XLOOKUP('Robot Design Input'!$A89,'Team and Program Information'!$C$3:$C$202,'Team and Program Information'!$D$3:$D$202,"",0,)</f>
        <v>#VALUE!</v>
      </c>
      <c r="D89" s="67"/>
      <c r="E89" s="67"/>
      <c r="F89" s="67"/>
      <c r="G89" s="38"/>
      <c r="H89" s="38"/>
      <c r="I89" s="90">
        <f>IF('Robot Game Scores'!$B89&gt;0,MAX('Robot Game Scores'!$D89:$H89),0)</f>
        <v>0</v>
      </c>
    </row>
    <row r="90" ht="30.0" customHeight="1">
      <c r="A90" s="67">
        <f>IF('Robot Game Scores'!$B90&gt;0,MIN(_xlfn.RANK.EQ('Robot Game Scores'!$I90,'Robot Game Scores'!$I$2:$I$201,0),NumberOfTeams),NumberOfTeams+1)</f>
        <v>1</v>
      </c>
      <c r="B90" s="38" t="str">
        <f t="array" ref="B90">XLOOKUP(89,'Team and Program Information'!$B$3:$B$202,'Team and Program Information'!$C$3:$C$202,"ERROR",0)</f>
        <v/>
      </c>
      <c r="C90" s="68" t="str">
        <f t="array" ref="C90">XLOOKUP('Robot Design Input'!$A90,'Team and Program Information'!$C$3:$C$202,'Team and Program Information'!$D$3:$D$202,"",0,)</f>
        <v>#VALUE!</v>
      </c>
      <c r="D90" s="67"/>
      <c r="E90" s="67"/>
      <c r="F90" s="67"/>
      <c r="G90" s="38"/>
      <c r="H90" s="38"/>
      <c r="I90" s="90">
        <f>IF('Robot Game Scores'!$B90&gt;0,MAX('Robot Game Scores'!$D90:$H90),0)</f>
        <v>0</v>
      </c>
    </row>
    <row r="91" ht="30.0" customHeight="1">
      <c r="A91" s="67">
        <f>IF('Robot Game Scores'!$B91&gt;0,MIN(_xlfn.RANK.EQ('Robot Game Scores'!$I91,'Robot Game Scores'!$I$2:$I$201,0),NumberOfTeams),NumberOfTeams+1)</f>
        <v>1</v>
      </c>
      <c r="B91" s="38" t="str">
        <f t="array" ref="B91">XLOOKUP(90,'Team and Program Information'!$B$3:$B$202,'Team and Program Information'!$C$3:$C$202,"ERROR",0)</f>
        <v/>
      </c>
      <c r="C91" s="68" t="str">
        <f t="array" ref="C91">XLOOKUP('Robot Design Input'!$A91,'Team and Program Information'!$C$3:$C$202,'Team and Program Information'!$D$3:$D$202,"",0,)</f>
        <v>#VALUE!</v>
      </c>
      <c r="D91" s="67"/>
      <c r="E91" s="67"/>
      <c r="F91" s="67"/>
      <c r="G91" s="38"/>
      <c r="H91" s="38"/>
      <c r="I91" s="90">
        <f>IF('Robot Game Scores'!$B91&gt;0,MAX('Robot Game Scores'!$D91:$H91),0)</f>
        <v>0</v>
      </c>
    </row>
    <row r="92" ht="30.0" customHeight="1">
      <c r="A92" s="67">
        <f>IF('Robot Game Scores'!$B92&gt;0,MIN(_xlfn.RANK.EQ('Robot Game Scores'!$I92,'Robot Game Scores'!$I$2:$I$201,0),NumberOfTeams),NumberOfTeams+1)</f>
        <v>1</v>
      </c>
      <c r="B92" s="38" t="str">
        <f t="array" ref="B92">XLOOKUP(91,'Team and Program Information'!$B$3:$B$202,'Team and Program Information'!$C$3:$C$202,"ERROR",0)</f>
        <v/>
      </c>
      <c r="C92" s="68" t="str">
        <f t="array" ref="C92">XLOOKUP('Robot Design Input'!$A92,'Team and Program Information'!$C$3:$C$202,'Team and Program Information'!$D$3:$D$202,"",0,)</f>
        <v>#VALUE!</v>
      </c>
      <c r="D92" s="67"/>
      <c r="E92" s="67"/>
      <c r="F92" s="67"/>
      <c r="G92" s="38"/>
      <c r="H92" s="38"/>
      <c r="I92" s="90">
        <f>IF('Robot Game Scores'!$B92&gt;0,MAX('Robot Game Scores'!$D92:$H92),0)</f>
        <v>0</v>
      </c>
    </row>
    <row r="93" ht="30.0" customHeight="1">
      <c r="A93" s="67">
        <f>IF('Robot Game Scores'!$B93&gt;0,MIN(_xlfn.RANK.EQ('Robot Game Scores'!$I93,'Robot Game Scores'!$I$2:$I$201,0),NumberOfTeams),NumberOfTeams+1)</f>
        <v>1</v>
      </c>
      <c r="B93" s="38" t="str">
        <f t="array" ref="B93">XLOOKUP(92,'Team and Program Information'!$B$3:$B$202,'Team and Program Information'!$C$3:$C$202,"ERROR",0)</f>
        <v/>
      </c>
      <c r="C93" s="68" t="str">
        <f t="array" ref="C93">XLOOKUP('Robot Design Input'!$A93,'Team and Program Information'!$C$3:$C$202,'Team and Program Information'!$D$3:$D$202,"",0,)</f>
        <v>#VALUE!</v>
      </c>
      <c r="D93" s="67"/>
      <c r="E93" s="67"/>
      <c r="F93" s="67"/>
      <c r="G93" s="38"/>
      <c r="H93" s="38"/>
      <c r="I93" s="90">
        <f>IF('Robot Game Scores'!$B93&gt;0,MAX('Robot Game Scores'!$D93:$H93),0)</f>
        <v>0</v>
      </c>
    </row>
    <row r="94" ht="30.0" customHeight="1">
      <c r="A94" s="67">
        <f>IF('Robot Game Scores'!$B94&gt;0,MIN(_xlfn.RANK.EQ('Robot Game Scores'!$I94,'Robot Game Scores'!$I$2:$I$201,0),NumberOfTeams),NumberOfTeams+1)</f>
        <v>1</v>
      </c>
      <c r="B94" s="38" t="str">
        <f t="array" ref="B94">XLOOKUP(93,'Team and Program Information'!$B$3:$B$202,'Team and Program Information'!$C$3:$C$202,"ERROR",0)</f>
        <v/>
      </c>
      <c r="C94" s="68" t="str">
        <f t="array" ref="C94">XLOOKUP('Robot Design Input'!$A94,'Team and Program Information'!$C$3:$C$202,'Team and Program Information'!$D$3:$D$202,"",0,)</f>
        <v>#VALUE!</v>
      </c>
      <c r="D94" s="67"/>
      <c r="E94" s="67"/>
      <c r="F94" s="67"/>
      <c r="G94" s="38"/>
      <c r="H94" s="38"/>
      <c r="I94" s="90">
        <f>IF('Robot Game Scores'!$B94&gt;0,MAX('Robot Game Scores'!$D94:$H94),0)</f>
        <v>0</v>
      </c>
    </row>
    <row r="95" ht="30.0" customHeight="1">
      <c r="A95" s="67">
        <f>IF('Robot Game Scores'!$B95&gt;0,MIN(_xlfn.RANK.EQ('Robot Game Scores'!$I95,'Robot Game Scores'!$I$2:$I$201,0),NumberOfTeams),NumberOfTeams+1)</f>
        <v>1</v>
      </c>
      <c r="B95" s="38" t="str">
        <f t="array" ref="B95">XLOOKUP(94,'Team and Program Information'!$B$3:$B$202,'Team and Program Information'!$C$3:$C$202,"ERROR",0)</f>
        <v/>
      </c>
      <c r="C95" s="68" t="str">
        <f t="array" ref="C95">XLOOKUP('Robot Design Input'!$A95,'Team and Program Information'!$C$3:$C$202,'Team and Program Information'!$D$3:$D$202,"",0,)</f>
        <v>#VALUE!</v>
      </c>
      <c r="D95" s="67"/>
      <c r="E95" s="67"/>
      <c r="F95" s="67"/>
      <c r="G95" s="38"/>
      <c r="H95" s="38"/>
      <c r="I95" s="90">
        <f>IF('Robot Game Scores'!$B95&gt;0,MAX('Robot Game Scores'!$D95:$H95),0)</f>
        <v>0</v>
      </c>
    </row>
    <row r="96" ht="30.0" customHeight="1">
      <c r="A96" s="67">
        <f>IF('Robot Game Scores'!$B96&gt;0,MIN(_xlfn.RANK.EQ('Robot Game Scores'!$I96,'Robot Game Scores'!$I$2:$I$201,0),NumberOfTeams),NumberOfTeams+1)</f>
        <v>1</v>
      </c>
      <c r="B96" s="38" t="str">
        <f t="array" ref="B96">XLOOKUP(95,'Team and Program Information'!$B$3:$B$202,'Team and Program Information'!$C$3:$C$202,"ERROR",0)</f>
        <v/>
      </c>
      <c r="C96" s="68" t="str">
        <f t="array" ref="C96">XLOOKUP('Robot Design Input'!$A96,'Team and Program Information'!$C$3:$C$202,'Team and Program Information'!$D$3:$D$202,"",0,)</f>
        <v>#VALUE!</v>
      </c>
      <c r="D96" s="67"/>
      <c r="E96" s="67"/>
      <c r="F96" s="67"/>
      <c r="G96" s="38"/>
      <c r="H96" s="38"/>
      <c r="I96" s="90">
        <f>IF('Robot Game Scores'!$B96&gt;0,MAX('Robot Game Scores'!$D96:$H96),0)</f>
        <v>0</v>
      </c>
    </row>
    <row r="97" ht="30.0" customHeight="1">
      <c r="A97" s="67">
        <f>IF('Robot Game Scores'!$B97&gt;0,MIN(_xlfn.RANK.EQ('Robot Game Scores'!$I97,'Robot Game Scores'!$I$2:$I$201,0),NumberOfTeams),NumberOfTeams+1)</f>
        <v>1</v>
      </c>
      <c r="B97" s="38" t="str">
        <f t="array" ref="B97">XLOOKUP(96,'Team and Program Information'!$B$3:$B$202,'Team and Program Information'!$C$3:$C$202,"ERROR",0)</f>
        <v/>
      </c>
      <c r="C97" s="68" t="str">
        <f t="array" ref="C97">XLOOKUP('Robot Design Input'!$A97,'Team and Program Information'!$C$3:$C$202,'Team and Program Information'!$D$3:$D$202,"",0,)</f>
        <v>#VALUE!</v>
      </c>
      <c r="D97" s="67"/>
      <c r="E97" s="67"/>
      <c r="F97" s="67"/>
      <c r="G97" s="38"/>
      <c r="H97" s="38"/>
      <c r="I97" s="90">
        <f>IF('Robot Game Scores'!$B97&gt;0,MAX('Robot Game Scores'!$D97:$H97),0)</f>
        <v>0</v>
      </c>
    </row>
    <row r="98" ht="30.0" customHeight="1">
      <c r="A98" s="67">
        <f>IF('Robot Game Scores'!$B98&gt;0,MIN(_xlfn.RANK.EQ('Robot Game Scores'!$I98,'Robot Game Scores'!$I$2:$I$201,0),NumberOfTeams),NumberOfTeams+1)</f>
        <v>1</v>
      </c>
      <c r="B98" s="38" t="str">
        <f t="array" ref="B98">XLOOKUP(97,'Team and Program Information'!$B$3:$B$202,'Team and Program Information'!$C$3:$C$202,"ERROR",0)</f>
        <v/>
      </c>
      <c r="C98" s="68" t="str">
        <f t="array" ref="C98">XLOOKUP('Robot Design Input'!$A98,'Team and Program Information'!$C$3:$C$202,'Team and Program Information'!$D$3:$D$202,"",0,)</f>
        <v>#VALUE!</v>
      </c>
      <c r="D98" s="67"/>
      <c r="E98" s="67"/>
      <c r="F98" s="67"/>
      <c r="G98" s="38"/>
      <c r="H98" s="38"/>
      <c r="I98" s="90">
        <f>IF('Robot Game Scores'!$B98&gt;0,MAX('Robot Game Scores'!$D98:$H98),0)</f>
        <v>0</v>
      </c>
    </row>
    <row r="99" ht="30.0" customHeight="1">
      <c r="A99" s="67">
        <f>IF('Robot Game Scores'!$B99&gt;0,MIN(_xlfn.RANK.EQ('Robot Game Scores'!$I99,'Robot Game Scores'!$I$2:$I$201,0),NumberOfTeams),NumberOfTeams+1)</f>
        <v>1</v>
      </c>
      <c r="B99" s="38" t="str">
        <f t="array" ref="B99">XLOOKUP(98,'Team and Program Information'!$B$3:$B$202,'Team and Program Information'!$C$3:$C$202,"ERROR",0)</f>
        <v/>
      </c>
      <c r="C99" s="68" t="str">
        <f t="array" ref="C99">XLOOKUP('Robot Design Input'!$A99,'Team and Program Information'!$C$3:$C$202,'Team and Program Information'!$D$3:$D$202,"",0,)</f>
        <v>#VALUE!</v>
      </c>
      <c r="D99" s="67"/>
      <c r="E99" s="67"/>
      <c r="F99" s="67"/>
      <c r="G99" s="38"/>
      <c r="H99" s="38"/>
      <c r="I99" s="90">
        <f>IF('Robot Game Scores'!$B99&gt;0,MAX('Robot Game Scores'!$D99:$H99),0)</f>
        <v>0</v>
      </c>
    </row>
    <row r="100" ht="30.0" customHeight="1">
      <c r="A100" s="67">
        <f>IF('Robot Game Scores'!$B100&gt;0,MIN(_xlfn.RANK.EQ('Robot Game Scores'!$I100,'Robot Game Scores'!$I$2:$I$201,0),NumberOfTeams),NumberOfTeams+1)</f>
        <v>1</v>
      </c>
      <c r="B100" s="38" t="str">
        <f t="array" ref="B100">XLOOKUP(99,'Team and Program Information'!$B$3:$B$202,'Team and Program Information'!$C$3:$C$202,"ERROR",0)</f>
        <v/>
      </c>
      <c r="C100" s="68" t="str">
        <f t="array" ref="C100">XLOOKUP('Robot Design Input'!$A100,'Team and Program Information'!$C$3:$C$202,'Team and Program Information'!$D$3:$D$202,"",0,)</f>
        <v>#VALUE!</v>
      </c>
      <c r="D100" s="67"/>
      <c r="E100" s="67"/>
      <c r="F100" s="67"/>
      <c r="G100" s="38"/>
      <c r="H100" s="38"/>
      <c r="I100" s="90">
        <f>IF('Robot Game Scores'!$B100&gt;0,MAX('Robot Game Scores'!$D100:$H100),0)</f>
        <v>0</v>
      </c>
    </row>
    <row r="101" ht="30.0" customHeight="1">
      <c r="A101" s="67">
        <f>IF('Robot Game Scores'!$B101&gt;0,MIN(_xlfn.RANK.EQ('Robot Game Scores'!$I101,'Robot Game Scores'!$I$2:$I$201,0),NumberOfTeams),NumberOfTeams+1)</f>
        <v>1</v>
      </c>
      <c r="B101" s="38" t="str">
        <f t="array" ref="B101">XLOOKUP(100,'Team and Program Information'!$B$3:$B$202,'Team and Program Information'!$C$3:$C$202,"ERROR",0)</f>
        <v/>
      </c>
      <c r="C101" s="68" t="str">
        <f t="array" ref="C101">XLOOKUP('Robot Design Input'!$A101,'Team and Program Information'!$C$3:$C$202,'Team and Program Information'!$D$3:$D$202,"",0,)</f>
        <v>#VALUE!</v>
      </c>
      <c r="D101" s="67"/>
      <c r="E101" s="67"/>
      <c r="F101" s="67"/>
      <c r="G101" s="38"/>
      <c r="H101" s="38"/>
      <c r="I101" s="90">
        <f>IF('Robot Game Scores'!$B101&gt;0,MAX('Robot Game Scores'!$D101:$H101),0)</f>
        <v>0</v>
      </c>
    </row>
    <row r="102" ht="30.0" customHeight="1">
      <c r="A102" s="67">
        <f>IF('Robot Game Scores'!$B102&gt;0,MIN(_xlfn.RANK.EQ('Robot Game Scores'!$I102,'Robot Game Scores'!$I$2:$I$201,0),NumberOfTeams),NumberOfTeams+1)</f>
        <v>1</v>
      </c>
      <c r="B102" s="38" t="str">
        <f t="array" ref="B102">XLOOKUP(101,'Team and Program Information'!$B$3:$B$202,'Team and Program Information'!$C$3:$C$202,"ERROR",0)</f>
        <v/>
      </c>
      <c r="C102" s="68" t="str">
        <f t="array" ref="C102">XLOOKUP('Robot Design Input'!$A102,'Team and Program Information'!$C$3:$C$202,'Team and Program Information'!$D$3:$D$202,"",0,)</f>
        <v>#VALUE!</v>
      </c>
      <c r="D102" s="67"/>
      <c r="E102" s="67"/>
      <c r="F102" s="67"/>
      <c r="G102" s="38"/>
      <c r="H102" s="38"/>
      <c r="I102" s="90">
        <f>IF('Robot Game Scores'!$B102&gt;0,MAX('Robot Game Scores'!$D102:$H102),0)</f>
        <v>0</v>
      </c>
    </row>
    <row r="103" ht="30.0" customHeight="1">
      <c r="A103" s="67">
        <f>IF('Robot Game Scores'!$B103&gt;0,MIN(_xlfn.RANK.EQ('Robot Game Scores'!$I103,'Robot Game Scores'!$I$2:$I$201,0),NumberOfTeams),NumberOfTeams+1)</f>
        <v>1</v>
      </c>
      <c r="B103" s="38" t="str">
        <f t="array" ref="B103">XLOOKUP(102,'Team and Program Information'!$B$3:$B$202,'Team and Program Information'!$C$3:$C$202,"ERROR",0)</f>
        <v/>
      </c>
      <c r="C103" s="68" t="str">
        <f t="array" ref="C103">XLOOKUP('Robot Design Input'!$A103,'Team and Program Information'!$C$3:$C$202,'Team and Program Information'!$D$3:$D$202,"",0,)</f>
        <v>#VALUE!</v>
      </c>
      <c r="D103" s="67"/>
      <c r="E103" s="67"/>
      <c r="F103" s="67"/>
      <c r="G103" s="38"/>
      <c r="H103" s="38"/>
      <c r="I103" s="90">
        <f>IF('Robot Game Scores'!$B103&gt;0,MAX('Robot Game Scores'!$D103:$H103),0)</f>
        <v>0</v>
      </c>
    </row>
    <row r="104" ht="30.0" customHeight="1">
      <c r="A104" s="67">
        <f>IF('Robot Game Scores'!$B104&gt;0,MIN(_xlfn.RANK.EQ('Robot Game Scores'!$I104,'Robot Game Scores'!$I$2:$I$201,0),NumberOfTeams),NumberOfTeams+1)</f>
        <v>1</v>
      </c>
      <c r="B104" s="38" t="str">
        <f t="array" ref="B104">XLOOKUP(103,'Team and Program Information'!$B$3:$B$202,'Team and Program Information'!$C$3:$C$202,"ERROR",0)</f>
        <v/>
      </c>
      <c r="C104" s="68" t="str">
        <f t="array" ref="C104">XLOOKUP('Robot Design Input'!$A104,'Team and Program Information'!$C$3:$C$202,'Team and Program Information'!$D$3:$D$202,"",0,)</f>
        <v>#VALUE!</v>
      </c>
      <c r="D104" s="67"/>
      <c r="E104" s="67"/>
      <c r="F104" s="67"/>
      <c r="G104" s="38"/>
      <c r="H104" s="38"/>
      <c r="I104" s="90">
        <f>IF('Robot Game Scores'!$B104&gt;0,MAX('Robot Game Scores'!$D104:$H104),0)</f>
        <v>0</v>
      </c>
    </row>
    <row r="105" ht="30.0" customHeight="1">
      <c r="A105" s="67">
        <f>IF('Robot Game Scores'!$B105&gt;0,MIN(_xlfn.RANK.EQ('Robot Game Scores'!$I105,'Robot Game Scores'!$I$2:$I$201,0),NumberOfTeams),NumberOfTeams+1)</f>
        <v>1</v>
      </c>
      <c r="B105" s="38" t="str">
        <f t="array" ref="B105">XLOOKUP(104,'Team and Program Information'!$B$3:$B$202,'Team and Program Information'!$C$3:$C$202,"ERROR",0)</f>
        <v/>
      </c>
      <c r="C105" s="68" t="str">
        <f t="array" ref="C105">XLOOKUP('Robot Design Input'!$A105,'Team and Program Information'!$C$3:$C$202,'Team and Program Information'!$D$3:$D$202,"",0,)</f>
        <v>#VALUE!</v>
      </c>
      <c r="D105" s="67"/>
      <c r="E105" s="67"/>
      <c r="F105" s="67"/>
      <c r="G105" s="38"/>
      <c r="H105" s="38"/>
      <c r="I105" s="90">
        <f>IF('Robot Game Scores'!$B105&gt;0,MAX('Robot Game Scores'!$D105:$H105),0)</f>
        <v>0</v>
      </c>
    </row>
    <row r="106" ht="30.0" customHeight="1">
      <c r="A106" s="67">
        <f>IF('Robot Game Scores'!$B106&gt;0,MIN(_xlfn.RANK.EQ('Robot Game Scores'!$I106,'Robot Game Scores'!$I$2:$I$201,0),NumberOfTeams),NumberOfTeams+1)</f>
        <v>1</v>
      </c>
      <c r="B106" s="38" t="str">
        <f t="array" ref="B106">XLOOKUP(105,'Team and Program Information'!$B$3:$B$202,'Team and Program Information'!$C$3:$C$202,"ERROR",0)</f>
        <v/>
      </c>
      <c r="C106" s="68" t="str">
        <f t="array" ref="C106">XLOOKUP('Robot Design Input'!$A106,'Team and Program Information'!$C$3:$C$202,'Team and Program Information'!$D$3:$D$202,"",0,)</f>
        <v>#VALUE!</v>
      </c>
      <c r="D106" s="67"/>
      <c r="E106" s="67"/>
      <c r="F106" s="67"/>
      <c r="G106" s="38"/>
      <c r="H106" s="38"/>
      <c r="I106" s="90">
        <f>IF('Robot Game Scores'!$B106&gt;0,MAX('Robot Game Scores'!$D106:$H106),0)</f>
        <v>0</v>
      </c>
    </row>
    <row r="107" ht="30.0" customHeight="1">
      <c r="A107" s="67">
        <f>IF('Robot Game Scores'!$B107&gt;0,MIN(_xlfn.RANK.EQ('Robot Game Scores'!$I107,'Robot Game Scores'!$I$2:$I$201,0),NumberOfTeams),NumberOfTeams+1)</f>
        <v>1</v>
      </c>
      <c r="B107" s="38" t="str">
        <f t="array" ref="B107">XLOOKUP(106,'Team and Program Information'!$B$3:$B$202,'Team and Program Information'!$C$3:$C$202,"ERROR",0)</f>
        <v/>
      </c>
      <c r="C107" s="68" t="str">
        <f t="array" ref="C107">XLOOKUP('Robot Design Input'!$A107,'Team and Program Information'!$C$3:$C$202,'Team and Program Information'!$D$3:$D$202,"",0,)</f>
        <v>#VALUE!</v>
      </c>
      <c r="D107" s="67"/>
      <c r="E107" s="67"/>
      <c r="F107" s="67"/>
      <c r="G107" s="38"/>
      <c r="H107" s="38"/>
      <c r="I107" s="90">
        <f>IF('Robot Game Scores'!$B107&gt;0,MAX('Robot Game Scores'!$D107:$H107),0)</f>
        <v>0</v>
      </c>
    </row>
    <row r="108" ht="30.0" customHeight="1">
      <c r="A108" s="67">
        <f>IF('Robot Game Scores'!$B108&gt;0,MIN(_xlfn.RANK.EQ('Robot Game Scores'!$I108,'Robot Game Scores'!$I$2:$I$201,0),NumberOfTeams),NumberOfTeams+1)</f>
        <v>1</v>
      </c>
      <c r="B108" s="38" t="str">
        <f t="array" ref="B108">XLOOKUP(107,'Team and Program Information'!$B$3:$B$202,'Team and Program Information'!$C$3:$C$202,"ERROR",0)</f>
        <v/>
      </c>
      <c r="C108" s="68" t="str">
        <f t="array" ref="C108">XLOOKUP('Robot Design Input'!$A108,'Team and Program Information'!$C$3:$C$202,'Team and Program Information'!$D$3:$D$202,"",0,)</f>
        <v>#VALUE!</v>
      </c>
      <c r="D108" s="67"/>
      <c r="E108" s="67"/>
      <c r="F108" s="67"/>
      <c r="G108" s="38"/>
      <c r="H108" s="38"/>
      <c r="I108" s="90">
        <f>IF('Robot Game Scores'!$B108&gt;0,MAX('Robot Game Scores'!$D108:$H108),0)</f>
        <v>0</v>
      </c>
    </row>
    <row r="109" ht="30.0" customHeight="1">
      <c r="A109" s="67">
        <f>IF('Robot Game Scores'!$B109&gt;0,MIN(_xlfn.RANK.EQ('Robot Game Scores'!$I109,'Robot Game Scores'!$I$2:$I$201,0),NumberOfTeams),NumberOfTeams+1)</f>
        <v>1</v>
      </c>
      <c r="B109" s="38" t="str">
        <f t="array" ref="B109">XLOOKUP(108,'Team and Program Information'!$B$3:$B$202,'Team and Program Information'!$C$3:$C$202,"ERROR",0)</f>
        <v/>
      </c>
      <c r="C109" s="68" t="str">
        <f t="array" ref="C109">XLOOKUP('Robot Design Input'!$A109,'Team and Program Information'!$C$3:$C$202,'Team and Program Information'!$D$3:$D$202,"",0,)</f>
        <v>#VALUE!</v>
      </c>
      <c r="D109" s="67"/>
      <c r="E109" s="67"/>
      <c r="F109" s="67"/>
      <c r="G109" s="38"/>
      <c r="H109" s="38"/>
      <c r="I109" s="90">
        <f>IF('Robot Game Scores'!$B109&gt;0,MAX('Robot Game Scores'!$D109:$H109),0)</f>
        <v>0</v>
      </c>
    </row>
    <row r="110" ht="30.0" customHeight="1">
      <c r="A110" s="67">
        <f>IF('Robot Game Scores'!$B110&gt;0,MIN(_xlfn.RANK.EQ('Robot Game Scores'!$I110,'Robot Game Scores'!$I$2:$I$201,0),NumberOfTeams),NumberOfTeams+1)</f>
        <v>1</v>
      </c>
      <c r="B110" s="38" t="str">
        <f t="array" ref="B110">XLOOKUP(109,'Team and Program Information'!$B$3:$B$202,'Team and Program Information'!$C$3:$C$202,"ERROR",0)</f>
        <v/>
      </c>
      <c r="C110" s="68" t="str">
        <f t="array" ref="C110">XLOOKUP('Robot Design Input'!$A110,'Team and Program Information'!$C$3:$C$202,'Team and Program Information'!$D$3:$D$202,"",0,)</f>
        <v>#VALUE!</v>
      </c>
      <c r="D110" s="67"/>
      <c r="E110" s="67"/>
      <c r="F110" s="67"/>
      <c r="G110" s="38"/>
      <c r="H110" s="38"/>
      <c r="I110" s="90">
        <f>IF('Robot Game Scores'!$B110&gt;0,MAX('Robot Game Scores'!$D110:$H110),0)</f>
        <v>0</v>
      </c>
    </row>
    <row r="111" ht="30.0" customHeight="1">
      <c r="A111" s="67">
        <f>IF('Robot Game Scores'!$B111&gt;0,MIN(_xlfn.RANK.EQ('Robot Game Scores'!$I111,'Robot Game Scores'!$I$2:$I$201,0),NumberOfTeams),NumberOfTeams+1)</f>
        <v>1</v>
      </c>
      <c r="B111" s="38" t="str">
        <f t="array" ref="B111">XLOOKUP(110,'Team and Program Information'!$B$3:$B$202,'Team and Program Information'!$C$3:$C$202,"ERROR",0)</f>
        <v/>
      </c>
      <c r="C111" s="68" t="str">
        <f t="array" ref="C111">XLOOKUP('Robot Design Input'!$A111,'Team and Program Information'!$C$3:$C$202,'Team and Program Information'!$D$3:$D$202,"",0,)</f>
        <v>#VALUE!</v>
      </c>
      <c r="D111" s="67"/>
      <c r="E111" s="67"/>
      <c r="F111" s="67"/>
      <c r="G111" s="38"/>
      <c r="H111" s="38"/>
      <c r="I111" s="90">
        <f>IF('Robot Game Scores'!$B111&gt;0,MAX('Robot Game Scores'!$D111:$H111),0)</f>
        <v>0</v>
      </c>
    </row>
    <row r="112" ht="30.0" customHeight="1">
      <c r="A112" s="67">
        <f>IF('Robot Game Scores'!$B112&gt;0,MIN(_xlfn.RANK.EQ('Robot Game Scores'!$I112,'Robot Game Scores'!$I$2:$I$201,0),NumberOfTeams),NumberOfTeams+1)</f>
        <v>1</v>
      </c>
      <c r="B112" s="38" t="str">
        <f t="array" ref="B112">XLOOKUP(111,'Team and Program Information'!$B$3:$B$202,'Team and Program Information'!$C$3:$C$202,"ERROR",0)</f>
        <v/>
      </c>
      <c r="C112" s="68" t="str">
        <f t="array" ref="C112">XLOOKUP('Robot Design Input'!$A112,'Team and Program Information'!$C$3:$C$202,'Team and Program Information'!$D$3:$D$202,"",0,)</f>
        <v>#VALUE!</v>
      </c>
      <c r="D112" s="67"/>
      <c r="E112" s="67"/>
      <c r="F112" s="67"/>
      <c r="G112" s="38"/>
      <c r="H112" s="38"/>
      <c r="I112" s="90">
        <f>IF('Robot Game Scores'!$B112&gt;0,MAX('Robot Game Scores'!$D112:$H112),0)</f>
        <v>0</v>
      </c>
    </row>
    <row r="113" ht="30.0" customHeight="1">
      <c r="A113" s="67">
        <f>IF('Robot Game Scores'!$B113&gt;0,MIN(_xlfn.RANK.EQ('Robot Game Scores'!$I113,'Robot Game Scores'!$I$2:$I$201,0),NumberOfTeams),NumberOfTeams+1)</f>
        <v>1</v>
      </c>
      <c r="B113" s="38" t="str">
        <f t="array" ref="B113">XLOOKUP(112,'Team and Program Information'!$B$3:$B$202,'Team and Program Information'!$C$3:$C$202,"ERROR",0)</f>
        <v/>
      </c>
      <c r="C113" s="68" t="str">
        <f t="array" ref="C113">XLOOKUP('Robot Design Input'!$A113,'Team and Program Information'!$C$3:$C$202,'Team and Program Information'!$D$3:$D$202,"",0,)</f>
        <v>#VALUE!</v>
      </c>
      <c r="D113" s="67"/>
      <c r="E113" s="67"/>
      <c r="F113" s="67"/>
      <c r="G113" s="38"/>
      <c r="H113" s="38"/>
      <c r="I113" s="90">
        <f>IF('Robot Game Scores'!$B113&gt;0,MAX('Robot Game Scores'!$D113:$H113),0)</f>
        <v>0</v>
      </c>
    </row>
    <row r="114" ht="30.0" customHeight="1">
      <c r="A114" s="67">
        <f>IF('Robot Game Scores'!$B114&gt;0,MIN(_xlfn.RANK.EQ('Robot Game Scores'!$I114,'Robot Game Scores'!$I$2:$I$201,0),NumberOfTeams),NumberOfTeams+1)</f>
        <v>1</v>
      </c>
      <c r="B114" s="38" t="str">
        <f t="array" ref="B114">XLOOKUP(113,'Team and Program Information'!$B$3:$B$202,'Team and Program Information'!$C$3:$C$202,"ERROR",0)</f>
        <v/>
      </c>
      <c r="C114" s="68" t="str">
        <f t="array" ref="C114">XLOOKUP('Robot Design Input'!$A114,'Team and Program Information'!$C$3:$C$202,'Team and Program Information'!$D$3:$D$202,"",0,)</f>
        <v>#VALUE!</v>
      </c>
      <c r="D114" s="67"/>
      <c r="E114" s="67"/>
      <c r="F114" s="67"/>
      <c r="G114" s="38"/>
      <c r="H114" s="38"/>
      <c r="I114" s="90">
        <f>IF('Robot Game Scores'!$B114&gt;0,MAX('Robot Game Scores'!$D114:$H114),0)</f>
        <v>0</v>
      </c>
    </row>
    <row r="115" ht="30.0" customHeight="1">
      <c r="A115" s="67">
        <f>IF('Robot Game Scores'!$B115&gt;0,MIN(_xlfn.RANK.EQ('Robot Game Scores'!$I115,'Robot Game Scores'!$I$2:$I$201,0),NumberOfTeams),NumberOfTeams+1)</f>
        <v>1</v>
      </c>
      <c r="B115" s="38" t="str">
        <f t="array" ref="B115">XLOOKUP(114,'Team and Program Information'!$B$3:$B$202,'Team and Program Information'!$C$3:$C$202,"ERROR",0)</f>
        <v/>
      </c>
      <c r="C115" s="68" t="str">
        <f t="array" ref="C115">XLOOKUP('Robot Design Input'!$A115,'Team and Program Information'!$C$3:$C$202,'Team and Program Information'!$D$3:$D$202,"",0,)</f>
        <v>#VALUE!</v>
      </c>
      <c r="D115" s="67"/>
      <c r="E115" s="67"/>
      <c r="F115" s="67"/>
      <c r="G115" s="38"/>
      <c r="H115" s="38"/>
      <c r="I115" s="90">
        <f>IF('Robot Game Scores'!$B115&gt;0,MAX('Robot Game Scores'!$D115:$H115),0)</f>
        <v>0</v>
      </c>
    </row>
    <row r="116" ht="30.0" customHeight="1">
      <c r="A116" s="67">
        <f>IF('Robot Game Scores'!$B116&gt;0,MIN(_xlfn.RANK.EQ('Robot Game Scores'!$I116,'Robot Game Scores'!$I$2:$I$201,0),NumberOfTeams),NumberOfTeams+1)</f>
        <v>1</v>
      </c>
      <c r="B116" s="38" t="str">
        <f t="array" ref="B116">XLOOKUP(115,'Team and Program Information'!$B$3:$B$202,'Team and Program Information'!$C$3:$C$202,"ERROR",0)</f>
        <v/>
      </c>
      <c r="C116" s="68" t="str">
        <f t="array" ref="C116">XLOOKUP('Robot Design Input'!$A116,'Team and Program Information'!$C$3:$C$202,'Team and Program Information'!$D$3:$D$202,"",0,)</f>
        <v>#VALUE!</v>
      </c>
      <c r="D116" s="67"/>
      <c r="E116" s="67"/>
      <c r="F116" s="67"/>
      <c r="G116" s="38"/>
      <c r="H116" s="38"/>
      <c r="I116" s="90">
        <f>IF('Robot Game Scores'!$B116&gt;0,MAX('Robot Game Scores'!$D116:$H116),0)</f>
        <v>0</v>
      </c>
    </row>
    <row r="117" ht="30.0" customHeight="1">
      <c r="A117" s="67">
        <f>IF('Robot Game Scores'!$B117&gt;0,MIN(_xlfn.RANK.EQ('Robot Game Scores'!$I117,'Robot Game Scores'!$I$2:$I$201,0),NumberOfTeams),NumberOfTeams+1)</f>
        <v>1</v>
      </c>
      <c r="B117" s="38" t="str">
        <f t="array" ref="B117">XLOOKUP(116,'Team and Program Information'!$B$3:$B$202,'Team and Program Information'!$C$3:$C$202,"ERROR",0)</f>
        <v/>
      </c>
      <c r="C117" s="68" t="str">
        <f t="array" ref="C117">XLOOKUP('Robot Design Input'!$A117,'Team and Program Information'!$C$3:$C$202,'Team and Program Information'!$D$3:$D$202,"",0,)</f>
        <v>#VALUE!</v>
      </c>
      <c r="D117" s="67"/>
      <c r="E117" s="67"/>
      <c r="F117" s="67"/>
      <c r="G117" s="38"/>
      <c r="H117" s="38"/>
      <c r="I117" s="90">
        <f>IF('Robot Game Scores'!$B117&gt;0,MAX('Robot Game Scores'!$D117:$H117),0)</f>
        <v>0</v>
      </c>
    </row>
    <row r="118" ht="30.0" customHeight="1">
      <c r="A118" s="67">
        <f>IF('Robot Game Scores'!$B118&gt;0,MIN(_xlfn.RANK.EQ('Robot Game Scores'!$I118,'Robot Game Scores'!$I$2:$I$201,0),NumberOfTeams),NumberOfTeams+1)</f>
        <v>1</v>
      </c>
      <c r="B118" s="38" t="str">
        <f t="array" ref="B118">XLOOKUP(117,'Team and Program Information'!$B$3:$B$202,'Team and Program Information'!$C$3:$C$202,"ERROR",0)</f>
        <v/>
      </c>
      <c r="C118" s="68" t="str">
        <f t="array" ref="C118">XLOOKUP('Robot Design Input'!$A118,'Team and Program Information'!$C$3:$C$202,'Team and Program Information'!$D$3:$D$202,"",0,)</f>
        <v>#VALUE!</v>
      </c>
      <c r="D118" s="67"/>
      <c r="E118" s="67"/>
      <c r="F118" s="67"/>
      <c r="G118" s="38"/>
      <c r="H118" s="38"/>
      <c r="I118" s="90">
        <f>IF('Robot Game Scores'!$B118&gt;0,MAX('Robot Game Scores'!$D118:$H118),0)</f>
        <v>0</v>
      </c>
    </row>
    <row r="119" ht="30.0" customHeight="1">
      <c r="A119" s="67">
        <f>IF('Robot Game Scores'!$B119&gt;0,MIN(_xlfn.RANK.EQ('Robot Game Scores'!$I119,'Robot Game Scores'!$I$2:$I$201,0),NumberOfTeams),NumberOfTeams+1)</f>
        <v>1</v>
      </c>
      <c r="B119" s="38" t="str">
        <f t="array" ref="B119">XLOOKUP(118,'Team and Program Information'!$B$3:$B$202,'Team and Program Information'!$C$3:$C$202,"ERROR",0)</f>
        <v/>
      </c>
      <c r="C119" s="68" t="str">
        <f t="array" ref="C119">XLOOKUP('Robot Design Input'!$A119,'Team and Program Information'!$C$3:$C$202,'Team and Program Information'!$D$3:$D$202,"",0,)</f>
        <v>#VALUE!</v>
      </c>
      <c r="D119" s="67"/>
      <c r="E119" s="67"/>
      <c r="F119" s="67"/>
      <c r="G119" s="38"/>
      <c r="H119" s="38"/>
      <c r="I119" s="90">
        <f>IF('Robot Game Scores'!$B119&gt;0,MAX('Robot Game Scores'!$D119:$H119),0)</f>
        <v>0</v>
      </c>
    </row>
    <row r="120" ht="30.0" customHeight="1">
      <c r="A120" s="67">
        <f>IF('Robot Game Scores'!$B120&gt;0,MIN(_xlfn.RANK.EQ('Robot Game Scores'!$I120,'Robot Game Scores'!$I$2:$I$201,0),NumberOfTeams),NumberOfTeams+1)</f>
        <v>1</v>
      </c>
      <c r="B120" s="38" t="str">
        <f t="array" ref="B120">XLOOKUP(119,'Team and Program Information'!$B$3:$B$202,'Team and Program Information'!$C$3:$C$202,"ERROR",0)</f>
        <v/>
      </c>
      <c r="C120" s="68" t="str">
        <f t="array" ref="C120">XLOOKUP('Robot Design Input'!$A120,'Team and Program Information'!$C$3:$C$202,'Team and Program Information'!$D$3:$D$202,"",0,)</f>
        <v>#VALUE!</v>
      </c>
      <c r="D120" s="67"/>
      <c r="E120" s="67"/>
      <c r="F120" s="67"/>
      <c r="G120" s="38"/>
      <c r="H120" s="38"/>
      <c r="I120" s="90">
        <f>IF('Robot Game Scores'!$B120&gt;0,MAX('Robot Game Scores'!$D120:$H120),0)</f>
        <v>0</v>
      </c>
    </row>
    <row r="121" ht="30.0" customHeight="1">
      <c r="A121" s="67">
        <f>IF('Robot Game Scores'!$B121&gt;0,MIN(_xlfn.RANK.EQ('Robot Game Scores'!$I121,'Robot Game Scores'!$I$2:$I$201,0),NumberOfTeams),NumberOfTeams+1)</f>
        <v>1</v>
      </c>
      <c r="B121" s="38" t="str">
        <f t="array" ref="B121">XLOOKUP(120,'Team and Program Information'!$B$3:$B$202,'Team and Program Information'!$C$3:$C$202,"ERROR",0)</f>
        <v/>
      </c>
      <c r="C121" s="68" t="str">
        <f t="array" ref="C121">XLOOKUP('Robot Design Input'!$A121,'Team and Program Information'!$C$3:$C$202,'Team and Program Information'!$D$3:$D$202,"",0,)</f>
        <v>#VALUE!</v>
      </c>
      <c r="D121" s="67"/>
      <c r="E121" s="67"/>
      <c r="F121" s="67"/>
      <c r="G121" s="38"/>
      <c r="H121" s="38"/>
      <c r="I121" s="90">
        <f>IF('Robot Game Scores'!$B121&gt;0,MAX('Robot Game Scores'!$D121:$H121),0)</f>
        <v>0</v>
      </c>
    </row>
    <row r="122" ht="30.0" customHeight="1">
      <c r="A122" s="67">
        <f>IF('Robot Game Scores'!$B122&gt;0,MIN(_xlfn.RANK.EQ('Robot Game Scores'!$I122,'Robot Game Scores'!$I$2:$I$201,0),NumberOfTeams),NumberOfTeams+1)</f>
        <v>1</v>
      </c>
      <c r="B122" s="38" t="str">
        <f t="array" ref="B122">XLOOKUP(121,'Team and Program Information'!$B$3:$B$202,'Team and Program Information'!$C$3:$C$202,"ERROR",0)</f>
        <v/>
      </c>
      <c r="C122" s="68" t="str">
        <f t="array" ref="C122">XLOOKUP('Robot Design Input'!$A122,'Team and Program Information'!$C$3:$C$202,'Team and Program Information'!$D$3:$D$202,"",0,)</f>
        <v>#VALUE!</v>
      </c>
      <c r="D122" s="67"/>
      <c r="E122" s="67"/>
      <c r="F122" s="67"/>
      <c r="G122" s="38"/>
      <c r="H122" s="38"/>
      <c r="I122" s="90">
        <f>IF('Robot Game Scores'!$B122&gt;0,MAX('Robot Game Scores'!$D122:$H122),0)</f>
        <v>0</v>
      </c>
    </row>
    <row r="123" ht="30.0" customHeight="1">
      <c r="A123" s="67">
        <f>IF('Robot Game Scores'!$B123&gt;0,MIN(_xlfn.RANK.EQ('Robot Game Scores'!$I123,'Robot Game Scores'!$I$2:$I$201,0),NumberOfTeams),NumberOfTeams+1)</f>
        <v>1</v>
      </c>
      <c r="B123" s="38" t="str">
        <f t="array" ref="B123">XLOOKUP(122,'Team and Program Information'!$B$3:$B$202,'Team and Program Information'!$C$3:$C$202,"ERROR",0)</f>
        <v/>
      </c>
      <c r="C123" s="68" t="str">
        <f t="array" ref="C123">XLOOKUP('Robot Design Input'!$A123,'Team and Program Information'!$C$3:$C$202,'Team and Program Information'!$D$3:$D$202,"",0,)</f>
        <v>#VALUE!</v>
      </c>
      <c r="D123" s="67"/>
      <c r="E123" s="67"/>
      <c r="F123" s="67"/>
      <c r="G123" s="38"/>
      <c r="H123" s="38"/>
      <c r="I123" s="90">
        <f>IF('Robot Game Scores'!$B123&gt;0,MAX('Robot Game Scores'!$D123:$H123),0)</f>
        <v>0</v>
      </c>
    </row>
    <row r="124" ht="30.0" customHeight="1">
      <c r="A124" s="67">
        <f>IF('Robot Game Scores'!$B124&gt;0,MIN(_xlfn.RANK.EQ('Robot Game Scores'!$I124,'Robot Game Scores'!$I$2:$I$201,0),NumberOfTeams),NumberOfTeams+1)</f>
        <v>1</v>
      </c>
      <c r="B124" s="38" t="str">
        <f t="array" ref="B124">XLOOKUP(123,'Team and Program Information'!$B$3:$B$202,'Team and Program Information'!$C$3:$C$202,"ERROR",0)</f>
        <v/>
      </c>
      <c r="C124" s="68" t="str">
        <f t="array" ref="C124">XLOOKUP('Robot Design Input'!$A124,'Team and Program Information'!$C$3:$C$202,'Team and Program Information'!$D$3:$D$202,"",0,)</f>
        <v>#VALUE!</v>
      </c>
      <c r="D124" s="67"/>
      <c r="E124" s="67"/>
      <c r="F124" s="67"/>
      <c r="G124" s="38"/>
      <c r="H124" s="38"/>
      <c r="I124" s="90">
        <f>IF('Robot Game Scores'!$B124&gt;0,MAX('Robot Game Scores'!$D124:$H124),0)</f>
        <v>0</v>
      </c>
    </row>
    <row r="125" ht="30.0" customHeight="1">
      <c r="A125" s="67">
        <f>IF('Robot Game Scores'!$B125&gt;0,MIN(_xlfn.RANK.EQ('Robot Game Scores'!$I125,'Robot Game Scores'!$I$2:$I$201,0),NumberOfTeams),NumberOfTeams+1)</f>
        <v>1</v>
      </c>
      <c r="B125" s="38" t="str">
        <f t="array" ref="B125">XLOOKUP(124,'Team and Program Information'!$B$3:$B$202,'Team and Program Information'!$C$3:$C$202,"ERROR",0)</f>
        <v/>
      </c>
      <c r="C125" s="68" t="str">
        <f t="array" ref="C125">XLOOKUP('Robot Design Input'!$A125,'Team and Program Information'!$C$3:$C$202,'Team and Program Information'!$D$3:$D$202,"",0,)</f>
        <v>#VALUE!</v>
      </c>
      <c r="D125" s="67"/>
      <c r="E125" s="67"/>
      <c r="F125" s="67"/>
      <c r="G125" s="38"/>
      <c r="H125" s="38"/>
      <c r="I125" s="90">
        <f>IF('Robot Game Scores'!$B125&gt;0,MAX('Robot Game Scores'!$D125:$H125),0)</f>
        <v>0</v>
      </c>
    </row>
    <row r="126" ht="30.0" customHeight="1">
      <c r="A126" s="67">
        <f>IF('Robot Game Scores'!$B126&gt;0,MIN(_xlfn.RANK.EQ('Robot Game Scores'!$I126,'Robot Game Scores'!$I$2:$I$201,0),NumberOfTeams),NumberOfTeams+1)</f>
        <v>1</v>
      </c>
      <c r="B126" s="38" t="str">
        <f t="array" ref="B126">XLOOKUP(125,'Team and Program Information'!$B$3:$B$202,'Team and Program Information'!$C$3:$C$202,"ERROR",0)</f>
        <v/>
      </c>
      <c r="C126" s="68" t="str">
        <f t="array" ref="C126">XLOOKUP('Robot Design Input'!$A126,'Team and Program Information'!$C$3:$C$202,'Team and Program Information'!$D$3:$D$202,"",0,)</f>
        <v>#VALUE!</v>
      </c>
      <c r="D126" s="67"/>
      <c r="E126" s="67"/>
      <c r="F126" s="67"/>
      <c r="G126" s="38"/>
      <c r="H126" s="38"/>
      <c r="I126" s="90">
        <f>IF('Robot Game Scores'!$B126&gt;0,MAX('Robot Game Scores'!$D126:$H126),0)</f>
        <v>0</v>
      </c>
    </row>
    <row r="127" ht="30.0" customHeight="1">
      <c r="A127" s="67">
        <f>IF('Robot Game Scores'!$B127&gt;0,MIN(_xlfn.RANK.EQ('Robot Game Scores'!$I127,'Robot Game Scores'!$I$2:$I$201,0),NumberOfTeams),NumberOfTeams+1)</f>
        <v>1</v>
      </c>
      <c r="B127" s="38" t="str">
        <f t="array" ref="B127">XLOOKUP(126,'Team and Program Information'!$B$3:$B$202,'Team and Program Information'!$C$3:$C$202,"ERROR",0)</f>
        <v/>
      </c>
      <c r="C127" s="68" t="str">
        <f t="array" ref="C127">XLOOKUP('Robot Design Input'!$A127,'Team and Program Information'!$C$3:$C$202,'Team and Program Information'!$D$3:$D$202,"",0,)</f>
        <v>#VALUE!</v>
      </c>
      <c r="D127" s="67"/>
      <c r="E127" s="67"/>
      <c r="F127" s="67"/>
      <c r="G127" s="38"/>
      <c r="H127" s="38"/>
      <c r="I127" s="90">
        <f>IF('Robot Game Scores'!$B127&gt;0,MAX('Robot Game Scores'!$D127:$H127),0)</f>
        <v>0</v>
      </c>
    </row>
    <row r="128" ht="30.0" customHeight="1">
      <c r="A128" s="67">
        <f>IF('Robot Game Scores'!$B128&gt;0,MIN(_xlfn.RANK.EQ('Robot Game Scores'!$I128,'Robot Game Scores'!$I$2:$I$201,0),NumberOfTeams),NumberOfTeams+1)</f>
        <v>1</v>
      </c>
      <c r="B128" s="38" t="str">
        <f t="array" ref="B128">XLOOKUP(127,'Team and Program Information'!$B$3:$B$202,'Team and Program Information'!$C$3:$C$202,"ERROR",0)</f>
        <v/>
      </c>
      <c r="C128" s="68" t="str">
        <f t="array" ref="C128">XLOOKUP('Robot Design Input'!$A128,'Team and Program Information'!$C$3:$C$202,'Team and Program Information'!$D$3:$D$202,"",0,)</f>
        <v>#VALUE!</v>
      </c>
      <c r="D128" s="67"/>
      <c r="E128" s="67"/>
      <c r="F128" s="67"/>
      <c r="G128" s="38"/>
      <c r="H128" s="38"/>
      <c r="I128" s="90">
        <f>IF('Robot Game Scores'!$B128&gt;0,MAX('Robot Game Scores'!$D128:$H128),0)</f>
        <v>0</v>
      </c>
    </row>
    <row r="129" ht="30.0" customHeight="1">
      <c r="A129" s="67">
        <f>IF('Robot Game Scores'!$B129&gt;0,MIN(_xlfn.RANK.EQ('Robot Game Scores'!$I129,'Robot Game Scores'!$I$2:$I$201,0),NumberOfTeams),NumberOfTeams+1)</f>
        <v>1</v>
      </c>
      <c r="B129" s="38" t="str">
        <f t="array" ref="B129">XLOOKUP(128,'Team and Program Information'!$B$3:$B$202,'Team and Program Information'!$C$3:$C$202,"ERROR",0)</f>
        <v/>
      </c>
      <c r="C129" s="68" t="str">
        <f t="array" ref="C129">XLOOKUP('Robot Design Input'!$A129,'Team and Program Information'!$C$3:$C$202,'Team and Program Information'!$D$3:$D$202,"",0,)</f>
        <v>#VALUE!</v>
      </c>
      <c r="D129" s="67"/>
      <c r="E129" s="67"/>
      <c r="F129" s="67"/>
      <c r="G129" s="38"/>
      <c r="H129" s="38"/>
      <c r="I129" s="90">
        <f>IF('Robot Game Scores'!$B129&gt;0,MAX('Robot Game Scores'!$D129:$H129),0)</f>
        <v>0</v>
      </c>
    </row>
    <row r="130" ht="30.0" customHeight="1">
      <c r="A130" s="67">
        <f>IF('Robot Game Scores'!$B130&gt;0,MIN(_xlfn.RANK.EQ('Robot Game Scores'!$I130,'Robot Game Scores'!$I$2:$I$201,0),NumberOfTeams),NumberOfTeams+1)</f>
        <v>1</v>
      </c>
      <c r="B130" s="38" t="str">
        <f t="array" ref="B130">XLOOKUP(129,'Team and Program Information'!$B$3:$B$202,'Team and Program Information'!$C$3:$C$202,"ERROR",0)</f>
        <v/>
      </c>
      <c r="C130" s="68" t="str">
        <f t="array" ref="C130">XLOOKUP('Robot Design Input'!$A130,'Team and Program Information'!$C$3:$C$202,'Team and Program Information'!$D$3:$D$202,"",0,)</f>
        <v>#VALUE!</v>
      </c>
      <c r="D130" s="67"/>
      <c r="E130" s="67"/>
      <c r="F130" s="67"/>
      <c r="G130" s="38"/>
      <c r="H130" s="38"/>
      <c r="I130" s="90">
        <f>IF('Robot Game Scores'!$B130&gt;0,MAX('Robot Game Scores'!$D130:$H130),0)</f>
        <v>0</v>
      </c>
    </row>
    <row r="131" ht="30.0" customHeight="1">
      <c r="A131" s="67">
        <f>IF('Robot Game Scores'!$B131&gt;0,MIN(_xlfn.RANK.EQ('Robot Game Scores'!$I131,'Robot Game Scores'!$I$2:$I$201,0),NumberOfTeams),NumberOfTeams+1)</f>
        <v>1</v>
      </c>
      <c r="B131" s="38" t="str">
        <f t="array" ref="B131">XLOOKUP(130,'Team and Program Information'!$B$3:$B$202,'Team and Program Information'!$C$3:$C$202,"ERROR",0)</f>
        <v/>
      </c>
      <c r="C131" s="68" t="str">
        <f t="array" ref="C131">XLOOKUP('Robot Design Input'!$A131,'Team and Program Information'!$C$3:$C$202,'Team and Program Information'!$D$3:$D$202,"",0,)</f>
        <v>#VALUE!</v>
      </c>
      <c r="D131" s="67"/>
      <c r="E131" s="67"/>
      <c r="F131" s="67"/>
      <c r="G131" s="38"/>
      <c r="H131" s="38"/>
      <c r="I131" s="90">
        <f>IF('Robot Game Scores'!$B131&gt;0,MAX('Robot Game Scores'!$D131:$H131),0)</f>
        <v>0</v>
      </c>
    </row>
    <row r="132" ht="30.0" customHeight="1">
      <c r="A132" s="67">
        <f>IF('Robot Game Scores'!$B132&gt;0,MIN(_xlfn.RANK.EQ('Robot Game Scores'!$I132,'Robot Game Scores'!$I$2:$I$201,0),NumberOfTeams),NumberOfTeams+1)</f>
        <v>1</v>
      </c>
      <c r="B132" s="38" t="str">
        <f t="array" ref="B132">XLOOKUP(131,'Team and Program Information'!$B$3:$B$202,'Team and Program Information'!$C$3:$C$202,"ERROR",0)</f>
        <v/>
      </c>
      <c r="C132" s="68" t="str">
        <f t="array" ref="C132">XLOOKUP('Robot Design Input'!$A132,'Team and Program Information'!$C$3:$C$202,'Team and Program Information'!$D$3:$D$202,"",0,)</f>
        <v>#VALUE!</v>
      </c>
      <c r="D132" s="67"/>
      <c r="E132" s="67"/>
      <c r="F132" s="67"/>
      <c r="G132" s="38"/>
      <c r="H132" s="38"/>
      <c r="I132" s="90">
        <f>IF('Robot Game Scores'!$B132&gt;0,MAX('Robot Game Scores'!$D132:$H132),0)</f>
        <v>0</v>
      </c>
    </row>
    <row r="133" ht="30.0" customHeight="1">
      <c r="A133" s="67">
        <f>IF('Robot Game Scores'!$B133&gt;0,MIN(_xlfn.RANK.EQ('Robot Game Scores'!$I133,'Robot Game Scores'!$I$2:$I$201,0),NumberOfTeams),NumberOfTeams+1)</f>
        <v>1</v>
      </c>
      <c r="B133" s="38" t="str">
        <f t="array" ref="B133">XLOOKUP(132,'Team and Program Information'!$B$3:$B$202,'Team and Program Information'!$C$3:$C$202,"ERROR",0)</f>
        <v/>
      </c>
      <c r="C133" s="68" t="str">
        <f t="array" ref="C133">XLOOKUP('Robot Design Input'!$A133,'Team and Program Information'!$C$3:$C$202,'Team and Program Information'!$D$3:$D$202,"",0,)</f>
        <v>#VALUE!</v>
      </c>
      <c r="D133" s="67"/>
      <c r="E133" s="67"/>
      <c r="F133" s="67"/>
      <c r="G133" s="38"/>
      <c r="H133" s="38"/>
      <c r="I133" s="90">
        <f>IF('Robot Game Scores'!$B133&gt;0,MAX('Robot Game Scores'!$D133:$H133),0)</f>
        <v>0</v>
      </c>
    </row>
    <row r="134" ht="30.0" customHeight="1">
      <c r="A134" s="67">
        <f>IF('Robot Game Scores'!$B134&gt;0,MIN(_xlfn.RANK.EQ('Robot Game Scores'!$I134,'Robot Game Scores'!$I$2:$I$201,0),NumberOfTeams),NumberOfTeams+1)</f>
        <v>1</v>
      </c>
      <c r="B134" s="38" t="str">
        <f t="array" ref="B134">XLOOKUP(133,'Team and Program Information'!$B$3:$B$202,'Team and Program Information'!$C$3:$C$202,"ERROR",0)</f>
        <v/>
      </c>
      <c r="C134" s="68" t="str">
        <f t="array" ref="C134">XLOOKUP('Robot Design Input'!$A134,'Team and Program Information'!$C$3:$C$202,'Team and Program Information'!$D$3:$D$202,"",0,)</f>
        <v>#VALUE!</v>
      </c>
      <c r="D134" s="67"/>
      <c r="E134" s="67"/>
      <c r="F134" s="67"/>
      <c r="G134" s="38"/>
      <c r="H134" s="38"/>
      <c r="I134" s="90">
        <f>IF('Robot Game Scores'!$B134&gt;0,MAX('Robot Game Scores'!$D134:$H134),0)</f>
        <v>0</v>
      </c>
    </row>
    <row r="135" ht="30.0" customHeight="1">
      <c r="A135" s="67">
        <f>IF('Robot Game Scores'!$B135&gt;0,MIN(_xlfn.RANK.EQ('Robot Game Scores'!$I135,'Robot Game Scores'!$I$2:$I$201,0),NumberOfTeams),NumberOfTeams+1)</f>
        <v>1</v>
      </c>
      <c r="B135" s="38" t="str">
        <f t="array" ref="B135">XLOOKUP(134,'Team and Program Information'!$B$3:$B$202,'Team and Program Information'!$C$3:$C$202,"ERROR",0)</f>
        <v/>
      </c>
      <c r="C135" s="68" t="str">
        <f t="array" ref="C135">XLOOKUP('Robot Design Input'!$A135,'Team and Program Information'!$C$3:$C$202,'Team and Program Information'!$D$3:$D$202,"",0,)</f>
        <v>#VALUE!</v>
      </c>
      <c r="D135" s="67"/>
      <c r="E135" s="67"/>
      <c r="F135" s="67"/>
      <c r="G135" s="38"/>
      <c r="H135" s="38"/>
      <c r="I135" s="90">
        <f>IF('Robot Game Scores'!$B135&gt;0,MAX('Robot Game Scores'!$D135:$H135),0)</f>
        <v>0</v>
      </c>
    </row>
    <row r="136" ht="30.0" customHeight="1">
      <c r="A136" s="67">
        <f>IF('Robot Game Scores'!$B136&gt;0,MIN(_xlfn.RANK.EQ('Robot Game Scores'!$I136,'Robot Game Scores'!$I$2:$I$201,0),NumberOfTeams),NumberOfTeams+1)</f>
        <v>1</v>
      </c>
      <c r="B136" s="38" t="str">
        <f t="array" ref="B136">XLOOKUP(135,'Team and Program Information'!$B$3:$B$202,'Team and Program Information'!$C$3:$C$202,"ERROR",0)</f>
        <v/>
      </c>
      <c r="C136" s="68" t="str">
        <f t="array" ref="C136">XLOOKUP('Robot Design Input'!$A136,'Team and Program Information'!$C$3:$C$202,'Team and Program Information'!$D$3:$D$202,"",0,)</f>
        <v>#VALUE!</v>
      </c>
      <c r="D136" s="67"/>
      <c r="E136" s="67"/>
      <c r="F136" s="67"/>
      <c r="G136" s="38"/>
      <c r="H136" s="38"/>
      <c r="I136" s="90">
        <f>IF('Robot Game Scores'!$B136&gt;0,MAX('Robot Game Scores'!$D136:$H136),0)</f>
        <v>0</v>
      </c>
    </row>
    <row r="137" ht="30.0" customHeight="1">
      <c r="A137" s="67">
        <f>IF('Robot Game Scores'!$B137&gt;0,MIN(_xlfn.RANK.EQ('Robot Game Scores'!$I137,'Robot Game Scores'!$I$2:$I$201,0),NumberOfTeams),NumberOfTeams+1)</f>
        <v>1</v>
      </c>
      <c r="B137" s="38" t="str">
        <f t="array" ref="B137">XLOOKUP(136,'Team and Program Information'!$B$3:$B$202,'Team and Program Information'!$C$3:$C$202,"ERROR",0)</f>
        <v/>
      </c>
      <c r="C137" s="68" t="str">
        <f t="array" ref="C137">XLOOKUP('Robot Design Input'!$A137,'Team and Program Information'!$C$3:$C$202,'Team and Program Information'!$D$3:$D$202,"",0,)</f>
        <v>#VALUE!</v>
      </c>
      <c r="D137" s="67"/>
      <c r="E137" s="67"/>
      <c r="F137" s="67"/>
      <c r="G137" s="38"/>
      <c r="H137" s="38"/>
      <c r="I137" s="90">
        <f>IF('Robot Game Scores'!$B137&gt;0,MAX('Robot Game Scores'!$D137:$H137),0)</f>
        <v>0</v>
      </c>
    </row>
    <row r="138" ht="30.0" customHeight="1">
      <c r="A138" s="67">
        <f>IF('Robot Game Scores'!$B138&gt;0,MIN(_xlfn.RANK.EQ('Robot Game Scores'!$I138,'Robot Game Scores'!$I$2:$I$201,0),NumberOfTeams),NumberOfTeams+1)</f>
        <v>1</v>
      </c>
      <c r="B138" s="38" t="str">
        <f t="array" ref="B138">XLOOKUP(137,'Team and Program Information'!$B$3:$B$202,'Team and Program Information'!$C$3:$C$202,"ERROR",0)</f>
        <v/>
      </c>
      <c r="C138" s="68" t="str">
        <f t="array" ref="C138">XLOOKUP('Robot Design Input'!$A138,'Team and Program Information'!$C$3:$C$202,'Team and Program Information'!$D$3:$D$202,"",0,)</f>
        <v>#VALUE!</v>
      </c>
      <c r="D138" s="67"/>
      <c r="E138" s="67"/>
      <c r="F138" s="67"/>
      <c r="G138" s="38"/>
      <c r="H138" s="38"/>
      <c r="I138" s="90">
        <f>IF('Robot Game Scores'!$B138&gt;0,MAX('Robot Game Scores'!$D138:$H138),0)</f>
        <v>0</v>
      </c>
    </row>
    <row r="139" ht="30.0" customHeight="1">
      <c r="A139" s="67">
        <f>IF('Robot Game Scores'!$B139&gt;0,MIN(_xlfn.RANK.EQ('Robot Game Scores'!$I139,'Robot Game Scores'!$I$2:$I$201,0),NumberOfTeams),NumberOfTeams+1)</f>
        <v>1</v>
      </c>
      <c r="B139" s="38" t="str">
        <f t="array" ref="B139">XLOOKUP(138,'Team and Program Information'!$B$3:$B$202,'Team and Program Information'!$C$3:$C$202,"ERROR",0)</f>
        <v/>
      </c>
      <c r="C139" s="68" t="str">
        <f t="array" ref="C139">XLOOKUP('Robot Design Input'!$A139,'Team and Program Information'!$C$3:$C$202,'Team and Program Information'!$D$3:$D$202,"",0,)</f>
        <v>#VALUE!</v>
      </c>
      <c r="D139" s="67"/>
      <c r="E139" s="67"/>
      <c r="F139" s="67"/>
      <c r="G139" s="38"/>
      <c r="H139" s="38"/>
      <c r="I139" s="90">
        <f>IF('Robot Game Scores'!$B139&gt;0,MAX('Robot Game Scores'!$D139:$H139),0)</f>
        <v>0</v>
      </c>
    </row>
    <row r="140" ht="30.0" customHeight="1">
      <c r="A140" s="67">
        <f>IF('Robot Game Scores'!$B140&gt;0,MIN(_xlfn.RANK.EQ('Robot Game Scores'!$I140,'Robot Game Scores'!$I$2:$I$201,0),NumberOfTeams),NumberOfTeams+1)</f>
        <v>1</v>
      </c>
      <c r="B140" s="38" t="str">
        <f t="array" ref="B140">XLOOKUP(139,'Team and Program Information'!$B$3:$B$202,'Team and Program Information'!$C$3:$C$202,"ERROR",0)</f>
        <v/>
      </c>
      <c r="C140" s="68" t="str">
        <f t="array" ref="C140">XLOOKUP('Robot Design Input'!$A140,'Team and Program Information'!$C$3:$C$202,'Team and Program Information'!$D$3:$D$202,"",0,)</f>
        <v>#VALUE!</v>
      </c>
      <c r="D140" s="67"/>
      <c r="E140" s="67"/>
      <c r="F140" s="67"/>
      <c r="G140" s="38"/>
      <c r="H140" s="38"/>
      <c r="I140" s="90">
        <f>IF('Robot Game Scores'!$B140&gt;0,MAX('Robot Game Scores'!$D140:$H140),0)</f>
        <v>0</v>
      </c>
    </row>
    <row r="141" ht="30.0" customHeight="1">
      <c r="A141" s="67">
        <f>IF('Robot Game Scores'!$B141&gt;0,MIN(_xlfn.RANK.EQ('Robot Game Scores'!$I141,'Robot Game Scores'!$I$2:$I$201,0),NumberOfTeams),NumberOfTeams+1)</f>
        <v>1</v>
      </c>
      <c r="B141" s="38" t="str">
        <f t="array" ref="B141">XLOOKUP(140,'Team and Program Information'!$B$3:$B$202,'Team and Program Information'!$C$3:$C$202,"ERROR",0)</f>
        <v/>
      </c>
      <c r="C141" s="68" t="str">
        <f t="array" ref="C141">XLOOKUP('Robot Design Input'!$A141,'Team and Program Information'!$C$3:$C$202,'Team and Program Information'!$D$3:$D$202,"",0,)</f>
        <v>#VALUE!</v>
      </c>
      <c r="D141" s="67"/>
      <c r="E141" s="67"/>
      <c r="F141" s="67"/>
      <c r="G141" s="38"/>
      <c r="H141" s="38"/>
      <c r="I141" s="90">
        <f>IF('Robot Game Scores'!$B141&gt;0,MAX('Robot Game Scores'!$D141:$H141),0)</f>
        <v>0</v>
      </c>
    </row>
    <row r="142" ht="30.0" customHeight="1">
      <c r="A142" s="67">
        <f>IF('Robot Game Scores'!$B142&gt;0,MIN(_xlfn.RANK.EQ('Robot Game Scores'!$I142,'Robot Game Scores'!$I$2:$I$201,0),NumberOfTeams),NumberOfTeams+1)</f>
        <v>1</v>
      </c>
      <c r="B142" s="38" t="str">
        <f t="array" ref="B142">XLOOKUP(141,'Team and Program Information'!$B$3:$B$202,'Team and Program Information'!$C$3:$C$202,"ERROR",0)</f>
        <v/>
      </c>
      <c r="C142" s="68" t="str">
        <f t="array" ref="C142">XLOOKUP('Robot Design Input'!$A142,'Team and Program Information'!$C$3:$C$202,'Team and Program Information'!$D$3:$D$202,"",0,)</f>
        <v>#VALUE!</v>
      </c>
      <c r="D142" s="67"/>
      <c r="E142" s="67"/>
      <c r="F142" s="67"/>
      <c r="G142" s="38"/>
      <c r="H142" s="38"/>
      <c r="I142" s="90">
        <f>IF('Robot Game Scores'!$B142&gt;0,MAX('Robot Game Scores'!$D142:$H142),0)</f>
        <v>0</v>
      </c>
    </row>
    <row r="143" ht="30.0" customHeight="1">
      <c r="A143" s="67">
        <f>IF('Robot Game Scores'!$B143&gt;0,MIN(_xlfn.RANK.EQ('Robot Game Scores'!$I143,'Robot Game Scores'!$I$2:$I$201,0),NumberOfTeams),NumberOfTeams+1)</f>
        <v>1</v>
      </c>
      <c r="B143" s="38" t="str">
        <f t="array" ref="B143">XLOOKUP(142,'Team and Program Information'!$B$3:$B$202,'Team and Program Information'!$C$3:$C$202,"ERROR",0)</f>
        <v/>
      </c>
      <c r="C143" s="68" t="str">
        <f t="array" ref="C143">XLOOKUP('Robot Design Input'!$A143,'Team and Program Information'!$C$3:$C$202,'Team and Program Information'!$D$3:$D$202,"",0,)</f>
        <v>#VALUE!</v>
      </c>
      <c r="D143" s="67"/>
      <c r="E143" s="67"/>
      <c r="F143" s="67"/>
      <c r="G143" s="38"/>
      <c r="H143" s="38"/>
      <c r="I143" s="90">
        <f>IF('Robot Game Scores'!$B143&gt;0,MAX('Robot Game Scores'!$D143:$H143),0)</f>
        <v>0</v>
      </c>
    </row>
    <row r="144" ht="30.0" customHeight="1">
      <c r="A144" s="67">
        <f>IF('Robot Game Scores'!$B144&gt;0,MIN(_xlfn.RANK.EQ('Robot Game Scores'!$I144,'Robot Game Scores'!$I$2:$I$201,0),NumberOfTeams),NumberOfTeams+1)</f>
        <v>1</v>
      </c>
      <c r="B144" s="38" t="str">
        <f t="array" ref="B144">XLOOKUP(143,'Team and Program Information'!$B$3:$B$202,'Team and Program Information'!$C$3:$C$202,"ERROR",0)</f>
        <v/>
      </c>
      <c r="C144" s="68" t="str">
        <f t="array" ref="C144">XLOOKUP('Robot Design Input'!$A144,'Team and Program Information'!$C$3:$C$202,'Team and Program Information'!$D$3:$D$202,"",0,)</f>
        <v>#VALUE!</v>
      </c>
      <c r="D144" s="67"/>
      <c r="E144" s="67"/>
      <c r="F144" s="67"/>
      <c r="G144" s="38"/>
      <c r="H144" s="38"/>
      <c r="I144" s="90">
        <f>IF('Robot Game Scores'!$B144&gt;0,MAX('Robot Game Scores'!$D144:$H144),0)</f>
        <v>0</v>
      </c>
    </row>
    <row r="145" ht="30.0" customHeight="1">
      <c r="A145" s="67">
        <f>IF('Robot Game Scores'!$B145&gt;0,MIN(_xlfn.RANK.EQ('Robot Game Scores'!$I145,'Robot Game Scores'!$I$2:$I$201,0),NumberOfTeams),NumberOfTeams+1)</f>
        <v>1</v>
      </c>
      <c r="B145" s="38" t="str">
        <f t="array" ref="B145">XLOOKUP(144,'Team and Program Information'!$B$3:$B$202,'Team and Program Information'!$C$3:$C$202,"ERROR",0)</f>
        <v/>
      </c>
      <c r="C145" s="68" t="str">
        <f t="array" ref="C145">XLOOKUP('Robot Design Input'!$A145,'Team and Program Information'!$C$3:$C$202,'Team and Program Information'!$D$3:$D$202,"",0,)</f>
        <v>#VALUE!</v>
      </c>
      <c r="D145" s="67"/>
      <c r="E145" s="67"/>
      <c r="F145" s="67"/>
      <c r="G145" s="38"/>
      <c r="H145" s="38"/>
      <c r="I145" s="90">
        <f>IF('Robot Game Scores'!$B145&gt;0,MAX('Robot Game Scores'!$D145:$H145),0)</f>
        <v>0</v>
      </c>
    </row>
    <row r="146" ht="30.0" customHeight="1">
      <c r="A146" s="67">
        <f>IF('Robot Game Scores'!$B146&gt;0,MIN(_xlfn.RANK.EQ('Robot Game Scores'!$I146,'Robot Game Scores'!$I$2:$I$201,0),NumberOfTeams),NumberOfTeams+1)</f>
        <v>1</v>
      </c>
      <c r="B146" s="38" t="str">
        <f t="array" ref="B146">XLOOKUP(145,'Team and Program Information'!$B$3:$B$202,'Team and Program Information'!$C$3:$C$202,"ERROR",0)</f>
        <v/>
      </c>
      <c r="C146" s="68" t="str">
        <f t="array" ref="C146">XLOOKUP('Robot Design Input'!$A146,'Team and Program Information'!$C$3:$C$202,'Team and Program Information'!$D$3:$D$202,"",0,)</f>
        <v>#VALUE!</v>
      </c>
      <c r="D146" s="67"/>
      <c r="E146" s="67"/>
      <c r="F146" s="67"/>
      <c r="G146" s="38"/>
      <c r="H146" s="38"/>
      <c r="I146" s="90">
        <f>IF('Robot Game Scores'!$B146&gt;0,MAX('Robot Game Scores'!$D146:$H146),0)</f>
        <v>0</v>
      </c>
    </row>
    <row r="147" ht="30.0" customHeight="1">
      <c r="A147" s="67">
        <f>IF('Robot Game Scores'!$B147&gt;0,MIN(_xlfn.RANK.EQ('Robot Game Scores'!$I147,'Robot Game Scores'!$I$2:$I$201,0),NumberOfTeams),NumberOfTeams+1)</f>
        <v>1</v>
      </c>
      <c r="B147" s="38" t="str">
        <f t="array" ref="B147">XLOOKUP(146,'Team and Program Information'!$B$3:$B$202,'Team and Program Information'!$C$3:$C$202,"ERROR",0)</f>
        <v/>
      </c>
      <c r="C147" s="68" t="str">
        <f t="array" ref="C147">XLOOKUP('Robot Design Input'!$A147,'Team and Program Information'!$C$3:$C$202,'Team and Program Information'!$D$3:$D$202,"",0,)</f>
        <v>#VALUE!</v>
      </c>
      <c r="D147" s="67"/>
      <c r="E147" s="67"/>
      <c r="F147" s="67"/>
      <c r="G147" s="38"/>
      <c r="H147" s="38"/>
      <c r="I147" s="90">
        <f>IF('Robot Game Scores'!$B147&gt;0,MAX('Robot Game Scores'!$D147:$H147),0)</f>
        <v>0</v>
      </c>
    </row>
    <row r="148" ht="30.0" customHeight="1">
      <c r="A148" s="67">
        <f>IF('Robot Game Scores'!$B148&gt;0,MIN(_xlfn.RANK.EQ('Robot Game Scores'!$I148,'Robot Game Scores'!$I$2:$I$201,0),NumberOfTeams),NumberOfTeams+1)</f>
        <v>1</v>
      </c>
      <c r="B148" s="38" t="str">
        <f t="array" ref="B148">XLOOKUP(147,'Team and Program Information'!$B$3:$B$202,'Team and Program Information'!$C$3:$C$202,"ERROR",0)</f>
        <v/>
      </c>
      <c r="C148" s="68" t="str">
        <f t="array" ref="C148">XLOOKUP('Robot Design Input'!$A148,'Team and Program Information'!$C$3:$C$202,'Team and Program Information'!$D$3:$D$202,"",0,)</f>
        <v>#VALUE!</v>
      </c>
      <c r="D148" s="67"/>
      <c r="E148" s="67"/>
      <c r="F148" s="67"/>
      <c r="G148" s="38"/>
      <c r="H148" s="38"/>
      <c r="I148" s="90">
        <f>IF('Robot Game Scores'!$B148&gt;0,MAX('Robot Game Scores'!$D148:$H148),0)</f>
        <v>0</v>
      </c>
    </row>
    <row r="149" ht="30.0" customHeight="1">
      <c r="A149" s="67">
        <f>IF('Robot Game Scores'!$B149&gt;0,MIN(_xlfn.RANK.EQ('Robot Game Scores'!$I149,'Robot Game Scores'!$I$2:$I$201,0),NumberOfTeams),NumberOfTeams+1)</f>
        <v>1</v>
      </c>
      <c r="B149" s="38" t="str">
        <f t="array" ref="B149">XLOOKUP(148,'Team and Program Information'!$B$3:$B$202,'Team and Program Information'!$C$3:$C$202,"ERROR",0)</f>
        <v/>
      </c>
      <c r="C149" s="68" t="str">
        <f t="array" ref="C149">XLOOKUP('Robot Design Input'!$A149,'Team and Program Information'!$C$3:$C$202,'Team and Program Information'!$D$3:$D$202,"",0,)</f>
        <v>#VALUE!</v>
      </c>
      <c r="D149" s="67"/>
      <c r="E149" s="67"/>
      <c r="F149" s="67"/>
      <c r="G149" s="38"/>
      <c r="H149" s="38"/>
      <c r="I149" s="90">
        <f>IF('Robot Game Scores'!$B149&gt;0,MAX('Robot Game Scores'!$D149:$H149),0)</f>
        <v>0</v>
      </c>
    </row>
    <row r="150" ht="30.0" customHeight="1">
      <c r="A150" s="67">
        <f>IF('Robot Game Scores'!$B150&gt;0,MIN(_xlfn.RANK.EQ('Robot Game Scores'!$I150,'Robot Game Scores'!$I$2:$I$201,0),NumberOfTeams),NumberOfTeams+1)</f>
        <v>1</v>
      </c>
      <c r="B150" s="38" t="str">
        <f t="array" ref="B150">XLOOKUP(149,'Team and Program Information'!$B$3:$B$202,'Team and Program Information'!$C$3:$C$202,"ERROR",0)</f>
        <v/>
      </c>
      <c r="C150" s="68" t="str">
        <f t="array" ref="C150">XLOOKUP('Robot Design Input'!$A150,'Team and Program Information'!$C$3:$C$202,'Team and Program Information'!$D$3:$D$202,"",0,)</f>
        <v>#VALUE!</v>
      </c>
      <c r="D150" s="67"/>
      <c r="E150" s="67"/>
      <c r="F150" s="67"/>
      <c r="G150" s="38"/>
      <c r="H150" s="38"/>
      <c r="I150" s="90">
        <f>IF('Robot Game Scores'!$B150&gt;0,MAX('Robot Game Scores'!$D150:$H150),0)</f>
        <v>0</v>
      </c>
    </row>
    <row r="151" ht="30.0" customHeight="1">
      <c r="A151" s="67">
        <f>IF('Robot Game Scores'!$B151&gt;0,MIN(_xlfn.RANK.EQ('Robot Game Scores'!$I151,'Robot Game Scores'!$I$2:$I$201,0),NumberOfTeams),NumberOfTeams+1)</f>
        <v>1</v>
      </c>
      <c r="B151" s="38" t="str">
        <f t="array" ref="B151">XLOOKUP(150,'Team and Program Information'!$B$3:$B$202,'Team and Program Information'!$C$3:$C$202,"ERROR",0)</f>
        <v/>
      </c>
      <c r="C151" s="68" t="str">
        <f t="array" ref="C151">XLOOKUP('Robot Design Input'!$A151,'Team and Program Information'!$C$3:$C$202,'Team and Program Information'!$D$3:$D$202,"",0,)</f>
        <v>#VALUE!</v>
      </c>
      <c r="D151" s="67"/>
      <c r="E151" s="67"/>
      <c r="F151" s="67"/>
      <c r="G151" s="38"/>
      <c r="H151" s="38"/>
      <c r="I151" s="90">
        <f>IF('Robot Game Scores'!$B151&gt;0,MAX('Robot Game Scores'!$D151:$H151),0)</f>
        <v>0</v>
      </c>
    </row>
    <row r="152" ht="30.0" customHeight="1">
      <c r="A152" s="67">
        <f>IF('Robot Game Scores'!$B152&gt;0,MIN(_xlfn.RANK.EQ('Robot Game Scores'!$I152,'Robot Game Scores'!$I$2:$I$201,0),NumberOfTeams),NumberOfTeams+1)</f>
        <v>1</v>
      </c>
      <c r="B152" s="38" t="str">
        <f t="array" ref="B152">XLOOKUP(151,'Team and Program Information'!$B$3:$B$202,'Team and Program Information'!$C$3:$C$202,"ERROR",0)</f>
        <v/>
      </c>
      <c r="C152" s="68" t="str">
        <f t="array" ref="C152">XLOOKUP('Robot Design Input'!$A152,'Team and Program Information'!$C$3:$C$202,'Team and Program Information'!$D$3:$D$202,"",0,)</f>
        <v>#VALUE!</v>
      </c>
      <c r="D152" s="67"/>
      <c r="E152" s="67"/>
      <c r="F152" s="67"/>
      <c r="G152" s="38"/>
      <c r="H152" s="38"/>
      <c r="I152" s="90">
        <f>IF('Robot Game Scores'!$B152&gt;0,MAX('Robot Game Scores'!$D152:$H152),0)</f>
        <v>0</v>
      </c>
    </row>
    <row r="153" ht="30.0" customHeight="1">
      <c r="A153" s="67">
        <f>IF('Robot Game Scores'!$B153&gt;0,MIN(_xlfn.RANK.EQ('Robot Game Scores'!$I153,'Robot Game Scores'!$I$2:$I$201,0),NumberOfTeams),NumberOfTeams+1)</f>
        <v>1</v>
      </c>
      <c r="B153" s="38" t="str">
        <f t="array" ref="B153">XLOOKUP(152,'Team and Program Information'!$B$3:$B$202,'Team and Program Information'!$C$3:$C$202,"ERROR",0)</f>
        <v/>
      </c>
      <c r="C153" s="68" t="str">
        <f t="array" ref="C153">XLOOKUP('Robot Design Input'!$A153,'Team and Program Information'!$C$3:$C$202,'Team and Program Information'!$D$3:$D$202,"",0,)</f>
        <v>#VALUE!</v>
      </c>
      <c r="D153" s="67"/>
      <c r="E153" s="67"/>
      <c r="F153" s="67"/>
      <c r="G153" s="38"/>
      <c r="H153" s="38"/>
      <c r="I153" s="90">
        <f>IF('Robot Game Scores'!$B153&gt;0,MAX('Robot Game Scores'!$D153:$H153),0)</f>
        <v>0</v>
      </c>
    </row>
    <row r="154" ht="30.0" customHeight="1">
      <c r="A154" s="67">
        <f>IF('Robot Game Scores'!$B154&gt;0,MIN(_xlfn.RANK.EQ('Robot Game Scores'!$I154,'Robot Game Scores'!$I$2:$I$201,0),NumberOfTeams),NumberOfTeams+1)</f>
        <v>1</v>
      </c>
      <c r="B154" s="38" t="str">
        <f t="array" ref="B154">XLOOKUP(153,'Team and Program Information'!$B$3:$B$202,'Team and Program Information'!$C$3:$C$202,"ERROR",0)</f>
        <v/>
      </c>
      <c r="C154" s="68" t="str">
        <f t="array" ref="C154">XLOOKUP('Robot Design Input'!$A154,'Team and Program Information'!$C$3:$C$202,'Team and Program Information'!$D$3:$D$202,"",0,)</f>
        <v>#VALUE!</v>
      </c>
      <c r="D154" s="67"/>
      <c r="E154" s="67"/>
      <c r="F154" s="67"/>
      <c r="G154" s="38"/>
      <c r="H154" s="38"/>
      <c r="I154" s="90">
        <f>IF('Robot Game Scores'!$B154&gt;0,MAX('Robot Game Scores'!$D154:$H154),0)</f>
        <v>0</v>
      </c>
    </row>
    <row r="155" ht="30.0" customHeight="1">
      <c r="A155" s="67">
        <f>IF('Robot Game Scores'!$B155&gt;0,MIN(_xlfn.RANK.EQ('Robot Game Scores'!$I155,'Robot Game Scores'!$I$2:$I$201,0),NumberOfTeams),NumberOfTeams+1)</f>
        <v>1</v>
      </c>
      <c r="B155" s="38" t="str">
        <f t="array" ref="B155">XLOOKUP(154,'Team and Program Information'!$B$3:$B$202,'Team and Program Information'!$C$3:$C$202,"ERROR",0)</f>
        <v/>
      </c>
      <c r="C155" s="68" t="str">
        <f t="array" ref="C155">XLOOKUP('Robot Design Input'!$A155,'Team and Program Information'!$C$3:$C$202,'Team and Program Information'!$D$3:$D$202,"",0,)</f>
        <v>#VALUE!</v>
      </c>
      <c r="D155" s="67"/>
      <c r="E155" s="67"/>
      <c r="F155" s="67"/>
      <c r="G155" s="38"/>
      <c r="H155" s="38"/>
      <c r="I155" s="90">
        <f>IF('Robot Game Scores'!$B155&gt;0,MAX('Robot Game Scores'!$D155:$H155),0)</f>
        <v>0</v>
      </c>
    </row>
    <row r="156" ht="30.0" customHeight="1">
      <c r="A156" s="67">
        <f>IF('Robot Game Scores'!$B156&gt;0,MIN(_xlfn.RANK.EQ('Robot Game Scores'!$I156,'Robot Game Scores'!$I$2:$I$201,0),NumberOfTeams),NumberOfTeams+1)</f>
        <v>1</v>
      </c>
      <c r="B156" s="38" t="str">
        <f t="array" ref="B156">XLOOKUP(155,'Team and Program Information'!$B$3:$B$202,'Team and Program Information'!$C$3:$C$202,"ERROR",0)</f>
        <v/>
      </c>
      <c r="C156" s="68" t="str">
        <f t="array" ref="C156">XLOOKUP('Robot Design Input'!$A156,'Team and Program Information'!$C$3:$C$202,'Team and Program Information'!$D$3:$D$202,"",0,)</f>
        <v>#VALUE!</v>
      </c>
      <c r="D156" s="67"/>
      <c r="E156" s="67"/>
      <c r="F156" s="67"/>
      <c r="G156" s="38"/>
      <c r="H156" s="38"/>
      <c r="I156" s="90">
        <f>IF('Robot Game Scores'!$B156&gt;0,MAX('Robot Game Scores'!$D156:$H156),0)</f>
        <v>0</v>
      </c>
    </row>
    <row r="157" ht="30.0" customHeight="1">
      <c r="A157" s="67">
        <f>IF('Robot Game Scores'!$B157&gt;0,MIN(_xlfn.RANK.EQ('Robot Game Scores'!$I157,'Robot Game Scores'!$I$2:$I$201,0),NumberOfTeams),NumberOfTeams+1)</f>
        <v>1</v>
      </c>
      <c r="B157" s="38" t="str">
        <f t="array" ref="B157">XLOOKUP(156,'Team and Program Information'!$B$3:$B$202,'Team and Program Information'!$C$3:$C$202,"ERROR",0)</f>
        <v/>
      </c>
      <c r="C157" s="68" t="str">
        <f t="array" ref="C157">XLOOKUP('Robot Design Input'!$A157,'Team and Program Information'!$C$3:$C$202,'Team and Program Information'!$D$3:$D$202,"",0,)</f>
        <v>#VALUE!</v>
      </c>
      <c r="D157" s="67"/>
      <c r="E157" s="67"/>
      <c r="F157" s="67"/>
      <c r="G157" s="38"/>
      <c r="H157" s="38"/>
      <c r="I157" s="90">
        <f>IF('Robot Game Scores'!$B157&gt;0,MAX('Robot Game Scores'!$D157:$H157),0)</f>
        <v>0</v>
      </c>
    </row>
    <row r="158" ht="30.0" customHeight="1">
      <c r="A158" s="67">
        <f>IF('Robot Game Scores'!$B158&gt;0,MIN(_xlfn.RANK.EQ('Robot Game Scores'!$I158,'Robot Game Scores'!$I$2:$I$201,0),NumberOfTeams),NumberOfTeams+1)</f>
        <v>1</v>
      </c>
      <c r="B158" s="38" t="str">
        <f t="array" ref="B158">XLOOKUP(157,'Team and Program Information'!$B$3:$B$202,'Team and Program Information'!$C$3:$C$202,"ERROR",0)</f>
        <v/>
      </c>
      <c r="C158" s="68" t="str">
        <f t="array" ref="C158">XLOOKUP('Robot Design Input'!$A158,'Team and Program Information'!$C$3:$C$202,'Team and Program Information'!$D$3:$D$202,"",0,)</f>
        <v>#VALUE!</v>
      </c>
      <c r="D158" s="67"/>
      <c r="E158" s="67"/>
      <c r="F158" s="67"/>
      <c r="G158" s="38"/>
      <c r="H158" s="38"/>
      <c r="I158" s="90">
        <f>IF('Robot Game Scores'!$B158&gt;0,MAX('Robot Game Scores'!$D158:$H158),0)</f>
        <v>0</v>
      </c>
    </row>
    <row r="159" ht="30.0" customHeight="1">
      <c r="A159" s="67">
        <f>IF('Robot Game Scores'!$B159&gt;0,MIN(_xlfn.RANK.EQ('Robot Game Scores'!$I159,'Robot Game Scores'!$I$2:$I$201,0),NumberOfTeams),NumberOfTeams+1)</f>
        <v>1</v>
      </c>
      <c r="B159" s="38" t="str">
        <f t="array" ref="B159">XLOOKUP(158,'Team and Program Information'!$B$3:$B$202,'Team and Program Information'!$C$3:$C$202,"ERROR",0)</f>
        <v/>
      </c>
      <c r="C159" s="68" t="str">
        <f t="array" ref="C159">XLOOKUP('Robot Design Input'!$A159,'Team and Program Information'!$C$3:$C$202,'Team and Program Information'!$D$3:$D$202,"",0,)</f>
        <v>#VALUE!</v>
      </c>
      <c r="D159" s="67"/>
      <c r="E159" s="67"/>
      <c r="F159" s="67"/>
      <c r="G159" s="38"/>
      <c r="H159" s="38"/>
      <c r="I159" s="90">
        <f>IF('Robot Game Scores'!$B159&gt;0,MAX('Robot Game Scores'!$D159:$H159),0)</f>
        <v>0</v>
      </c>
    </row>
    <row r="160" ht="30.0" customHeight="1">
      <c r="A160" s="67">
        <f>IF('Robot Game Scores'!$B160&gt;0,MIN(_xlfn.RANK.EQ('Robot Game Scores'!$I160,'Robot Game Scores'!$I$2:$I$201,0),NumberOfTeams),NumberOfTeams+1)</f>
        <v>1</v>
      </c>
      <c r="B160" s="38" t="str">
        <f t="array" ref="B160">XLOOKUP(159,'Team and Program Information'!$B$3:$B$202,'Team and Program Information'!$C$3:$C$202,"ERROR",0)</f>
        <v/>
      </c>
      <c r="C160" s="68" t="str">
        <f t="array" ref="C160">XLOOKUP('Robot Design Input'!$A160,'Team and Program Information'!$C$3:$C$202,'Team and Program Information'!$D$3:$D$202,"",0,)</f>
        <v>#VALUE!</v>
      </c>
      <c r="D160" s="67"/>
      <c r="E160" s="67"/>
      <c r="F160" s="67"/>
      <c r="G160" s="38"/>
      <c r="H160" s="38"/>
      <c r="I160" s="90">
        <f>IF('Robot Game Scores'!$B160&gt;0,MAX('Robot Game Scores'!$D160:$H160),0)</f>
        <v>0</v>
      </c>
    </row>
    <row r="161" ht="30.0" customHeight="1">
      <c r="A161" s="67">
        <f>IF('Robot Game Scores'!$B161&gt;0,MIN(_xlfn.RANK.EQ('Robot Game Scores'!$I161,'Robot Game Scores'!$I$2:$I$201,0),NumberOfTeams),NumberOfTeams+1)</f>
        <v>1</v>
      </c>
      <c r="B161" s="38" t="str">
        <f t="array" ref="B161">XLOOKUP(160,'Team and Program Information'!$B$3:$B$202,'Team and Program Information'!$C$3:$C$202,"ERROR",0)</f>
        <v/>
      </c>
      <c r="C161" s="68" t="str">
        <f t="array" ref="C161">XLOOKUP('Robot Design Input'!$A161,'Team and Program Information'!$C$3:$C$202,'Team and Program Information'!$D$3:$D$202,"",0,)</f>
        <v>#VALUE!</v>
      </c>
      <c r="D161" s="67"/>
      <c r="E161" s="67"/>
      <c r="F161" s="67"/>
      <c r="G161" s="38"/>
      <c r="H161" s="38"/>
      <c r="I161" s="90">
        <f>IF('Robot Game Scores'!$B161&gt;0,MAX('Robot Game Scores'!$D161:$H161),0)</f>
        <v>0</v>
      </c>
    </row>
    <row r="162" ht="30.0" customHeight="1">
      <c r="A162" s="67">
        <f>IF('Robot Game Scores'!$B162&gt;0,MIN(_xlfn.RANK.EQ('Robot Game Scores'!$I162,'Robot Game Scores'!$I$2:$I$201,0),NumberOfTeams),NumberOfTeams+1)</f>
        <v>1</v>
      </c>
      <c r="B162" s="38" t="str">
        <f t="array" ref="B162">XLOOKUP(161,'Team and Program Information'!$B$3:$B$202,'Team and Program Information'!$C$3:$C$202,"ERROR",0)</f>
        <v/>
      </c>
      <c r="C162" s="68" t="str">
        <f t="array" ref="C162">XLOOKUP('Robot Design Input'!$A162,'Team and Program Information'!$C$3:$C$202,'Team and Program Information'!$D$3:$D$202,"",0,)</f>
        <v>#VALUE!</v>
      </c>
      <c r="D162" s="67"/>
      <c r="E162" s="67"/>
      <c r="F162" s="67"/>
      <c r="G162" s="38"/>
      <c r="H162" s="38"/>
      <c r="I162" s="90">
        <f>IF('Robot Game Scores'!$B162&gt;0,MAX('Robot Game Scores'!$D162:$H162),0)</f>
        <v>0</v>
      </c>
    </row>
    <row r="163" ht="30.0" customHeight="1">
      <c r="A163" s="67">
        <f>IF('Robot Game Scores'!$B163&gt;0,MIN(_xlfn.RANK.EQ('Robot Game Scores'!$I163,'Robot Game Scores'!$I$2:$I$201,0),NumberOfTeams),NumberOfTeams+1)</f>
        <v>1</v>
      </c>
      <c r="B163" s="38" t="str">
        <f t="array" ref="B163">XLOOKUP(162,'Team and Program Information'!$B$3:$B$202,'Team and Program Information'!$C$3:$C$202,"ERROR",0)</f>
        <v/>
      </c>
      <c r="C163" s="68" t="str">
        <f t="array" ref="C163">XLOOKUP('Robot Design Input'!$A163,'Team and Program Information'!$C$3:$C$202,'Team and Program Information'!$D$3:$D$202,"",0,)</f>
        <v>#VALUE!</v>
      </c>
      <c r="D163" s="67"/>
      <c r="E163" s="67"/>
      <c r="F163" s="67"/>
      <c r="G163" s="38"/>
      <c r="H163" s="38"/>
      <c r="I163" s="90">
        <f>IF('Robot Game Scores'!$B163&gt;0,MAX('Robot Game Scores'!$D163:$H163),0)</f>
        <v>0</v>
      </c>
    </row>
    <row r="164" ht="30.0" customHeight="1">
      <c r="A164" s="67">
        <f>IF('Robot Game Scores'!$B164&gt;0,MIN(_xlfn.RANK.EQ('Robot Game Scores'!$I164,'Robot Game Scores'!$I$2:$I$201,0),NumberOfTeams),NumberOfTeams+1)</f>
        <v>1</v>
      </c>
      <c r="B164" s="38" t="str">
        <f t="array" ref="B164">XLOOKUP(163,'Team and Program Information'!$B$3:$B$202,'Team and Program Information'!$C$3:$C$202,"ERROR",0)</f>
        <v/>
      </c>
      <c r="C164" s="68" t="str">
        <f t="array" ref="C164">XLOOKUP('Robot Design Input'!$A164,'Team and Program Information'!$C$3:$C$202,'Team and Program Information'!$D$3:$D$202,"",0,)</f>
        <v>#VALUE!</v>
      </c>
      <c r="D164" s="67"/>
      <c r="E164" s="67"/>
      <c r="F164" s="67"/>
      <c r="G164" s="38"/>
      <c r="H164" s="38"/>
      <c r="I164" s="90">
        <f>IF('Robot Game Scores'!$B164&gt;0,MAX('Robot Game Scores'!$D164:$H164),0)</f>
        <v>0</v>
      </c>
    </row>
    <row r="165" ht="30.0" customHeight="1">
      <c r="A165" s="67">
        <f>IF('Robot Game Scores'!$B165&gt;0,MIN(_xlfn.RANK.EQ('Robot Game Scores'!$I165,'Robot Game Scores'!$I$2:$I$201,0),NumberOfTeams),NumberOfTeams+1)</f>
        <v>1</v>
      </c>
      <c r="B165" s="38" t="str">
        <f t="array" ref="B165">XLOOKUP(164,'Team and Program Information'!$B$3:$B$202,'Team and Program Information'!$C$3:$C$202,"ERROR",0)</f>
        <v/>
      </c>
      <c r="C165" s="68" t="str">
        <f t="array" ref="C165">XLOOKUP('Robot Design Input'!$A165,'Team and Program Information'!$C$3:$C$202,'Team and Program Information'!$D$3:$D$202,"",0,)</f>
        <v>#VALUE!</v>
      </c>
      <c r="D165" s="67"/>
      <c r="E165" s="67"/>
      <c r="F165" s="67"/>
      <c r="G165" s="38"/>
      <c r="H165" s="38"/>
      <c r="I165" s="90">
        <f>IF('Robot Game Scores'!$B165&gt;0,MAX('Robot Game Scores'!$D165:$H165),0)</f>
        <v>0</v>
      </c>
    </row>
    <row r="166" ht="30.0" customHeight="1">
      <c r="A166" s="67">
        <f>IF('Robot Game Scores'!$B166&gt;0,MIN(_xlfn.RANK.EQ('Robot Game Scores'!$I166,'Robot Game Scores'!$I$2:$I$201,0),NumberOfTeams),NumberOfTeams+1)</f>
        <v>1</v>
      </c>
      <c r="B166" s="38" t="str">
        <f t="array" ref="B166">XLOOKUP(165,'Team and Program Information'!$B$3:$B$202,'Team and Program Information'!$C$3:$C$202,"ERROR",0)</f>
        <v/>
      </c>
      <c r="C166" s="68" t="str">
        <f t="array" ref="C166">XLOOKUP('Robot Design Input'!$A166,'Team and Program Information'!$C$3:$C$202,'Team and Program Information'!$D$3:$D$202,"",0,)</f>
        <v>#VALUE!</v>
      </c>
      <c r="D166" s="67"/>
      <c r="E166" s="67"/>
      <c r="F166" s="67"/>
      <c r="G166" s="38"/>
      <c r="H166" s="38"/>
      <c r="I166" s="90">
        <f>IF('Robot Game Scores'!$B166&gt;0,MAX('Robot Game Scores'!$D166:$H166),0)</f>
        <v>0</v>
      </c>
    </row>
    <row r="167" ht="30.0" customHeight="1">
      <c r="A167" s="67">
        <f>IF('Robot Game Scores'!$B167&gt;0,MIN(_xlfn.RANK.EQ('Robot Game Scores'!$I167,'Robot Game Scores'!$I$2:$I$201,0),NumberOfTeams),NumberOfTeams+1)</f>
        <v>1</v>
      </c>
      <c r="B167" s="38" t="str">
        <f t="array" ref="B167">XLOOKUP(166,'Team and Program Information'!$B$3:$B$202,'Team and Program Information'!$C$3:$C$202,"ERROR",0)</f>
        <v/>
      </c>
      <c r="C167" s="68" t="str">
        <f t="array" ref="C167">XLOOKUP('Robot Design Input'!$A167,'Team and Program Information'!$C$3:$C$202,'Team and Program Information'!$D$3:$D$202,"",0,)</f>
        <v>#VALUE!</v>
      </c>
      <c r="D167" s="67"/>
      <c r="E167" s="67"/>
      <c r="F167" s="67"/>
      <c r="G167" s="38"/>
      <c r="H167" s="38"/>
      <c r="I167" s="90">
        <f>IF('Robot Game Scores'!$B167&gt;0,MAX('Robot Game Scores'!$D167:$H167),0)</f>
        <v>0</v>
      </c>
    </row>
    <row r="168" ht="30.0" customHeight="1">
      <c r="A168" s="67">
        <f>IF('Robot Game Scores'!$B168&gt;0,MIN(_xlfn.RANK.EQ('Robot Game Scores'!$I168,'Robot Game Scores'!$I$2:$I$201,0),NumberOfTeams),NumberOfTeams+1)</f>
        <v>1</v>
      </c>
      <c r="B168" s="38" t="str">
        <f t="array" ref="B168">XLOOKUP(167,'Team and Program Information'!$B$3:$B$202,'Team and Program Information'!$C$3:$C$202,"ERROR",0)</f>
        <v/>
      </c>
      <c r="C168" s="68" t="str">
        <f t="array" ref="C168">XLOOKUP('Robot Design Input'!$A168,'Team and Program Information'!$C$3:$C$202,'Team and Program Information'!$D$3:$D$202,"",0,)</f>
        <v>#VALUE!</v>
      </c>
      <c r="D168" s="67"/>
      <c r="E168" s="67"/>
      <c r="F168" s="67"/>
      <c r="G168" s="38"/>
      <c r="H168" s="38"/>
      <c r="I168" s="90">
        <f>IF('Robot Game Scores'!$B168&gt;0,MAX('Robot Game Scores'!$D168:$H168),0)</f>
        <v>0</v>
      </c>
    </row>
    <row r="169" ht="30.0" customHeight="1">
      <c r="A169" s="67">
        <f>IF('Robot Game Scores'!$B169&gt;0,MIN(_xlfn.RANK.EQ('Robot Game Scores'!$I169,'Robot Game Scores'!$I$2:$I$201,0),NumberOfTeams),NumberOfTeams+1)</f>
        <v>1</v>
      </c>
      <c r="B169" s="38" t="str">
        <f t="array" ref="B169">XLOOKUP(168,'Team and Program Information'!$B$3:$B$202,'Team and Program Information'!$C$3:$C$202,"ERROR",0)</f>
        <v/>
      </c>
      <c r="C169" s="68" t="str">
        <f t="array" ref="C169">XLOOKUP('Robot Design Input'!$A169,'Team and Program Information'!$C$3:$C$202,'Team and Program Information'!$D$3:$D$202,"",0,)</f>
        <v>#VALUE!</v>
      </c>
      <c r="D169" s="67"/>
      <c r="E169" s="67"/>
      <c r="F169" s="67"/>
      <c r="G169" s="38"/>
      <c r="H169" s="38"/>
      <c r="I169" s="90">
        <f>IF('Robot Game Scores'!$B169&gt;0,MAX('Robot Game Scores'!$D169:$H169),0)</f>
        <v>0</v>
      </c>
    </row>
    <row r="170" ht="30.0" customHeight="1">
      <c r="A170" s="67">
        <f>IF('Robot Game Scores'!$B170&gt;0,MIN(_xlfn.RANK.EQ('Robot Game Scores'!$I170,'Robot Game Scores'!$I$2:$I$201,0),NumberOfTeams),NumberOfTeams+1)</f>
        <v>1</v>
      </c>
      <c r="B170" s="38" t="str">
        <f t="array" ref="B170">XLOOKUP(169,'Team and Program Information'!$B$3:$B$202,'Team and Program Information'!$C$3:$C$202,"ERROR",0)</f>
        <v/>
      </c>
      <c r="C170" s="68" t="str">
        <f t="array" ref="C170">XLOOKUP('Robot Design Input'!$A170,'Team and Program Information'!$C$3:$C$202,'Team and Program Information'!$D$3:$D$202,"",0,)</f>
        <v>#VALUE!</v>
      </c>
      <c r="D170" s="67"/>
      <c r="E170" s="67"/>
      <c r="F170" s="67"/>
      <c r="G170" s="38"/>
      <c r="H170" s="38"/>
      <c r="I170" s="90">
        <f>IF('Robot Game Scores'!$B170&gt;0,MAX('Robot Game Scores'!$D170:$H170),0)</f>
        <v>0</v>
      </c>
    </row>
    <row r="171" ht="30.0" customHeight="1">
      <c r="A171" s="67">
        <f>IF('Robot Game Scores'!$B171&gt;0,MIN(_xlfn.RANK.EQ('Robot Game Scores'!$I171,'Robot Game Scores'!$I$2:$I$201,0),NumberOfTeams),NumberOfTeams+1)</f>
        <v>1</v>
      </c>
      <c r="B171" s="38" t="str">
        <f t="array" ref="B171">XLOOKUP(170,'Team and Program Information'!$B$3:$B$202,'Team and Program Information'!$C$3:$C$202,"ERROR",0)</f>
        <v/>
      </c>
      <c r="C171" s="68" t="str">
        <f t="array" ref="C171">XLOOKUP('Robot Design Input'!$A171,'Team and Program Information'!$C$3:$C$202,'Team and Program Information'!$D$3:$D$202,"",0,)</f>
        <v>#VALUE!</v>
      </c>
      <c r="D171" s="67"/>
      <c r="E171" s="67"/>
      <c r="F171" s="67"/>
      <c r="G171" s="38"/>
      <c r="H171" s="38"/>
      <c r="I171" s="90">
        <f>IF('Robot Game Scores'!$B171&gt;0,MAX('Robot Game Scores'!$D171:$H171),0)</f>
        <v>0</v>
      </c>
    </row>
    <row r="172" ht="30.0" customHeight="1">
      <c r="A172" s="67">
        <f>IF('Robot Game Scores'!$B172&gt;0,MIN(_xlfn.RANK.EQ('Robot Game Scores'!$I172,'Robot Game Scores'!$I$2:$I$201,0),NumberOfTeams),NumberOfTeams+1)</f>
        <v>1</v>
      </c>
      <c r="B172" s="38" t="str">
        <f t="array" ref="B172">XLOOKUP(171,'Team and Program Information'!$B$3:$B$202,'Team and Program Information'!$C$3:$C$202,"ERROR",0)</f>
        <v/>
      </c>
      <c r="C172" s="68" t="str">
        <f t="array" ref="C172">XLOOKUP('Robot Design Input'!$A172,'Team and Program Information'!$C$3:$C$202,'Team and Program Information'!$D$3:$D$202,"",0,)</f>
        <v>#VALUE!</v>
      </c>
      <c r="D172" s="67"/>
      <c r="E172" s="67"/>
      <c r="F172" s="67"/>
      <c r="G172" s="38"/>
      <c r="H172" s="38"/>
      <c r="I172" s="90">
        <f>IF('Robot Game Scores'!$B172&gt;0,MAX('Robot Game Scores'!$D172:$H172),0)</f>
        <v>0</v>
      </c>
    </row>
    <row r="173" ht="30.0" customHeight="1">
      <c r="A173" s="67">
        <f>IF('Robot Game Scores'!$B173&gt;0,MIN(_xlfn.RANK.EQ('Robot Game Scores'!$I173,'Robot Game Scores'!$I$2:$I$201,0),NumberOfTeams),NumberOfTeams+1)</f>
        <v>1</v>
      </c>
      <c r="B173" s="38" t="str">
        <f t="array" ref="B173">XLOOKUP(172,'Team and Program Information'!$B$3:$B$202,'Team and Program Information'!$C$3:$C$202,"ERROR",0)</f>
        <v/>
      </c>
      <c r="C173" s="68" t="str">
        <f t="array" ref="C173">XLOOKUP('Robot Design Input'!$A173,'Team and Program Information'!$C$3:$C$202,'Team and Program Information'!$D$3:$D$202,"",0,)</f>
        <v>#VALUE!</v>
      </c>
      <c r="D173" s="67"/>
      <c r="E173" s="67"/>
      <c r="F173" s="67"/>
      <c r="G173" s="38"/>
      <c r="H173" s="38"/>
      <c r="I173" s="90">
        <f>IF('Robot Game Scores'!$B173&gt;0,MAX('Robot Game Scores'!$D173:$H173),0)</f>
        <v>0</v>
      </c>
    </row>
    <row r="174" ht="30.0" customHeight="1">
      <c r="A174" s="67">
        <f>IF('Robot Game Scores'!$B174&gt;0,MIN(_xlfn.RANK.EQ('Robot Game Scores'!$I174,'Robot Game Scores'!$I$2:$I$201,0),NumberOfTeams),NumberOfTeams+1)</f>
        <v>1</v>
      </c>
      <c r="B174" s="38" t="str">
        <f t="array" ref="B174">XLOOKUP(173,'Team and Program Information'!$B$3:$B$202,'Team and Program Information'!$C$3:$C$202,"ERROR",0)</f>
        <v/>
      </c>
      <c r="C174" s="68" t="str">
        <f t="array" ref="C174">XLOOKUP('Robot Design Input'!$A174,'Team and Program Information'!$C$3:$C$202,'Team and Program Information'!$D$3:$D$202,"",0,)</f>
        <v>#VALUE!</v>
      </c>
      <c r="D174" s="67"/>
      <c r="E174" s="67"/>
      <c r="F174" s="67"/>
      <c r="G174" s="38"/>
      <c r="H174" s="38"/>
      <c r="I174" s="90">
        <f>IF('Robot Game Scores'!$B174&gt;0,MAX('Robot Game Scores'!$D174:$H174),0)</f>
        <v>0</v>
      </c>
    </row>
    <row r="175" ht="30.0" customHeight="1">
      <c r="A175" s="67">
        <f>IF('Robot Game Scores'!$B175&gt;0,MIN(_xlfn.RANK.EQ('Robot Game Scores'!$I175,'Robot Game Scores'!$I$2:$I$201,0),NumberOfTeams),NumberOfTeams+1)</f>
        <v>1</v>
      </c>
      <c r="B175" s="38" t="str">
        <f t="array" ref="B175">XLOOKUP(174,'Team and Program Information'!$B$3:$B$202,'Team and Program Information'!$C$3:$C$202,"ERROR",0)</f>
        <v/>
      </c>
      <c r="C175" s="68" t="str">
        <f t="array" ref="C175">XLOOKUP('Robot Design Input'!$A175,'Team and Program Information'!$C$3:$C$202,'Team and Program Information'!$D$3:$D$202,"",0,)</f>
        <v>#VALUE!</v>
      </c>
      <c r="D175" s="67"/>
      <c r="E175" s="67"/>
      <c r="F175" s="67"/>
      <c r="G175" s="38"/>
      <c r="H175" s="38"/>
      <c r="I175" s="90">
        <f>IF('Robot Game Scores'!$B175&gt;0,MAX('Robot Game Scores'!$D175:$H175),0)</f>
        <v>0</v>
      </c>
    </row>
    <row r="176" ht="30.0" customHeight="1">
      <c r="A176" s="67">
        <f>IF('Robot Game Scores'!$B176&gt;0,MIN(_xlfn.RANK.EQ('Robot Game Scores'!$I176,'Robot Game Scores'!$I$2:$I$201,0),NumberOfTeams),NumberOfTeams+1)</f>
        <v>1</v>
      </c>
      <c r="B176" s="38" t="str">
        <f t="array" ref="B176">XLOOKUP(175,'Team and Program Information'!$B$3:$B$202,'Team and Program Information'!$C$3:$C$202,"ERROR",0)</f>
        <v/>
      </c>
      <c r="C176" s="68" t="str">
        <f t="array" ref="C176">XLOOKUP('Robot Design Input'!$A176,'Team and Program Information'!$C$3:$C$202,'Team and Program Information'!$D$3:$D$202,"",0,)</f>
        <v>#VALUE!</v>
      </c>
      <c r="D176" s="67"/>
      <c r="E176" s="67"/>
      <c r="F176" s="67"/>
      <c r="G176" s="38"/>
      <c r="H176" s="38"/>
      <c r="I176" s="90">
        <f>IF('Robot Game Scores'!$B176&gt;0,MAX('Robot Game Scores'!$D176:$H176),0)</f>
        <v>0</v>
      </c>
    </row>
    <row r="177" ht="30.0" customHeight="1">
      <c r="A177" s="67">
        <f>IF('Robot Game Scores'!$B177&gt;0,MIN(_xlfn.RANK.EQ('Robot Game Scores'!$I177,'Robot Game Scores'!$I$2:$I$201,0),NumberOfTeams),NumberOfTeams+1)</f>
        <v>1</v>
      </c>
      <c r="B177" s="38" t="str">
        <f t="array" ref="B177">XLOOKUP(176,'Team and Program Information'!$B$3:$B$202,'Team and Program Information'!$C$3:$C$202,"ERROR",0)</f>
        <v/>
      </c>
      <c r="C177" s="68" t="str">
        <f t="array" ref="C177">XLOOKUP('Robot Design Input'!$A177,'Team and Program Information'!$C$3:$C$202,'Team and Program Information'!$D$3:$D$202,"",0,)</f>
        <v>#VALUE!</v>
      </c>
      <c r="D177" s="67"/>
      <c r="E177" s="67"/>
      <c r="F177" s="67"/>
      <c r="G177" s="38"/>
      <c r="H177" s="38"/>
      <c r="I177" s="90">
        <f>IF('Robot Game Scores'!$B177&gt;0,MAX('Robot Game Scores'!$D177:$H177),0)</f>
        <v>0</v>
      </c>
    </row>
    <row r="178" ht="30.0" customHeight="1">
      <c r="A178" s="67">
        <f>IF('Robot Game Scores'!$B178&gt;0,MIN(_xlfn.RANK.EQ('Robot Game Scores'!$I178,'Robot Game Scores'!$I$2:$I$201,0),NumberOfTeams),NumberOfTeams+1)</f>
        <v>1</v>
      </c>
      <c r="B178" s="38" t="str">
        <f t="array" ref="B178">XLOOKUP(177,'Team and Program Information'!$B$3:$B$202,'Team and Program Information'!$C$3:$C$202,"ERROR",0)</f>
        <v/>
      </c>
      <c r="C178" s="68" t="str">
        <f t="array" ref="C178">XLOOKUP('Robot Design Input'!$A178,'Team and Program Information'!$C$3:$C$202,'Team and Program Information'!$D$3:$D$202,"",0,)</f>
        <v>#VALUE!</v>
      </c>
      <c r="D178" s="67"/>
      <c r="E178" s="67"/>
      <c r="F178" s="67"/>
      <c r="G178" s="38"/>
      <c r="H178" s="38"/>
      <c r="I178" s="90">
        <f>IF('Robot Game Scores'!$B178&gt;0,MAX('Robot Game Scores'!$D178:$H178),0)</f>
        <v>0</v>
      </c>
    </row>
    <row r="179" ht="30.0" customHeight="1">
      <c r="A179" s="67">
        <f>IF('Robot Game Scores'!$B179&gt;0,MIN(_xlfn.RANK.EQ('Robot Game Scores'!$I179,'Robot Game Scores'!$I$2:$I$201,0),NumberOfTeams),NumberOfTeams+1)</f>
        <v>1</v>
      </c>
      <c r="B179" s="38" t="str">
        <f t="array" ref="B179">XLOOKUP(178,'Team and Program Information'!$B$3:$B$202,'Team and Program Information'!$C$3:$C$202,"ERROR",0)</f>
        <v/>
      </c>
      <c r="C179" s="68" t="str">
        <f t="array" ref="C179">XLOOKUP('Robot Design Input'!$A179,'Team and Program Information'!$C$3:$C$202,'Team and Program Information'!$D$3:$D$202,"",0,)</f>
        <v>#VALUE!</v>
      </c>
      <c r="D179" s="67"/>
      <c r="E179" s="67"/>
      <c r="F179" s="67"/>
      <c r="G179" s="38"/>
      <c r="H179" s="38"/>
      <c r="I179" s="90">
        <f>IF('Robot Game Scores'!$B179&gt;0,MAX('Robot Game Scores'!$D179:$H179),0)</f>
        <v>0</v>
      </c>
    </row>
    <row r="180" ht="30.0" customHeight="1">
      <c r="A180" s="67">
        <f>IF('Robot Game Scores'!$B180&gt;0,MIN(_xlfn.RANK.EQ('Robot Game Scores'!$I180,'Robot Game Scores'!$I$2:$I$201,0),NumberOfTeams),NumberOfTeams+1)</f>
        <v>1</v>
      </c>
      <c r="B180" s="38" t="str">
        <f t="array" ref="B180">XLOOKUP(179,'Team and Program Information'!$B$3:$B$202,'Team and Program Information'!$C$3:$C$202,"ERROR",0)</f>
        <v/>
      </c>
      <c r="C180" s="68" t="str">
        <f t="array" ref="C180">XLOOKUP('Robot Design Input'!$A180,'Team and Program Information'!$C$3:$C$202,'Team and Program Information'!$D$3:$D$202,"",0,)</f>
        <v>#VALUE!</v>
      </c>
      <c r="D180" s="67"/>
      <c r="E180" s="67"/>
      <c r="F180" s="67"/>
      <c r="G180" s="38"/>
      <c r="H180" s="38"/>
      <c r="I180" s="90">
        <f>IF('Robot Game Scores'!$B180&gt;0,MAX('Robot Game Scores'!$D180:$H180),0)</f>
        <v>0</v>
      </c>
    </row>
    <row r="181" ht="30.0" customHeight="1">
      <c r="A181" s="67">
        <f>IF('Robot Game Scores'!$B181&gt;0,MIN(_xlfn.RANK.EQ('Robot Game Scores'!$I181,'Robot Game Scores'!$I$2:$I$201,0),NumberOfTeams),NumberOfTeams+1)</f>
        <v>1</v>
      </c>
      <c r="B181" s="38" t="str">
        <f t="array" ref="B181">XLOOKUP(180,'Team and Program Information'!$B$3:$B$202,'Team and Program Information'!$C$3:$C$202,"ERROR",0)</f>
        <v/>
      </c>
      <c r="C181" s="68" t="str">
        <f t="array" ref="C181">XLOOKUP('Robot Design Input'!$A181,'Team and Program Information'!$C$3:$C$202,'Team and Program Information'!$D$3:$D$202,"",0,)</f>
        <v>#VALUE!</v>
      </c>
      <c r="D181" s="67"/>
      <c r="E181" s="67"/>
      <c r="F181" s="67"/>
      <c r="G181" s="38"/>
      <c r="H181" s="38"/>
      <c r="I181" s="90">
        <f>IF('Robot Game Scores'!$B181&gt;0,MAX('Robot Game Scores'!$D181:$H181),0)</f>
        <v>0</v>
      </c>
    </row>
    <row r="182" ht="30.0" customHeight="1">
      <c r="A182" s="67">
        <f>IF('Robot Game Scores'!$B182&gt;0,MIN(_xlfn.RANK.EQ('Robot Game Scores'!$I182,'Robot Game Scores'!$I$2:$I$201,0),NumberOfTeams),NumberOfTeams+1)</f>
        <v>1</v>
      </c>
      <c r="B182" s="38" t="str">
        <f t="array" ref="B182">XLOOKUP(181,'Team and Program Information'!$B$3:$B$202,'Team and Program Information'!$C$3:$C$202,"ERROR",0)</f>
        <v/>
      </c>
      <c r="C182" s="68" t="str">
        <f t="array" ref="C182">XLOOKUP('Robot Design Input'!$A182,'Team and Program Information'!$C$3:$C$202,'Team and Program Information'!$D$3:$D$202,"",0,)</f>
        <v>#VALUE!</v>
      </c>
      <c r="D182" s="67"/>
      <c r="E182" s="67"/>
      <c r="F182" s="67"/>
      <c r="G182" s="38"/>
      <c r="H182" s="38"/>
      <c r="I182" s="90">
        <f>IF('Robot Game Scores'!$B182&gt;0,MAX('Robot Game Scores'!$D182:$H182),0)</f>
        <v>0</v>
      </c>
    </row>
    <row r="183" ht="30.0" customHeight="1">
      <c r="A183" s="67">
        <f>IF('Robot Game Scores'!$B183&gt;0,MIN(_xlfn.RANK.EQ('Robot Game Scores'!$I183,'Robot Game Scores'!$I$2:$I$201,0),NumberOfTeams),NumberOfTeams+1)</f>
        <v>1</v>
      </c>
      <c r="B183" s="38" t="str">
        <f t="array" ref="B183">XLOOKUP(182,'Team and Program Information'!$B$3:$B$202,'Team and Program Information'!$C$3:$C$202,"ERROR",0)</f>
        <v/>
      </c>
      <c r="C183" s="68" t="str">
        <f t="array" ref="C183">XLOOKUP('Robot Design Input'!$A183,'Team and Program Information'!$C$3:$C$202,'Team and Program Information'!$D$3:$D$202,"",0,)</f>
        <v>#VALUE!</v>
      </c>
      <c r="D183" s="67"/>
      <c r="E183" s="67"/>
      <c r="F183" s="67"/>
      <c r="G183" s="38"/>
      <c r="H183" s="38"/>
      <c r="I183" s="90">
        <f>IF('Robot Game Scores'!$B183&gt;0,MAX('Robot Game Scores'!$D183:$H183),0)</f>
        <v>0</v>
      </c>
    </row>
    <row r="184" ht="30.0" customHeight="1">
      <c r="A184" s="67">
        <f>IF('Robot Game Scores'!$B184&gt;0,MIN(_xlfn.RANK.EQ('Robot Game Scores'!$I184,'Robot Game Scores'!$I$2:$I$201,0),NumberOfTeams),NumberOfTeams+1)</f>
        <v>1</v>
      </c>
      <c r="B184" s="38" t="str">
        <f t="array" ref="B184">XLOOKUP(183,'Team and Program Information'!$B$3:$B$202,'Team and Program Information'!$C$3:$C$202,"ERROR",0)</f>
        <v/>
      </c>
      <c r="C184" s="68" t="str">
        <f t="array" ref="C184">XLOOKUP('Robot Design Input'!$A184,'Team and Program Information'!$C$3:$C$202,'Team and Program Information'!$D$3:$D$202,"",0,)</f>
        <v>#VALUE!</v>
      </c>
      <c r="D184" s="67"/>
      <c r="E184" s="67"/>
      <c r="F184" s="67"/>
      <c r="G184" s="38"/>
      <c r="H184" s="38"/>
      <c r="I184" s="90">
        <f>IF('Robot Game Scores'!$B184&gt;0,MAX('Robot Game Scores'!$D184:$H184),0)</f>
        <v>0</v>
      </c>
    </row>
    <row r="185" ht="30.0" customHeight="1">
      <c r="A185" s="67">
        <f>IF('Robot Game Scores'!$B185&gt;0,MIN(_xlfn.RANK.EQ('Robot Game Scores'!$I185,'Robot Game Scores'!$I$2:$I$201,0),NumberOfTeams),NumberOfTeams+1)</f>
        <v>1</v>
      </c>
      <c r="B185" s="38" t="str">
        <f t="array" ref="B185">XLOOKUP(184,'Team and Program Information'!$B$3:$B$202,'Team and Program Information'!$C$3:$C$202,"ERROR",0)</f>
        <v/>
      </c>
      <c r="C185" s="68" t="str">
        <f t="array" ref="C185">XLOOKUP('Robot Design Input'!$A185,'Team and Program Information'!$C$3:$C$202,'Team and Program Information'!$D$3:$D$202,"",0,)</f>
        <v>#VALUE!</v>
      </c>
      <c r="D185" s="67"/>
      <c r="E185" s="67"/>
      <c r="F185" s="67"/>
      <c r="G185" s="38"/>
      <c r="H185" s="38"/>
      <c r="I185" s="90">
        <f>IF('Robot Game Scores'!$B185&gt;0,MAX('Robot Game Scores'!$D185:$H185),0)</f>
        <v>0</v>
      </c>
    </row>
    <row r="186" ht="30.0" customHeight="1">
      <c r="A186" s="67">
        <f>IF('Robot Game Scores'!$B186&gt;0,MIN(_xlfn.RANK.EQ('Robot Game Scores'!$I186,'Robot Game Scores'!$I$2:$I$201,0),NumberOfTeams),NumberOfTeams+1)</f>
        <v>1</v>
      </c>
      <c r="B186" s="38" t="str">
        <f t="array" ref="B186">XLOOKUP(185,'Team and Program Information'!$B$3:$B$202,'Team and Program Information'!$C$3:$C$202,"ERROR",0)</f>
        <v/>
      </c>
      <c r="C186" s="68" t="str">
        <f t="array" ref="C186">XLOOKUP('Robot Design Input'!$A186,'Team and Program Information'!$C$3:$C$202,'Team and Program Information'!$D$3:$D$202,"",0,)</f>
        <v>#VALUE!</v>
      </c>
      <c r="D186" s="67"/>
      <c r="E186" s="67"/>
      <c r="F186" s="67"/>
      <c r="G186" s="38"/>
      <c r="H186" s="38"/>
      <c r="I186" s="90">
        <f>IF('Robot Game Scores'!$B186&gt;0,MAX('Robot Game Scores'!$D186:$H186),0)</f>
        <v>0</v>
      </c>
    </row>
    <row r="187" ht="30.0" customHeight="1">
      <c r="A187" s="67">
        <f>IF('Robot Game Scores'!$B187&gt;0,MIN(_xlfn.RANK.EQ('Robot Game Scores'!$I187,'Robot Game Scores'!$I$2:$I$201,0),NumberOfTeams),NumberOfTeams+1)</f>
        <v>1</v>
      </c>
      <c r="B187" s="38" t="str">
        <f t="array" ref="B187">XLOOKUP(186,'Team and Program Information'!$B$3:$B$202,'Team and Program Information'!$C$3:$C$202,"ERROR",0)</f>
        <v/>
      </c>
      <c r="C187" s="68" t="str">
        <f t="array" ref="C187">XLOOKUP('Robot Design Input'!$A187,'Team and Program Information'!$C$3:$C$202,'Team and Program Information'!$D$3:$D$202,"",0,)</f>
        <v>#VALUE!</v>
      </c>
      <c r="D187" s="67"/>
      <c r="E187" s="67"/>
      <c r="F187" s="67"/>
      <c r="G187" s="38"/>
      <c r="H187" s="38"/>
      <c r="I187" s="90">
        <f>IF('Robot Game Scores'!$B187&gt;0,MAX('Robot Game Scores'!$D187:$H187),0)</f>
        <v>0</v>
      </c>
    </row>
    <row r="188" ht="30.0" customHeight="1">
      <c r="A188" s="67">
        <f>IF('Robot Game Scores'!$B188&gt;0,MIN(_xlfn.RANK.EQ('Robot Game Scores'!$I188,'Robot Game Scores'!$I$2:$I$201,0),NumberOfTeams),NumberOfTeams+1)</f>
        <v>1</v>
      </c>
      <c r="B188" s="38" t="str">
        <f t="array" ref="B188">XLOOKUP(187,'Team and Program Information'!$B$3:$B$202,'Team and Program Information'!$C$3:$C$202,"ERROR",0)</f>
        <v/>
      </c>
      <c r="C188" s="68" t="str">
        <f t="array" ref="C188">XLOOKUP('Robot Design Input'!$A188,'Team and Program Information'!$C$3:$C$202,'Team and Program Information'!$D$3:$D$202,"",0,)</f>
        <v>#VALUE!</v>
      </c>
      <c r="D188" s="67"/>
      <c r="E188" s="67"/>
      <c r="F188" s="67"/>
      <c r="G188" s="38"/>
      <c r="H188" s="38"/>
      <c r="I188" s="90">
        <f>IF('Robot Game Scores'!$B188&gt;0,MAX('Robot Game Scores'!$D188:$H188),0)</f>
        <v>0</v>
      </c>
    </row>
    <row r="189" ht="30.0" customHeight="1">
      <c r="A189" s="67">
        <f>IF('Robot Game Scores'!$B189&gt;0,MIN(_xlfn.RANK.EQ('Robot Game Scores'!$I189,'Robot Game Scores'!$I$2:$I$201,0),NumberOfTeams),NumberOfTeams+1)</f>
        <v>1</v>
      </c>
      <c r="B189" s="38" t="str">
        <f t="array" ref="B189">XLOOKUP(188,'Team and Program Information'!$B$3:$B$202,'Team and Program Information'!$C$3:$C$202,"ERROR",0)</f>
        <v/>
      </c>
      <c r="C189" s="68" t="str">
        <f t="array" ref="C189">XLOOKUP('Robot Design Input'!$A189,'Team and Program Information'!$C$3:$C$202,'Team and Program Information'!$D$3:$D$202,"",0,)</f>
        <v>#VALUE!</v>
      </c>
      <c r="D189" s="67"/>
      <c r="E189" s="67"/>
      <c r="F189" s="67"/>
      <c r="G189" s="38"/>
      <c r="H189" s="38"/>
      <c r="I189" s="90">
        <f>IF('Robot Game Scores'!$B189&gt;0,MAX('Robot Game Scores'!$D189:$H189),0)</f>
        <v>0</v>
      </c>
    </row>
    <row r="190" ht="30.0" customHeight="1">
      <c r="A190" s="67">
        <f>IF('Robot Game Scores'!$B190&gt;0,MIN(_xlfn.RANK.EQ('Robot Game Scores'!$I190,'Robot Game Scores'!$I$2:$I$201,0),NumberOfTeams),NumberOfTeams+1)</f>
        <v>1</v>
      </c>
      <c r="B190" s="38" t="str">
        <f t="array" ref="B190">XLOOKUP(189,'Team and Program Information'!$B$3:$B$202,'Team and Program Information'!$C$3:$C$202,"ERROR",0)</f>
        <v/>
      </c>
      <c r="C190" s="68" t="str">
        <f t="array" ref="C190">XLOOKUP('Robot Design Input'!$A190,'Team and Program Information'!$C$3:$C$202,'Team and Program Information'!$D$3:$D$202,"",0,)</f>
        <v>#VALUE!</v>
      </c>
      <c r="D190" s="67"/>
      <c r="E190" s="67"/>
      <c r="F190" s="67"/>
      <c r="G190" s="38"/>
      <c r="H190" s="38"/>
      <c r="I190" s="90">
        <f>IF('Robot Game Scores'!$B190&gt;0,MAX('Robot Game Scores'!$D190:$H190),0)</f>
        <v>0</v>
      </c>
    </row>
    <row r="191" ht="30.0" customHeight="1">
      <c r="A191" s="67">
        <f>IF('Robot Game Scores'!$B191&gt;0,MIN(_xlfn.RANK.EQ('Robot Game Scores'!$I191,'Robot Game Scores'!$I$2:$I$201,0),NumberOfTeams),NumberOfTeams+1)</f>
        <v>1</v>
      </c>
      <c r="B191" s="38" t="str">
        <f t="array" ref="B191">XLOOKUP(190,'Team and Program Information'!$B$3:$B$202,'Team and Program Information'!$C$3:$C$202,"ERROR",0)</f>
        <v/>
      </c>
      <c r="C191" s="68" t="str">
        <f t="array" ref="C191">XLOOKUP('Robot Design Input'!$A191,'Team and Program Information'!$C$3:$C$202,'Team and Program Information'!$D$3:$D$202,"",0,)</f>
        <v>#VALUE!</v>
      </c>
      <c r="D191" s="67"/>
      <c r="E191" s="67"/>
      <c r="F191" s="67"/>
      <c r="G191" s="38"/>
      <c r="H191" s="38"/>
      <c r="I191" s="90">
        <f>IF('Robot Game Scores'!$B191&gt;0,MAX('Robot Game Scores'!$D191:$H191),0)</f>
        <v>0</v>
      </c>
    </row>
    <row r="192" ht="30.0" customHeight="1">
      <c r="A192" s="67">
        <f>IF('Robot Game Scores'!$B192&gt;0,MIN(_xlfn.RANK.EQ('Robot Game Scores'!$I192,'Robot Game Scores'!$I$2:$I$201,0),NumberOfTeams),NumberOfTeams+1)</f>
        <v>1</v>
      </c>
      <c r="B192" s="38" t="str">
        <f t="array" ref="B192">XLOOKUP(191,'Team and Program Information'!$B$3:$B$202,'Team and Program Information'!$C$3:$C$202,"ERROR",0)</f>
        <v/>
      </c>
      <c r="C192" s="68" t="str">
        <f t="array" ref="C192">XLOOKUP('Robot Design Input'!$A192,'Team and Program Information'!$C$3:$C$202,'Team and Program Information'!$D$3:$D$202,"",0,)</f>
        <v>#VALUE!</v>
      </c>
      <c r="D192" s="67"/>
      <c r="E192" s="67"/>
      <c r="F192" s="67"/>
      <c r="G192" s="38"/>
      <c r="H192" s="38"/>
      <c r="I192" s="90">
        <f>IF('Robot Game Scores'!$B192&gt;0,MAX('Robot Game Scores'!$D192:$H192),0)</f>
        <v>0</v>
      </c>
    </row>
    <row r="193" ht="30.0" customHeight="1">
      <c r="A193" s="67">
        <f>IF('Robot Game Scores'!$B193&gt;0,MIN(_xlfn.RANK.EQ('Robot Game Scores'!$I193,'Robot Game Scores'!$I$2:$I$201,0),NumberOfTeams),NumberOfTeams+1)</f>
        <v>1</v>
      </c>
      <c r="B193" s="38" t="str">
        <f t="array" ref="B193">XLOOKUP(192,'Team and Program Information'!$B$3:$B$202,'Team and Program Information'!$C$3:$C$202,"ERROR",0)</f>
        <v/>
      </c>
      <c r="C193" s="68" t="str">
        <f t="array" ref="C193">XLOOKUP('Robot Design Input'!$A193,'Team and Program Information'!$C$3:$C$202,'Team and Program Information'!$D$3:$D$202,"",0,)</f>
        <v>#VALUE!</v>
      </c>
      <c r="D193" s="67"/>
      <c r="E193" s="67"/>
      <c r="F193" s="67"/>
      <c r="G193" s="38"/>
      <c r="H193" s="38"/>
      <c r="I193" s="90">
        <f>IF('Robot Game Scores'!$B193&gt;0,MAX('Robot Game Scores'!$D193:$H193),0)</f>
        <v>0</v>
      </c>
    </row>
    <row r="194" ht="30.0" customHeight="1">
      <c r="A194" s="67">
        <f>IF('Robot Game Scores'!$B194&gt;0,MIN(_xlfn.RANK.EQ('Robot Game Scores'!$I194,'Robot Game Scores'!$I$2:$I$201,0),NumberOfTeams),NumberOfTeams+1)</f>
        <v>1</v>
      </c>
      <c r="B194" s="38" t="str">
        <f t="array" ref="B194">XLOOKUP(193,'Team and Program Information'!$B$3:$B$202,'Team and Program Information'!$C$3:$C$202,"ERROR",0)</f>
        <v/>
      </c>
      <c r="C194" s="68" t="str">
        <f t="array" ref="C194">XLOOKUP('Robot Design Input'!$A194,'Team and Program Information'!$C$3:$C$202,'Team and Program Information'!$D$3:$D$202,"",0,)</f>
        <v>#VALUE!</v>
      </c>
      <c r="D194" s="67"/>
      <c r="E194" s="67"/>
      <c r="F194" s="67"/>
      <c r="G194" s="38"/>
      <c r="H194" s="38"/>
      <c r="I194" s="90">
        <f>IF('Robot Game Scores'!$B194&gt;0,MAX('Robot Game Scores'!$D194:$H194),0)</f>
        <v>0</v>
      </c>
    </row>
    <row r="195" ht="30.0" customHeight="1">
      <c r="A195" s="67">
        <f>IF('Robot Game Scores'!$B195&gt;0,MIN(_xlfn.RANK.EQ('Robot Game Scores'!$I195,'Robot Game Scores'!$I$2:$I$201,0),NumberOfTeams),NumberOfTeams+1)</f>
        <v>1</v>
      </c>
      <c r="B195" s="38" t="str">
        <f t="array" ref="B195">XLOOKUP(194,'Team and Program Information'!$B$3:$B$202,'Team and Program Information'!$C$3:$C$202,"ERROR",0)</f>
        <v/>
      </c>
      <c r="C195" s="68" t="str">
        <f t="array" ref="C195">XLOOKUP('Robot Design Input'!$A195,'Team and Program Information'!$C$3:$C$202,'Team and Program Information'!$D$3:$D$202,"",0,)</f>
        <v>#VALUE!</v>
      </c>
      <c r="D195" s="67"/>
      <c r="E195" s="67"/>
      <c r="F195" s="67"/>
      <c r="G195" s="38"/>
      <c r="H195" s="38"/>
      <c r="I195" s="90">
        <f>IF('Robot Game Scores'!$B195&gt;0,MAX('Robot Game Scores'!$D195:$H195),0)</f>
        <v>0</v>
      </c>
    </row>
    <row r="196" ht="30.0" customHeight="1">
      <c r="A196" s="67">
        <f>IF('Robot Game Scores'!$B196&gt;0,MIN(_xlfn.RANK.EQ('Robot Game Scores'!$I196,'Robot Game Scores'!$I$2:$I$201,0),NumberOfTeams),NumberOfTeams+1)</f>
        <v>1</v>
      </c>
      <c r="B196" s="38" t="str">
        <f t="array" ref="B196">XLOOKUP(195,'Team and Program Information'!$B$3:$B$202,'Team and Program Information'!$C$3:$C$202,"ERROR",0)</f>
        <v/>
      </c>
      <c r="C196" s="68" t="str">
        <f t="array" ref="C196">XLOOKUP('Robot Design Input'!$A196,'Team and Program Information'!$C$3:$C$202,'Team and Program Information'!$D$3:$D$202,"",0,)</f>
        <v>#VALUE!</v>
      </c>
      <c r="D196" s="67"/>
      <c r="E196" s="67"/>
      <c r="F196" s="67"/>
      <c r="G196" s="38"/>
      <c r="H196" s="38"/>
      <c r="I196" s="90">
        <f>IF('Robot Game Scores'!$B196&gt;0,MAX('Robot Game Scores'!$D196:$H196),0)</f>
        <v>0</v>
      </c>
    </row>
    <row r="197" ht="30.0" customHeight="1">
      <c r="A197" s="67">
        <f>IF('Robot Game Scores'!$B197&gt;0,MIN(_xlfn.RANK.EQ('Robot Game Scores'!$I197,'Robot Game Scores'!$I$2:$I$201,0),NumberOfTeams),NumberOfTeams+1)</f>
        <v>1</v>
      </c>
      <c r="B197" s="38" t="str">
        <f t="array" ref="B197">XLOOKUP(196,'Team and Program Information'!$B$3:$B$202,'Team and Program Information'!$C$3:$C$202,"ERROR",0)</f>
        <v/>
      </c>
      <c r="C197" s="68" t="str">
        <f t="array" ref="C197">XLOOKUP('Robot Design Input'!$A197,'Team and Program Information'!$C$3:$C$202,'Team and Program Information'!$D$3:$D$202,"",0,)</f>
        <v>#VALUE!</v>
      </c>
      <c r="D197" s="67"/>
      <c r="E197" s="67"/>
      <c r="F197" s="67"/>
      <c r="G197" s="38"/>
      <c r="H197" s="38"/>
      <c r="I197" s="90">
        <f>IF('Robot Game Scores'!$B197&gt;0,MAX('Robot Game Scores'!$D197:$H197),0)</f>
        <v>0</v>
      </c>
    </row>
    <row r="198" ht="30.0" customHeight="1">
      <c r="A198" s="67">
        <f>IF('Robot Game Scores'!$B198&gt;0,MIN(_xlfn.RANK.EQ('Robot Game Scores'!$I198,'Robot Game Scores'!$I$2:$I$201,0),NumberOfTeams),NumberOfTeams+1)</f>
        <v>1</v>
      </c>
      <c r="B198" s="38" t="str">
        <f t="array" ref="B198">XLOOKUP(197,'Team and Program Information'!$B$3:$B$202,'Team and Program Information'!$C$3:$C$202,"ERROR",0)</f>
        <v/>
      </c>
      <c r="C198" s="68" t="str">
        <f t="array" ref="C198">XLOOKUP('Robot Design Input'!$A198,'Team and Program Information'!$C$3:$C$202,'Team and Program Information'!$D$3:$D$202,"",0,)</f>
        <v>#VALUE!</v>
      </c>
      <c r="D198" s="67"/>
      <c r="E198" s="67"/>
      <c r="F198" s="67"/>
      <c r="G198" s="38"/>
      <c r="H198" s="38"/>
      <c r="I198" s="90">
        <f>IF('Robot Game Scores'!$B198&gt;0,MAX('Robot Game Scores'!$D198:$H198),0)</f>
        <v>0</v>
      </c>
    </row>
    <row r="199" ht="30.0" customHeight="1">
      <c r="A199" s="67">
        <f>IF('Robot Game Scores'!$B199&gt;0,MIN(_xlfn.RANK.EQ('Robot Game Scores'!$I199,'Robot Game Scores'!$I$2:$I$201,0),NumberOfTeams),NumberOfTeams+1)</f>
        <v>1</v>
      </c>
      <c r="B199" s="38" t="str">
        <f t="array" ref="B199">XLOOKUP(198,'Team and Program Information'!$B$3:$B$202,'Team and Program Information'!$C$3:$C$202,"ERROR",0)</f>
        <v/>
      </c>
      <c r="C199" s="68" t="str">
        <f t="array" ref="C199">XLOOKUP('Robot Design Input'!$A199,'Team and Program Information'!$C$3:$C$202,'Team and Program Information'!$D$3:$D$202,"",0,)</f>
        <v>#VALUE!</v>
      </c>
      <c r="D199" s="67"/>
      <c r="E199" s="67"/>
      <c r="F199" s="67"/>
      <c r="G199" s="38"/>
      <c r="H199" s="38"/>
      <c r="I199" s="90">
        <f>IF('Robot Game Scores'!$B199&gt;0,MAX('Robot Game Scores'!$D199:$H199),0)</f>
        <v>0</v>
      </c>
    </row>
    <row r="200" ht="30.0" customHeight="1">
      <c r="A200" s="67">
        <f>IF('Robot Game Scores'!$B200&gt;0,MIN(_xlfn.RANK.EQ('Robot Game Scores'!$I200,'Robot Game Scores'!$I$2:$I$201,0),NumberOfTeams),NumberOfTeams+1)</f>
        <v>1</v>
      </c>
      <c r="B200" s="38" t="str">
        <f t="array" ref="B200">XLOOKUP(199,'Team and Program Information'!$B$3:$B$202,'Team and Program Information'!$C$3:$C$202,"ERROR",0)</f>
        <v/>
      </c>
      <c r="C200" s="68" t="str">
        <f t="array" ref="C200">XLOOKUP('Robot Design Input'!$A200,'Team and Program Information'!$C$3:$C$202,'Team and Program Information'!$D$3:$D$202,"",0,)</f>
        <v>#VALUE!</v>
      </c>
      <c r="D200" s="67"/>
      <c r="E200" s="67"/>
      <c r="F200" s="67"/>
      <c r="G200" s="38"/>
      <c r="H200" s="38"/>
      <c r="I200" s="90">
        <f>IF('Robot Game Scores'!$B200&gt;0,MAX('Robot Game Scores'!$D200:$H200),0)</f>
        <v>0</v>
      </c>
    </row>
    <row r="201" ht="30.0" customHeight="1">
      <c r="A201" s="67">
        <f>IF('Robot Game Scores'!$B201&gt;0,MIN(_xlfn.RANK.EQ('Robot Game Scores'!$I201,'Robot Game Scores'!$I$2:$I$201,0),NumberOfTeams),NumberOfTeams+1)</f>
        <v>1</v>
      </c>
      <c r="B201" s="38" t="str">
        <f t="array" ref="B201">XLOOKUP(200,'Team and Program Information'!$B$3:$B$202,'Team and Program Information'!$C$3:$C$202,"ERROR",0)</f>
        <v/>
      </c>
      <c r="C201" s="68" t="str">
        <f t="array" ref="C201">XLOOKUP('Robot Design Input'!$A201,'Team and Program Information'!$C$3:$C$202,'Team and Program Information'!$D$3:$D$202,"",0,)</f>
        <v>#VALUE!</v>
      </c>
      <c r="D201" s="67"/>
      <c r="E201" s="67"/>
      <c r="F201" s="67"/>
      <c r="G201" s="38"/>
      <c r="H201" s="38"/>
      <c r="I201" s="90">
        <f>IF('Robot Game Scores'!$B201&gt;0,MAX('Robot Game Scores'!$D201:$H201),0)</f>
        <v>0</v>
      </c>
    </row>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showGridLines="0" workbookViewId="0"/>
  </sheetViews>
  <sheetFormatPr customHeight="1" defaultColWidth="14.43" defaultRowHeight="15.0" outlineLevelCol="1"/>
  <cols>
    <col customWidth="1" min="1" max="1" width="15.43"/>
    <col customWidth="1" min="2" max="2" width="32.43"/>
    <col customWidth="1" hidden="1" min="3" max="12" width="5.86" outlineLevel="1"/>
    <col customWidth="1" min="13" max="15" width="7.43"/>
    <col customWidth="1" hidden="1" min="16" max="19" width="7.43" outlineLevel="1"/>
    <col customWidth="1" min="20" max="20" width="7.43"/>
    <col customWidth="1" min="21" max="21" width="10.43"/>
    <col customWidth="1" min="22" max="22" width="15.43"/>
    <col customWidth="1" min="23" max="25" width="10.43"/>
    <col customWidth="1" min="26" max="26" width="8.71"/>
  </cols>
  <sheetData>
    <row r="1" ht="169.5" customHeight="1">
      <c r="A1" s="75" t="s">
        <v>24</v>
      </c>
      <c r="B1" s="76" t="s">
        <v>25</v>
      </c>
      <c r="C1" s="91" t="s">
        <v>90</v>
      </c>
      <c r="D1" s="91" t="s">
        <v>91</v>
      </c>
      <c r="E1" s="91" t="s">
        <v>92</v>
      </c>
      <c r="F1" s="91" t="s">
        <v>93</v>
      </c>
      <c r="G1" s="91" t="s">
        <v>94</v>
      </c>
      <c r="H1" s="91" t="s">
        <v>95</v>
      </c>
      <c r="I1" s="91" t="s">
        <v>96</v>
      </c>
      <c r="J1" s="91" t="s">
        <v>97</v>
      </c>
      <c r="K1" s="91" t="s">
        <v>98</v>
      </c>
      <c r="L1" s="91" t="s">
        <v>99</v>
      </c>
      <c r="M1" s="92" t="s">
        <v>100</v>
      </c>
      <c r="N1" s="92" t="s">
        <v>101</v>
      </c>
      <c r="O1" s="92" t="s">
        <v>102</v>
      </c>
      <c r="P1" s="92" t="s">
        <v>103</v>
      </c>
      <c r="Q1" s="92" t="s">
        <v>104</v>
      </c>
      <c r="R1" s="93" t="s">
        <v>105</v>
      </c>
      <c r="S1" s="93" t="s">
        <v>106</v>
      </c>
      <c r="T1" s="94" t="s">
        <v>107</v>
      </c>
      <c r="U1" s="95" t="s">
        <v>61</v>
      </c>
      <c r="V1" s="95" t="s">
        <v>53</v>
      </c>
      <c r="W1" s="96" t="s">
        <v>108</v>
      </c>
      <c r="X1" s="96" t="s">
        <v>109</v>
      </c>
      <c r="Y1" s="96" t="s">
        <v>110</v>
      </c>
    </row>
    <row r="2" ht="30.0" customHeight="1">
      <c r="A2" s="38">
        <f t="array" ref="A2">(XLOOKUP(1,'Team and Program Information'!$B$3:$B$202,'Team and Program Information'!$C$3:$C$202,"ERROR",0))+0</f>
        <v>0</v>
      </c>
      <c r="B2" s="68" t="str">
        <f t="array" ref="B2">XLOOKUP('Core Values Input'!$A2,'Team and Program Information'!$C$3:$C$202,'Team and Program Information'!$D$3:$D$202,"",0,)</f>
        <v>#VALUE!</v>
      </c>
      <c r="C2" s="97" t="str">
        <f t="array" ref="C2">XLOOKUP('Core Values Input'!$A2,'Innovation Project Input'!$A$2:$A$201,'Innovation Project Input'!$D$2:$D$201)</f>
        <v>#N/A</v>
      </c>
      <c r="D2" s="97" t="str">
        <f t="array" ref="D2">XLOOKUP('Core Values Input'!$A2,'Innovation Project Input'!$A$2:$A$201,'Innovation Project Input'!$F$2:$F$201)</f>
        <v>#N/A</v>
      </c>
      <c r="E2" s="97" t="str">
        <f t="array" ref="E2">XLOOKUP('Core Values Input'!$A2,'Innovation Project Input'!$A$2:$A$201,'Innovation Project Input'!$G$2:$G$201)</f>
        <v>#N/A</v>
      </c>
      <c r="F2" s="97" t="str">
        <f t="array" ref="F2">XLOOKUP('Core Values Input'!$A2,'Innovation Project Input'!$A$2:$A$201,'Innovation Project Input'!$K$2:$K$201)</f>
        <v>#N/A</v>
      </c>
      <c r="G2" s="97" t="str">
        <f t="array" ref="G2">XLOOKUP('Core Values Input'!$A2,'Innovation Project Input'!$A$2:$A$201,'Innovation Project Input'!$L$2:$L$201)</f>
        <v>#N/A</v>
      </c>
      <c r="H2" s="97" t="str">
        <f t="array" ref="H2">XLOOKUP('Core Values Input'!$A2,'Robot Design Input'!$A$2:$A$201,'Robot Design Input'!$D$2:$D$201)</f>
        <v/>
      </c>
      <c r="I2" s="97" t="str">
        <f t="array" ref="I2">XLOOKUP('Core Values Input'!$A2,'Robot Design Input'!$A$2:$A$201,'Robot Design Input'!$E$2:$E$201)</f>
        <v/>
      </c>
      <c r="J2" s="97" t="str">
        <f t="array" ref="J2">XLOOKUP('Core Values Input'!$A2,'Robot Design Input'!$A$2:$A$201,'Robot Design Input'!$J$2:$J$201)</f>
        <v/>
      </c>
      <c r="K2" s="97" t="str">
        <f t="array" ref="K2">XLOOKUP('Core Values Input'!$A2,'Robot Design Input'!$A$2:$A$201,'Robot Design Input'!$K$2:$K$201)</f>
        <v/>
      </c>
      <c r="L2" s="97" t="str">
        <f t="array" ref="L2">XLOOKUP('Core Values Input'!$A2,'Robot Design Input'!$A$2:$A$201,'Robot Design Input'!$L$2:$L$201)</f>
        <v/>
      </c>
      <c r="M2" s="38"/>
      <c r="N2" s="38"/>
      <c r="O2" s="38"/>
      <c r="P2" s="38"/>
      <c r="Q2" s="38"/>
      <c r="R2" s="38" t="str">
        <f>IF('Core Values Input'!$M2="","",COUNTIF('Core Values Input'!$M2:$Q2,""))</f>
        <v/>
      </c>
      <c r="S2" s="38" t="str">
        <f>IF('Core Values Input'!$M2="","",SUM('Core Values Input'!$M2:$Q2))</f>
        <v/>
      </c>
      <c r="T2" s="38" t="str">
        <f>IF('Core Values Input'!$R2=3,SUM('Core Values Input'!$M2:$Q2),IF('Core Values Input'!$R2=4,SUM('Core Values Input'!$M2:$Q2),IF('Core Values Input'!$R2=2,'Core Values Input'!$S2,IF('Core Values Input'!$R2=1,'Core Values Input'!$S2*0.75,IF('Core Values Input'!$R2=0,'Core Values Input'!$S2*0.6,"")))))</f>
        <v/>
      </c>
      <c r="U2" s="98" t="str">
        <f>SUM('Core Values Input'!$C2:$L2,'Core Values Input'!$T2)</f>
        <v>#N/A</v>
      </c>
      <c r="V2" s="80">
        <f>IF('Core Values Input'!$A2&gt;0,MIN(_xlfn.RANK.EQ('Core Values Input'!$U2,'Core Values Input'!$U$2:$U$201,0),NumberOfTeams),NumberOfTeams+1)</f>
        <v>1</v>
      </c>
      <c r="W2" s="99"/>
      <c r="X2" s="99"/>
      <c r="Y2" s="99"/>
    </row>
    <row r="3" ht="30.0" customHeight="1">
      <c r="A3" s="38">
        <f t="array" ref="A3">(XLOOKUP(2,'Team and Program Information'!$B$3:$B$202,'Team and Program Information'!$C$3:$C$202,"ERROR",0))+0</f>
        <v>0</v>
      </c>
      <c r="B3" s="68" t="str">
        <f t="array" ref="B3">XLOOKUP('Core Values Input'!$A3,'Team and Program Information'!$C$3:$C$202,'Team and Program Information'!$D$3:$D$202,"",0,)</f>
        <v>#VALUE!</v>
      </c>
      <c r="C3" s="97" t="str">
        <f t="array" ref="C3">XLOOKUP('Core Values Input'!$A3,'Innovation Project Input'!$A$2:$A$201,'Innovation Project Input'!$D$2:$D$201)</f>
        <v>#N/A</v>
      </c>
      <c r="D3" s="97" t="str">
        <f t="array" ref="D3">XLOOKUP('Core Values Input'!$A3,'Innovation Project Input'!$A$2:$A$201,'Innovation Project Input'!$F$2:$F$201)</f>
        <v>#N/A</v>
      </c>
      <c r="E3" s="97" t="str">
        <f t="array" ref="E3">XLOOKUP('Core Values Input'!$A3,'Innovation Project Input'!$A$2:$A$201,'Innovation Project Input'!$G$2:$G$201)</f>
        <v>#N/A</v>
      </c>
      <c r="F3" s="97" t="str">
        <f t="array" ref="F3">XLOOKUP('Core Values Input'!$A3,'Innovation Project Input'!$A$2:$A$201,'Innovation Project Input'!$K$2:$K$201)</f>
        <v>#N/A</v>
      </c>
      <c r="G3" s="97" t="str">
        <f t="array" ref="G3">XLOOKUP('Core Values Input'!$A3,'Innovation Project Input'!$A$2:$A$201,'Innovation Project Input'!$L$2:$L$201)</f>
        <v>#N/A</v>
      </c>
      <c r="H3" s="97" t="str">
        <f t="array" ref="H3">XLOOKUP('Core Values Input'!$A3,'Robot Design Input'!$A$2:$A$201,'Robot Design Input'!$D$2:$D$201)</f>
        <v/>
      </c>
      <c r="I3" s="97" t="str">
        <f t="array" ref="I3">XLOOKUP('Core Values Input'!$A3,'Robot Design Input'!$A$2:$A$201,'Robot Design Input'!$E$2:$E$201)</f>
        <v/>
      </c>
      <c r="J3" s="97" t="str">
        <f t="array" ref="J3">XLOOKUP('Core Values Input'!$A3,'Robot Design Input'!$A$2:$A$201,'Robot Design Input'!$J$2:$J$201)</f>
        <v/>
      </c>
      <c r="K3" s="97" t="str">
        <f t="array" ref="K3">XLOOKUP('Core Values Input'!$A3,'Robot Design Input'!$A$2:$A$201,'Robot Design Input'!$K$2:$K$201)</f>
        <v/>
      </c>
      <c r="L3" s="97" t="str">
        <f t="array" ref="L3">XLOOKUP('Core Values Input'!$A3,'Robot Design Input'!$A$2:$A$201,'Robot Design Input'!$L$2:$L$201)</f>
        <v/>
      </c>
      <c r="M3" s="38"/>
      <c r="N3" s="38"/>
      <c r="O3" s="38"/>
      <c r="P3" s="38"/>
      <c r="Q3" s="38"/>
      <c r="R3" s="38" t="str">
        <f>IF('Core Values Input'!$M3="","",COUNTIF('Core Values Input'!$M3:$Q3,""))</f>
        <v/>
      </c>
      <c r="S3" s="38" t="str">
        <f>IF('Core Values Input'!$M3="","",SUM('Core Values Input'!$M3:$Q3))</f>
        <v/>
      </c>
      <c r="T3" s="38" t="str">
        <f>IF('Core Values Input'!$R3=3,SUM('Core Values Input'!$M3:$Q3),IF('Core Values Input'!$R3=4,SUM('Core Values Input'!$M3:$Q3),IF('Core Values Input'!$R3=2,'Core Values Input'!$S3,IF('Core Values Input'!$R3=1,'Core Values Input'!$S3*0.75,IF('Core Values Input'!$R3=0,'Core Values Input'!$S3*0.6,"")))))</f>
        <v/>
      </c>
      <c r="U3" s="98" t="str">
        <f>SUM('Core Values Input'!$C3:$L3,'Core Values Input'!$T3)</f>
        <v>#N/A</v>
      </c>
      <c r="V3" s="80">
        <f>IF('Core Values Input'!$A3&gt;0,MIN(_xlfn.RANK.EQ('Core Values Input'!$U3,'Core Values Input'!$U$2:$U$201,0),NumberOfTeams),NumberOfTeams+1)</f>
        <v>1</v>
      </c>
      <c r="W3" s="99"/>
      <c r="X3" s="99"/>
      <c r="Y3" s="99"/>
    </row>
    <row r="4" ht="30.0" customHeight="1">
      <c r="A4" s="38">
        <f t="array" ref="A4">(XLOOKUP(3,'Team and Program Information'!$B$3:$B$202,'Team and Program Information'!$C$3:$C$202,"ERROR",0))+0</f>
        <v>0</v>
      </c>
      <c r="B4" s="68" t="str">
        <f t="array" ref="B4">XLOOKUP('Core Values Input'!$A4,'Team and Program Information'!$C$3:$C$202,'Team and Program Information'!$D$3:$D$202,"",0,)</f>
        <v>#VALUE!</v>
      </c>
      <c r="C4" s="97" t="str">
        <f t="array" ref="C4">XLOOKUP('Core Values Input'!$A4,'Innovation Project Input'!$A$2:$A$201,'Innovation Project Input'!$D$2:$D$201)</f>
        <v>#N/A</v>
      </c>
      <c r="D4" s="97" t="str">
        <f t="array" ref="D4">XLOOKUP('Core Values Input'!$A4,'Innovation Project Input'!$A$2:$A$201,'Innovation Project Input'!$F$2:$F$201)</f>
        <v>#N/A</v>
      </c>
      <c r="E4" s="97" t="str">
        <f t="array" ref="E4">XLOOKUP('Core Values Input'!$A4,'Innovation Project Input'!$A$2:$A$201,'Innovation Project Input'!$G$2:$G$201)</f>
        <v>#N/A</v>
      </c>
      <c r="F4" s="97" t="str">
        <f t="array" ref="F4">XLOOKUP('Core Values Input'!$A4,'Innovation Project Input'!$A$2:$A$201,'Innovation Project Input'!$K$2:$K$201)</f>
        <v>#N/A</v>
      </c>
      <c r="G4" s="97" t="str">
        <f t="array" ref="G4">XLOOKUP('Core Values Input'!$A4,'Innovation Project Input'!$A$2:$A$201,'Innovation Project Input'!$L$2:$L$201)</f>
        <v>#N/A</v>
      </c>
      <c r="H4" s="97" t="str">
        <f t="array" ref="H4">XLOOKUP('Core Values Input'!$A4,'Robot Design Input'!$A$2:$A$201,'Robot Design Input'!$D$2:$D$201)</f>
        <v/>
      </c>
      <c r="I4" s="97" t="str">
        <f t="array" ref="I4">XLOOKUP('Core Values Input'!$A4,'Robot Design Input'!$A$2:$A$201,'Robot Design Input'!$E$2:$E$201)</f>
        <v/>
      </c>
      <c r="J4" s="97" t="str">
        <f t="array" ref="J4">XLOOKUP('Core Values Input'!$A4,'Robot Design Input'!$A$2:$A$201,'Robot Design Input'!$J$2:$J$201)</f>
        <v/>
      </c>
      <c r="K4" s="97" t="str">
        <f t="array" ref="K4">XLOOKUP('Core Values Input'!$A4,'Robot Design Input'!$A$2:$A$201,'Robot Design Input'!$K$2:$K$201)</f>
        <v/>
      </c>
      <c r="L4" s="97" t="str">
        <f t="array" ref="L4">XLOOKUP('Core Values Input'!$A4,'Robot Design Input'!$A$2:$A$201,'Robot Design Input'!$L$2:$L$201)</f>
        <v/>
      </c>
      <c r="M4" s="38"/>
      <c r="N4" s="38"/>
      <c r="O4" s="38"/>
      <c r="P4" s="38"/>
      <c r="Q4" s="38"/>
      <c r="R4" s="38" t="str">
        <f>IF('Core Values Input'!$M4="","",COUNTIF('Core Values Input'!$M4:$Q4,""))</f>
        <v/>
      </c>
      <c r="S4" s="38" t="str">
        <f>IF('Core Values Input'!$M4="","",SUM('Core Values Input'!$M4:$Q4))</f>
        <v/>
      </c>
      <c r="T4" s="38" t="str">
        <f>IF('Core Values Input'!$R4=3,SUM('Core Values Input'!$M4:$Q4),IF('Core Values Input'!$R4=4,SUM('Core Values Input'!$M4:$Q4),IF('Core Values Input'!$R4=2,'Core Values Input'!$S4,IF('Core Values Input'!$R4=1,'Core Values Input'!$S4*0.75,IF('Core Values Input'!$R4=0,'Core Values Input'!$S4*0.6,"")))))</f>
        <v/>
      </c>
      <c r="U4" s="98" t="str">
        <f>SUM('Core Values Input'!$C4:$L4,'Core Values Input'!$T4)</f>
        <v>#N/A</v>
      </c>
      <c r="V4" s="80">
        <f>IF('Core Values Input'!$A4&gt;0,MIN(_xlfn.RANK.EQ('Core Values Input'!$U4,'Core Values Input'!$U$2:$U$201,0),NumberOfTeams),NumberOfTeams+1)</f>
        <v>1</v>
      </c>
      <c r="W4" s="99"/>
      <c r="X4" s="99"/>
      <c r="Y4" s="99"/>
    </row>
    <row r="5" ht="30.0" customHeight="1">
      <c r="A5" s="38" t="str">
        <f t="array" ref="A5">XLOOKUP(4,'Team and Program Information'!$B$3:$B$202,'Team and Program Information'!$C$3:$C$202,"ERROR",0)</f>
        <v/>
      </c>
      <c r="B5" s="68" t="str">
        <f t="array" ref="B5">XLOOKUP('Core Values Input'!$A5,'Team and Program Information'!$C$3:$C$202,'Team and Program Information'!$D$3:$D$202,"",0,)</f>
        <v>#VALUE!</v>
      </c>
      <c r="C5" s="97" t="str">
        <f t="array" ref="C5">XLOOKUP('Core Values Input'!$A5,'Innovation Project Input'!$A$2:$A$201,'Innovation Project Input'!$D$2:$D$201)</f>
        <v>#N/A</v>
      </c>
      <c r="D5" s="97" t="str">
        <f t="array" ref="D5">XLOOKUP('Core Values Input'!$A5,'Innovation Project Input'!$A$2:$A$201,'Innovation Project Input'!$F$2:$F$201)</f>
        <v>#N/A</v>
      </c>
      <c r="E5" s="97" t="str">
        <f t="array" ref="E5">XLOOKUP('Core Values Input'!$A5,'Innovation Project Input'!$A$2:$A$201,'Innovation Project Input'!$G$2:$G$201)</f>
        <v>#N/A</v>
      </c>
      <c r="F5" s="97" t="str">
        <f t="array" ref="F5">XLOOKUP('Core Values Input'!$A5,'Innovation Project Input'!$A$2:$A$201,'Innovation Project Input'!$K$2:$K$201)</f>
        <v>#N/A</v>
      </c>
      <c r="G5" s="97" t="str">
        <f t="array" ref="G5">XLOOKUP('Core Values Input'!$A5,'Innovation Project Input'!$A$2:$A$201,'Innovation Project Input'!$L$2:$L$201)</f>
        <v>#N/A</v>
      </c>
      <c r="H5" s="97" t="str">
        <f t="array" ref="H5">XLOOKUP('Core Values Input'!$A5,'Robot Design Input'!$A$2:$A$201,'Robot Design Input'!$D$2:$D$201)</f>
        <v/>
      </c>
      <c r="I5" s="97" t="str">
        <f t="array" ref="I5">XLOOKUP('Core Values Input'!$A5,'Robot Design Input'!$A$2:$A$201,'Robot Design Input'!$E$2:$E$201)</f>
        <v/>
      </c>
      <c r="J5" s="97" t="str">
        <f t="array" ref="J5">XLOOKUP('Core Values Input'!$A5,'Robot Design Input'!$A$2:$A$201,'Robot Design Input'!$J$2:$J$201)</f>
        <v/>
      </c>
      <c r="K5" s="97" t="str">
        <f t="array" ref="K5">XLOOKUP('Core Values Input'!$A5,'Robot Design Input'!$A$2:$A$201,'Robot Design Input'!$K$2:$K$201)</f>
        <v/>
      </c>
      <c r="L5" s="97" t="str">
        <f t="array" ref="L5">XLOOKUP('Core Values Input'!$A5,'Robot Design Input'!$A$2:$A$201,'Robot Design Input'!$L$2:$L$201)</f>
        <v/>
      </c>
      <c r="M5" s="38"/>
      <c r="N5" s="38"/>
      <c r="O5" s="38"/>
      <c r="P5" s="38"/>
      <c r="Q5" s="38"/>
      <c r="R5" s="38" t="str">
        <f>IF('Core Values Input'!$M5="","",COUNTIF('Core Values Input'!$M5:$Q5,""))</f>
        <v/>
      </c>
      <c r="S5" s="38" t="str">
        <f>IF('Core Values Input'!$M5="","",SUM('Core Values Input'!$M5:$Q5))</f>
        <v/>
      </c>
      <c r="T5" s="38" t="str">
        <f>IF('Core Values Input'!$R5=3,SUM('Core Values Input'!$M5:$Q5),IF('Core Values Input'!$R5=4,SUM('Core Values Input'!$M5:$Q5),IF('Core Values Input'!$R5=2,'Core Values Input'!$S5,IF('Core Values Input'!$R5=1,'Core Values Input'!$S5*0.75,IF('Core Values Input'!$R5=0,'Core Values Input'!$S5*0.6,"")))))</f>
        <v/>
      </c>
      <c r="U5" s="98" t="str">
        <f>SUM('Core Values Input'!$C5:$L5,'Core Values Input'!$T5)</f>
        <v>#N/A</v>
      </c>
      <c r="V5" s="80">
        <f>IF('Core Values Input'!$A5&gt;0,MIN(_xlfn.RANK.EQ('Core Values Input'!$U5,'Core Values Input'!$U$2:$U$201,0),NumberOfTeams),NumberOfTeams+1)</f>
        <v>1</v>
      </c>
      <c r="W5" s="99"/>
      <c r="X5" s="99"/>
      <c r="Y5" s="99"/>
    </row>
    <row r="6" ht="30.0" customHeight="1">
      <c r="A6" s="38" t="str">
        <f t="array" ref="A6">XLOOKUP(5,'Team and Program Information'!$B$3:$B$202,'Team and Program Information'!$C$3:$C$202,"ERROR",0)</f>
        <v/>
      </c>
      <c r="B6" s="68" t="str">
        <f t="array" ref="B6">XLOOKUP('Core Values Input'!$A6,'Team and Program Information'!$C$3:$C$202,'Team and Program Information'!$D$3:$D$202,"",0,)</f>
        <v>#VALUE!</v>
      </c>
      <c r="C6" s="97" t="str">
        <f t="array" ref="C6">XLOOKUP('Core Values Input'!$A6,'Innovation Project Input'!$A$2:$A$201,'Innovation Project Input'!$D$2:$D$201)</f>
        <v>#N/A</v>
      </c>
      <c r="D6" s="97" t="str">
        <f t="array" ref="D6">XLOOKUP('Core Values Input'!$A6,'Innovation Project Input'!$A$2:$A$201,'Innovation Project Input'!$F$2:$F$201)</f>
        <v>#N/A</v>
      </c>
      <c r="E6" s="97" t="str">
        <f t="array" ref="E6">XLOOKUP('Core Values Input'!$A6,'Innovation Project Input'!$A$2:$A$201,'Innovation Project Input'!$G$2:$G$201)</f>
        <v>#N/A</v>
      </c>
      <c r="F6" s="97" t="str">
        <f t="array" ref="F6">XLOOKUP('Core Values Input'!$A6,'Innovation Project Input'!$A$2:$A$201,'Innovation Project Input'!$K$2:$K$201)</f>
        <v>#N/A</v>
      </c>
      <c r="G6" s="97" t="str">
        <f t="array" ref="G6">XLOOKUP('Core Values Input'!$A6,'Innovation Project Input'!$A$2:$A$201,'Innovation Project Input'!$L$2:$L$201)</f>
        <v>#N/A</v>
      </c>
      <c r="H6" s="97" t="str">
        <f t="array" ref="H6">XLOOKUP('Core Values Input'!$A6,'Robot Design Input'!$A$2:$A$201,'Robot Design Input'!$D$2:$D$201)</f>
        <v/>
      </c>
      <c r="I6" s="97" t="str">
        <f t="array" ref="I6">XLOOKUP('Core Values Input'!$A6,'Robot Design Input'!$A$2:$A$201,'Robot Design Input'!$E$2:$E$201)</f>
        <v/>
      </c>
      <c r="J6" s="97" t="str">
        <f t="array" ref="J6">XLOOKUP('Core Values Input'!$A6,'Robot Design Input'!$A$2:$A$201,'Robot Design Input'!$J$2:$J$201)</f>
        <v/>
      </c>
      <c r="K6" s="97" t="str">
        <f t="array" ref="K6">XLOOKUP('Core Values Input'!$A6,'Robot Design Input'!$A$2:$A$201,'Robot Design Input'!$K$2:$K$201)</f>
        <v/>
      </c>
      <c r="L6" s="97" t="str">
        <f t="array" ref="L6">XLOOKUP('Core Values Input'!$A6,'Robot Design Input'!$A$2:$A$201,'Robot Design Input'!$L$2:$L$201)</f>
        <v/>
      </c>
      <c r="M6" s="38"/>
      <c r="N6" s="38"/>
      <c r="O6" s="38"/>
      <c r="P6" s="38"/>
      <c r="Q6" s="38"/>
      <c r="R6" s="38" t="str">
        <f>IF('Core Values Input'!$M6="","",COUNTIF('Core Values Input'!$M6:$Q6,""))</f>
        <v/>
      </c>
      <c r="S6" s="38" t="str">
        <f>IF('Core Values Input'!$M6="","",SUM('Core Values Input'!$M6:$Q6))</f>
        <v/>
      </c>
      <c r="T6" s="38" t="str">
        <f>IF('Core Values Input'!$R6=3,SUM('Core Values Input'!$M6:$Q6),IF('Core Values Input'!$R6=4,SUM('Core Values Input'!$M6:$Q6),IF('Core Values Input'!$R6=2,'Core Values Input'!$S6,IF('Core Values Input'!$R6=1,'Core Values Input'!$S6*0.75,IF('Core Values Input'!$R6=0,'Core Values Input'!$S6*0.6,"")))))</f>
        <v/>
      </c>
      <c r="U6" s="98" t="str">
        <f>SUM('Core Values Input'!$C6:$L6,'Core Values Input'!$T6)</f>
        <v>#N/A</v>
      </c>
      <c r="V6" s="80">
        <f>IF('Core Values Input'!$A6&gt;0,MIN(_xlfn.RANK.EQ('Core Values Input'!$U6,'Core Values Input'!$U$2:$U$201,0),NumberOfTeams),NumberOfTeams+1)</f>
        <v>1</v>
      </c>
      <c r="W6" s="99"/>
      <c r="X6" s="99"/>
      <c r="Y6" s="99"/>
    </row>
    <row r="7" ht="30.0" customHeight="1">
      <c r="A7" s="38" t="str">
        <f t="array" ref="A7">XLOOKUP(6,'Team and Program Information'!$B$3:$B$202,'Team and Program Information'!$C$3:$C$202,"ERROR",0)</f>
        <v/>
      </c>
      <c r="B7" s="68" t="str">
        <f t="array" ref="B7">XLOOKUP('Core Values Input'!$A7,'Team and Program Information'!$C$3:$C$202,'Team and Program Information'!$D$3:$D$202,"",0,)</f>
        <v>#VALUE!</v>
      </c>
      <c r="C7" s="97" t="str">
        <f t="array" ref="C7">XLOOKUP('Core Values Input'!$A7,'Innovation Project Input'!$A$2:$A$201,'Innovation Project Input'!$D$2:$D$201)</f>
        <v>#N/A</v>
      </c>
      <c r="D7" s="97" t="str">
        <f t="array" ref="D7">XLOOKUP('Core Values Input'!$A7,'Innovation Project Input'!$A$2:$A$201,'Innovation Project Input'!$F$2:$F$201)</f>
        <v>#N/A</v>
      </c>
      <c r="E7" s="97" t="str">
        <f t="array" ref="E7">XLOOKUP('Core Values Input'!$A7,'Innovation Project Input'!$A$2:$A$201,'Innovation Project Input'!$G$2:$G$201)</f>
        <v>#N/A</v>
      </c>
      <c r="F7" s="97" t="str">
        <f t="array" ref="F7">XLOOKUP('Core Values Input'!$A7,'Innovation Project Input'!$A$2:$A$201,'Innovation Project Input'!$K$2:$K$201)</f>
        <v>#N/A</v>
      </c>
      <c r="G7" s="97" t="str">
        <f t="array" ref="G7">XLOOKUP('Core Values Input'!$A7,'Innovation Project Input'!$A$2:$A$201,'Innovation Project Input'!$L$2:$L$201)</f>
        <v>#N/A</v>
      </c>
      <c r="H7" s="97" t="str">
        <f t="array" ref="H7">XLOOKUP('Core Values Input'!$A7,'Robot Design Input'!$A$2:$A$201,'Robot Design Input'!$D$2:$D$201)</f>
        <v/>
      </c>
      <c r="I7" s="97" t="str">
        <f t="array" ref="I7">XLOOKUP('Core Values Input'!$A7,'Robot Design Input'!$A$2:$A$201,'Robot Design Input'!$E$2:$E$201)</f>
        <v/>
      </c>
      <c r="J7" s="97" t="str">
        <f t="array" ref="J7">XLOOKUP('Core Values Input'!$A7,'Robot Design Input'!$A$2:$A$201,'Robot Design Input'!$J$2:$J$201)</f>
        <v/>
      </c>
      <c r="K7" s="97" t="str">
        <f t="array" ref="K7">XLOOKUP('Core Values Input'!$A7,'Robot Design Input'!$A$2:$A$201,'Robot Design Input'!$K$2:$K$201)</f>
        <v/>
      </c>
      <c r="L7" s="97" t="str">
        <f t="array" ref="L7">XLOOKUP('Core Values Input'!$A7,'Robot Design Input'!$A$2:$A$201,'Robot Design Input'!$L$2:$L$201)</f>
        <v/>
      </c>
      <c r="M7" s="38"/>
      <c r="N7" s="38"/>
      <c r="O7" s="38"/>
      <c r="P7" s="38"/>
      <c r="Q7" s="38"/>
      <c r="R7" s="38" t="str">
        <f>IF('Core Values Input'!$M7="","",COUNTIF('Core Values Input'!$M7:$Q7,""))</f>
        <v/>
      </c>
      <c r="S7" s="38" t="str">
        <f>IF('Core Values Input'!$M7="","",SUM('Core Values Input'!$M7:$Q7))</f>
        <v/>
      </c>
      <c r="T7" s="38" t="str">
        <f>IF('Core Values Input'!$R7=3,SUM('Core Values Input'!$M7:$Q7),IF('Core Values Input'!$R7=4,SUM('Core Values Input'!$M7:$Q7),IF('Core Values Input'!$R7=2,'Core Values Input'!$S7,IF('Core Values Input'!$R7=1,'Core Values Input'!$S7*0.75,IF('Core Values Input'!$R7=0,'Core Values Input'!$S7*0.6,"")))))</f>
        <v/>
      </c>
      <c r="U7" s="98" t="str">
        <f>SUM('Core Values Input'!$C7:$L7,'Core Values Input'!$T7)</f>
        <v>#N/A</v>
      </c>
      <c r="V7" s="80">
        <f>IF('Core Values Input'!$A7&gt;0,MIN(_xlfn.RANK.EQ('Core Values Input'!$U7,'Core Values Input'!$U$2:$U$201,0),NumberOfTeams),NumberOfTeams+1)</f>
        <v>1</v>
      </c>
      <c r="W7" s="99"/>
      <c r="X7" s="99"/>
      <c r="Y7" s="99"/>
    </row>
    <row r="8" ht="30.0" customHeight="1">
      <c r="A8" s="38" t="str">
        <f t="array" ref="A8">XLOOKUP(7,'Team and Program Information'!$B$3:$B$202,'Team and Program Information'!$C$3:$C$202,"ERROR",0)</f>
        <v/>
      </c>
      <c r="B8" s="68" t="str">
        <f t="array" ref="B8">XLOOKUP('Core Values Input'!$A8,'Team and Program Information'!$C$3:$C$202,'Team and Program Information'!$D$3:$D$202,"",0,)</f>
        <v>#VALUE!</v>
      </c>
      <c r="C8" s="97" t="str">
        <f t="array" ref="C8">XLOOKUP('Core Values Input'!$A8,'Innovation Project Input'!$A$2:$A$201,'Innovation Project Input'!$D$2:$D$201)</f>
        <v>#N/A</v>
      </c>
      <c r="D8" s="97" t="str">
        <f t="array" ref="D8">XLOOKUP('Core Values Input'!$A8,'Innovation Project Input'!$A$2:$A$201,'Innovation Project Input'!$F$2:$F$201)</f>
        <v>#N/A</v>
      </c>
      <c r="E8" s="97" t="str">
        <f t="array" ref="E8">XLOOKUP('Core Values Input'!$A8,'Innovation Project Input'!$A$2:$A$201,'Innovation Project Input'!$G$2:$G$201)</f>
        <v>#N/A</v>
      </c>
      <c r="F8" s="97" t="str">
        <f t="array" ref="F8">XLOOKUP('Core Values Input'!$A8,'Innovation Project Input'!$A$2:$A$201,'Innovation Project Input'!$K$2:$K$201)</f>
        <v>#N/A</v>
      </c>
      <c r="G8" s="97" t="str">
        <f t="array" ref="G8">XLOOKUP('Core Values Input'!$A8,'Innovation Project Input'!$A$2:$A$201,'Innovation Project Input'!$L$2:$L$201)</f>
        <v>#N/A</v>
      </c>
      <c r="H8" s="97" t="str">
        <f t="array" ref="H8">XLOOKUP('Core Values Input'!$A8,'Robot Design Input'!$A$2:$A$201,'Robot Design Input'!$D$2:$D$201)</f>
        <v/>
      </c>
      <c r="I8" s="97" t="str">
        <f t="array" ref="I8">XLOOKUP('Core Values Input'!$A8,'Robot Design Input'!$A$2:$A$201,'Robot Design Input'!$E$2:$E$201)</f>
        <v/>
      </c>
      <c r="J8" s="97" t="str">
        <f t="array" ref="J8">XLOOKUP('Core Values Input'!$A8,'Robot Design Input'!$A$2:$A$201,'Robot Design Input'!$J$2:$J$201)</f>
        <v/>
      </c>
      <c r="K8" s="97" t="str">
        <f t="array" ref="K8">XLOOKUP('Core Values Input'!$A8,'Robot Design Input'!$A$2:$A$201,'Robot Design Input'!$K$2:$K$201)</f>
        <v/>
      </c>
      <c r="L8" s="97" t="str">
        <f t="array" ref="L8">XLOOKUP('Core Values Input'!$A8,'Robot Design Input'!$A$2:$A$201,'Robot Design Input'!$L$2:$L$201)</f>
        <v/>
      </c>
      <c r="M8" s="38"/>
      <c r="N8" s="38"/>
      <c r="O8" s="38"/>
      <c r="P8" s="38"/>
      <c r="Q8" s="38"/>
      <c r="R8" s="38" t="str">
        <f>IF('Core Values Input'!$M8="","",COUNTIF('Core Values Input'!$M8:$Q8,""))</f>
        <v/>
      </c>
      <c r="S8" s="38" t="str">
        <f>IF('Core Values Input'!$M8="","",SUM('Core Values Input'!$M8:$Q8))</f>
        <v/>
      </c>
      <c r="T8" s="38" t="str">
        <f>IF('Core Values Input'!$R8=3,SUM('Core Values Input'!$M8:$Q8),IF('Core Values Input'!$R8=4,SUM('Core Values Input'!$M8:$Q8),IF('Core Values Input'!$R8=2,'Core Values Input'!$S8,IF('Core Values Input'!$R8=1,'Core Values Input'!$S8*0.75,IF('Core Values Input'!$R8=0,'Core Values Input'!$S8*0.6,"")))))</f>
        <v/>
      </c>
      <c r="U8" s="98" t="str">
        <f>SUM('Core Values Input'!$C8:$L8,'Core Values Input'!$T8)</f>
        <v>#N/A</v>
      </c>
      <c r="V8" s="80">
        <f>IF('Core Values Input'!$A8&gt;0,MIN(_xlfn.RANK.EQ('Core Values Input'!$U8,'Core Values Input'!$U$2:$U$201,0),NumberOfTeams),NumberOfTeams+1)</f>
        <v>1</v>
      </c>
      <c r="W8" s="99"/>
      <c r="X8" s="99"/>
      <c r="Y8" s="99"/>
    </row>
    <row r="9" ht="30.0" customHeight="1">
      <c r="A9" s="38" t="str">
        <f t="array" ref="A9">XLOOKUP(8,'Team and Program Information'!$B$3:$B$202,'Team and Program Information'!$C$3:$C$202,"ERROR",0)</f>
        <v/>
      </c>
      <c r="B9" s="68" t="str">
        <f t="array" ref="B9">XLOOKUP('Core Values Input'!$A9,'Team and Program Information'!$C$3:$C$202,'Team and Program Information'!$D$3:$D$202,"",0,)</f>
        <v>#VALUE!</v>
      </c>
      <c r="C9" s="97" t="str">
        <f t="array" ref="C9">XLOOKUP('Core Values Input'!$A9,'Innovation Project Input'!$A$2:$A$201,'Innovation Project Input'!$D$2:$D$201)</f>
        <v>#N/A</v>
      </c>
      <c r="D9" s="97" t="str">
        <f t="array" ref="D9">XLOOKUP('Core Values Input'!$A9,'Innovation Project Input'!$A$2:$A$201,'Innovation Project Input'!$F$2:$F$201)</f>
        <v>#N/A</v>
      </c>
      <c r="E9" s="97" t="str">
        <f t="array" ref="E9">XLOOKUP('Core Values Input'!$A9,'Innovation Project Input'!$A$2:$A$201,'Innovation Project Input'!$G$2:$G$201)</f>
        <v>#N/A</v>
      </c>
      <c r="F9" s="97" t="str">
        <f t="array" ref="F9">XLOOKUP('Core Values Input'!$A9,'Innovation Project Input'!$A$2:$A$201,'Innovation Project Input'!$K$2:$K$201)</f>
        <v>#N/A</v>
      </c>
      <c r="G9" s="97" t="str">
        <f t="array" ref="G9">XLOOKUP('Core Values Input'!$A9,'Innovation Project Input'!$A$2:$A$201,'Innovation Project Input'!$L$2:$L$201)</f>
        <v>#N/A</v>
      </c>
      <c r="H9" s="97" t="str">
        <f t="array" ref="H9">XLOOKUP('Core Values Input'!$A9,'Robot Design Input'!$A$2:$A$201,'Robot Design Input'!$D$2:$D$201)</f>
        <v/>
      </c>
      <c r="I9" s="97" t="str">
        <f t="array" ref="I9">XLOOKUP('Core Values Input'!$A9,'Robot Design Input'!$A$2:$A$201,'Robot Design Input'!$E$2:$E$201)</f>
        <v/>
      </c>
      <c r="J9" s="97" t="str">
        <f t="array" ref="J9">XLOOKUP('Core Values Input'!$A9,'Robot Design Input'!$A$2:$A$201,'Robot Design Input'!$J$2:$J$201)</f>
        <v/>
      </c>
      <c r="K9" s="97" t="str">
        <f t="array" ref="K9">XLOOKUP('Core Values Input'!$A9,'Robot Design Input'!$A$2:$A$201,'Robot Design Input'!$K$2:$K$201)</f>
        <v/>
      </c>
      <c r="L9" s="97" t="str">
        <f t="array" ref="L9">XLOOKUP('Core Values Input'!$A9,'Robot Design Input'!$A$2:$A$201,'Robot Design Input'!$L$2:$L$201)</f>
        <v/>
      </c>
      <c r="M9" s="38"/>
      <c r="N9" s="38"/>
      <c r="O9" s="38"/>
      <c r="P9" s="38"/>
      <c r="Q9" s="38"/>
      <c r="R9" s="38" t="str">
        <f>IF('Core Values Input'!$M9="","",COUNTIF('Core Values Input'!$M9:$Q9,""))</f>
        <v/>
      </c>
      <c r="S9" s="38" t="str">
        <f>IF('Core Values Input'!$M9="","",SUM('Core Values Input'!$M9:$Q9))</f>
        <v/>
      </c>
      <c r="T9" s="38" t="str">
        <f>IF('Core Values Input'!$R9=3,SUM('Core Values Input'!$M9:$Q9),IF('Core Values Input'!$R9=4,SUM('Core Values Input'!$M9:$Q9),IF('Core Values Input'!$R9=2,'Core Values Input'!$S9,IF('Core Values Input'!$R9=1,'Core Values Input'!$S9*0.75,IF('Core Values Input'!$R9=0,'Core Values Input'!$S9*0.6,"")))))</f>
        <v/>
      </c>
      <c r="U9" s="98" t="str">
        <f>SUM('Core Values Input'!$C9:$L9,'Core Values Input'!$T9)</f>
        <v>#N/A</v>
      </c>
      <c r="V9" s="80">
        <f>IF('Core Values Input'!$A9&gt;0,MIN(_xlfn.RANK.EQ('Core Values Input'!$U9,'Core Values Input'!$U$2:$U$201,0),NumberOfTeams),NumberOfTeams+1)</f>
        <v>1</v>
      </c>
      <c r="W9" s="99"/>
      <c r="X9" s="99"/>
      <c r="Y9" s="99"/>
    </row>
    <row r="10" ht="30.0" customHeight="1">
      <c r="A10" s="38" t="str">
        <f t="array" ref="A10">XLOOKUP(9,'Team and Program Information'!$B$3:$B$202,'Team and Program Information'!$C$3:$C$202,"ERROR",0)</f>
        <v/>
      </c>
      <c r="B10" s="68" t="str">
        <f t="array" ref="B10">XLOOKUP('Core Values Input'!$A10,'Team and Program Information'!$C$3:$C$202,'Team and Program Information'!$D$3:$D$202,"",0,)</f>
        <v>#VALUE!</v>
      </c>
      <c r="C10" s="97" t="str">
        <f t="array" ref="C10">XLOOKUP('Core Values Input'!$A10,'Innovation Project Input'!$A$2:$A$201,'Innovation Project Input'!$D$2:$D$201)</f>
        <v>#N/A</v>
      </c>
      <c r="D10" s="97" t="str">
        <f t="array" ref="D10">XLOOKUP('Core Values Input'!$A10,'Innovation Project Input'!$A$2:$A$201,'Innovation Project Input'!$F$2:$F$201)</f>
        <v>#N/A</v>
      </c>
      <c r="E10" s="97" t="str">
        <f t="array" ref="E10">XLOOKUP('Core Values Input'!$A10,'Innovation Project Input'!$A$2:$A$201,'Innovation Project Input'!$G$2:$G$201)</f>
        <v>#N/A</v>
      </c>
      <c r="F10" s="97" t="str">
        <f t="array" ref="F10">XLOOKUP('Core Values Input'!$A10,'Innovation Project Input'!$A$2:$A$201,'Innovation Project Input'!$K$2:$K$201)</f>
        <v>#N/A</v>
      </c>
      <c r="G10" s="97" t="str">
        <f t="array" ref="G10">XLOOKUP('Core Values Input'!$A10,'Innovation Project Input'!$A$2:$A$201,'Innovation Project Input'!$L$2:$L$201)</f>
        <v>#N/A</v>
      </c>
      <c r="H10" s="97" t="str">
        <f t="array" ref="H10">XLOOKUP('Core Values Input'!$A10,'Robot Design Input'!$A$2:$A$201,'Robot Design Input'!$D$2:$D$201)</f>
        <v/>
      </c>
      <c r="I10" s="97" t="str">
        <f t="array" ref="I10">XLOOKUP('Core Values Input'!$A10,'Robot Design Input'!$A$2:$A$201,'Robot Design Input'!$E$2:$E$201)</f>
        <v/>
      </c>
      <c r="J10" s="97" t="str">
        <f t="array" ref="J10">XLOOKUP('Core Values Input'!$A10,'Robot Design Input'!$A$2:$A$201,'Robot Design Input'!$J$2:$J$201)</f>
        <v/>
      </c>
      <c r="K10" s="97" t="str">
        <f t="array" ref="K10">XLOOKUP('Core Values Input'!$A10,'Robot Design Input'!$A$2:$A$201,'Robot Design Input'!$K$2:$K$201)</f>
        <v/>
      </c>
      <c r="L10" s="97" t="str">
        <f t="array" ref="L10">XLOOKUP('Core Values Input'!$A10,'Robot Design Input'!$A$2:$A$201,'Robot Design Input'!$L$2:$L$201)</f>
        <v/>
      </c>
      <c r="M10" s="38"/>
      <c r="N10" s="38"/>
      <c r="O10" s="38"/>
      <c r="P10" s="38"/>
      <c r="Q10" s="38"/>
      <c r="R10" s="38" t="str">
        <f>IF('Core Values Input'!$M10="","",COUNTIF('Core Values Input'!$M10:$Q10,""))</f>
        <v/>
      </c>
      <c r="S10" s="38" t="str">
        <f>IF('Core Values Input'!$M10="","",SUM('Core Values Input'!$M10:$Q10))</f>
        <v/>
      </c>
      <c r="T10" s="38" t="str">
        <f>IF('Core Values Input'!$R10=3,SUM('Core Values Input'!$M10:$Q10),IF('Core Values Input'!$R10=4,SUM('Core Values Input'!$M10:$Q10),IF('Core Values Input'!$R10=2,'Core Values Input'!$S10,IF('Core Values Input'!$R10=1,'Core Values Input'!$S10*0.75,IF('Core Values Input'!$R10=0,'Core Values Input'!$S10*0.6,"")))))</f>
        <v/>
      </c>
      <c r="U10" s="98" t="str">
        <f>SUM('Core Values Input'!$C10:$L10,'Core Values Input'!$T10)</f>
        <v>#N/A</v>
      </c>
      <c r="V10" s="80">
        <f>IF('Core Values Input'!$A10&gt;0,MIN(_xlfn.RANK.EQ('Core Values Input'!$U10,'Core Values Input'!$U$2:$U$201,0),NumberOfTeams),NumberOfTeams+1)</f>
        <v>1</v>
      </c>
      <c r="W10" s="99"/>
      <c r="X10" s="99"/>
      <c r="Y10" s="99"/>
    </row>
    <row r="11" ht="30.0" customHeight="1">
      <c r="A11" s="38" t="str">
        <f t="array" ref="A11">XLOOKUP(10,'Team and Program Information'!$B$3:$B$202,'Team and Program Information'!$C$3:$C$202,"ERROR",0)</f>
        <v/>
      </c>
      <c r="B11" s="68" t="str">
        <f t="array" ref="B11">XLOOKUP('Core Values Input'!$A11,'Team and Program Information'!$C$3:$C$202,'Team and Program Information'!$D$3:$D$202,"",0,)</f>
        <v>#VALUE!</v>
      </c>
      <c r="C11" s="97" t="str">
        <f t="array" ref="C11">XLOOKUP('Core Values Input'!$A11,'Innovation Project Input'!$A$2:$A$201,'Innovation Project Input'!$D$2:$D$201)</f>
        <v>#N/A</v>
      </c>
      <c r="D11" s="97" t="str">
        <f t="array" ref="D11">XLOOKUP('Core Values Input'!$A11,'Innovation Project Input'!$A$2:$A$201,'Innovation Project Input'!$F$2:$F$201)</f>
        <v>#N/A</v>
      </c>
      <c r="E11" s="97" t="str">
        <f t="array" ref="E11">XLOOKUP('Core Values Input'!$A11,'Innovation Project Input'!$A$2:$A$201,'Innovation Project Input'!$G$2:$G$201)</f>
        <v>#N/A</v>
      </c>
      <c r="F11" s="97" t="str">
        <f t="array" ref="F11">XLOOKUP('Core Values Input'!$A11,'Innovation Project Input'!$A$2:$A$201,'Innovation Project Input'!$K$2:$K$201)</f>
        <v>#N/A</v>
      </c>
      <c r="G11" s="97" t="str">
        <f t="array" ref="G11">XLOOKUP('Core Values Input'!$A11,'Innovation Project Input'!$A$2:$A$201,'Innovation Project Input'!$L$2:$L$201)</f>
        <v>#N/A</v>
      </c>
      <c r="H11" s="97" t="str">
        <f t="array" ref="H11">XLOOKUP('Core Values Input'!$A11,'Robot Design Input'!$A$2:$A$201,'Robot Design Input'!$D$2:$D$201)</f>
        <v/>
      </c>
      <c r="I11" s="97" t="str">
        <f t="array" ref="I11">XLOOKUP('Core Values Input'!$A11,'Robot Design Input'!$A$2:$A$201,'Robot Design Input'!$E$2:$E$201)</f>
        <v/>
      </c>
      <c r="J11" s="97" t="str">
        <f t="array" ref="J11">XLOOKUP('Core Values Input'!$A11,'Robot Design Input'!$A$2:$A$201,'Robot Design Input'!$J$2:$J$201)</f>
        <v/>
      </c>
      <c r="K11" s="97" t="str">
        <f t="array" ref="K11">XLOOKUP('Core Values Input'!$A11,'Robot Design Input'!$A$2:$A$201,'Robot Design Input'!$K$2:$K$201)</f>
        <v/>
      </c>
      <c r="L11" s="97" t="str">
        <f t="array" ref="L11">XLOOKUP('Core Values Input'!$A11,'Robot Design Input'!$A$2:$A$201,'Robot Design Input'!$L$2:$L$201)</f>
        <v/>
      </c>
      <c r="M11" s="38"/>
      <c r="N11" s="38"/>
      <c r="O11" s="38"/>
      <c r="P11" s="38"/>
      <c r="Q11" s="38"/>
      <c r="R11" s="38" t="str">
        <f>IF('Core Values Input'!$M11="","",COUNTIF('Core Values Input'!$M11:$Q11,""))</f>
        <v/>
      </c>
      <c r="S11" s="38" t="str">
        <f>IF('Core Values Input'!$M11="","",SUM('Core Values Input'!$M11:$Q11))</f>
        <v/>
      </c>
      <c r="T11" s="38" t="str">
        <f>IF('Core Values Input'!$R11=3,SUM('Core Values Input'!$M11:$Q11),IF('Core Values Input'!$R11=4,SUM('Core Values Input'!$M11:$Q11),IF('Core Values Input'!$R11=2,'Core Values Input'!$S11,IF('Core Values Input'!$R11=1,'Core Values Input'!$S11*0.75,IF('Core Values Input'!$R11=0,'Core Values Input'!$S11*0.6,"")))))</f>
        <v/>
      </c>
      <c r="U11" s="98" t="str">
        <f>SUM('Core Values Input'!$C11:$L11,'Core Values Input'!$T11)</f>
        <v>#N/A</v>
      </c>
      <c r="V11" s="80">
        <f>IF('Core Values Input'!$A11&gt;0,MIN(_xlfn.RANK.EQ('Core Values Input'!$U11,'Core Values Input'!$U$2:$U$201,0),NumberOfTeams),NumberOfTeams+1)</f>
        <v>1</v>
      </c>
      <c r="W11" s="99"/>
      <c r="X11" s="99"/>
      <c r="Y11" s="99"/>
    </row>
    <row r="12" ht="30.0" customHeight="1">
      <c r="A12" s="38" t="str">
        <f t="array" ref="A12">XLOOKUP(11,'Team and Program Information'!$B$3:$B$202,'Team and Program Information'!$C$3:$C$202,"ERROR",0)</f>
        <v/>
      </c>
      <c r="B12" s="68" t="str">
        <f t="array" ref="B12">XLOOKUP('Core Values Input'!$A12,'Team and Program Information'!$C$3:$C$202,'Team and Program Information'!$D$3:$D$202,"",0,)</f>
        <v>#VALUE!</v>
      </c>
      <c r="C12" s="97" t="str">
        <f t="array" ref="C12">XLOOKUP('Core Values Input'!$A12,'Innovation Project Input'!$A$2:$A$201,'Innovation Project Input'!$D$2:$D$201)</f>
        <v>#N/A</v>
      </c>
      <c r="D12" s="97" t="str">
        <f t="array" ref="D12">XLOOKUP('Core Values Input'!$A12,'Innovation Project Input'!$A$2:$A$201,'Innovation Project Input'!$F$2:$F$201)</f>
        <v>#N/A</v>
      </c>
      <c r="E12" s="97" t="str">
        <f t="array" ref="E12">XLOOKUP('Core Values Input'!$A12,'Innovation Project Input'!$A$2:$A$201,'Innovation Project Input'!$G$2:$G$201)</f>
        <v>#N/A</v>
      </c>
      <c r="F12" s="97" t="str">
        <f t="array" ref="F12">XLOOKUP('Core Values Input'!$A12,'Innovation Project Input'!$A$2:$A$201,'Innovation Project Input'!$K$2:$K$201)</f>
        <v>#N/A</v>
      </c>
      <c r="G12" s="97" t="str">
        <f t="array" ref="G12">XLOOKUP('Core Values Input'!$A12,'Innovation Project Input'!$A$2:$A$201,'Innovation Project Input'!$L$2:$L$201)</f>
        <v>#N/A</v>
      </c>
      <c r="H12" s="97" t="str">
        <f t="array" ref="H12">XLOOKUP('Core Values Input'!$A12,'Robot Design Input'!$A$2:$A$201,'Robot Design Input'!$D$2:$D$201)</f>
        <v/>
      </c>
      <c r="I12" s="97" t="str">
        <f t="array" ref="I12">XLOOKUP('Core Values Input'!$A12,'Robot Design Input'!$A$2:$A$201,'Robot Design Input'!$E$2:$E$201)</f>
        <v/>
      </c>
      <c r="J12" s="97" t="str">
        <f t="array" ref="J12">XLOOKUP('Core Values Input'!$A12,'Robot Design Input'!$A$2:$A$201,'Robot Design Input'!$J$2:$J$201)</f>
        <v/>
      </c>
      <c r="K12" s="97" t="str">
        <f t="array" ref="K12">XLOOKUP('Core Values Input'!$A12,'Robot Design Input'!$A$2:$A$201,'Robot Design Input'!$K$2:$K$201)</f>
        <v/>
      </c>
      <c r="L12" s="97" t="str">
        <f t="array" ref="L12">XLOOKUP('Core Values Input'!$A12,'Robot Design Input'!$A$2:$A$201,'Robot Design Input'!$L$2:$L$201)</f>
        <v/>
      </c>
      <c r="M12" s="38"/>
      <c r="N12" s="38"/>
      <c r="O12" s="38"/>
      <c r="P12" s="38"/>
      <c r="Q12" s="38"/>
      <c r="R12" s="38" t="str">
        <f>IF('Core Values Input'!$M12="","",COUNTIF('Core Values Input'!$M12:$Q12,""))</f>
        <v/>
      </c>
      <c r="S12" s="38" t="str">
        <f>IF('Core Values Input'!$M12="","",SUM('Core Values Input'!$M12:$Q12))</f>
        <v/>
      </c>
      <c r="T12" s="38" t="str">
        <f>IF('Core Values Input'!$R12=3,SUM('Core Values Input'!$M12:$Q12),IF('Core Values Input'!$R12=4,SUM('Core Values Input'!$M12:$Q12),IF('Core Values Input'!$R12=2,'Core Values Input'!$S12,IF('Core Values Input'!$R12=1,'Core Values Input'!$S12*0.75,IF('Core Values Input'!$R12=0,'Core Values Input'!$S12*0.6,"")))))</f>
        <v/>
      </c>
      <c r="U12" s="98" t="str">
        <f>SUM('Core Values Input'!$C12:$L12,'Core Values Input'!$T12)</f>
        <v>#N/A</v>
      </c>
      <c r="V12" s="80">
        <f>IF('Core Values Input'!$A12&gt;0,MIN(_xlfn.RANK.EQ('Core Values Input'!$U12,'Core Values Input'!$U$2:$U$201,0),NumberOfTeams),NumberOfTeams+1)</f>
        <v>1</v>
      </c>
      <c r="W12" s="99"/>
      <c r="X12" s="99"/>
      <c r="Y12" s="99"/>
    </row>
    <row r="13" ht="30.0" customHeight="1">
      <c r="A13" s="38" t="str">
        <f t="array" ref="A13">XLOOKUP(12,'Team and Program Information'!$B$3:$B$202,'Team and Program Information'!$C$3:$C$202,"ERROR",0)</f>
        <v/>
      </c>
      <c r="B13" s="68" t="str">
        <f t="array" ref="B13">XLOOKUP('Core Values Input'!$A13,'Team and Program Information'!$C$3:$C$202,'Team and Program Information'!$D$3:$D$202,"",0,)</f>
        <v>#VALUE!</v>
      </c>
      <c r="C13" s="97" t="str">
        <f t="array" ref="C13">XLOOKUP('Core Values Input'!$A13,'Innovation Project Input'!$A$2:$A$201,'Innovation Project Input'!$D$2:$D$201)</f>
        <v>#N/A</v>
      </c>
      <c r="D13" s="97" t="str">
        <f t="array" ref="D13">XLOOKUP('Core Values Input'!$A13,'Innovation Project Input'!$A$2:$A$201,'Innovation Project Input'!$F$2:$F$201)</f>
        <v>#N/A</v>
      </c>
      <c r="E13" s="97" t="str">
        <f t="array" ref="E13">XLOOKUP('Core Values Input'!$A13,'Innovation Project Input'!$A$2:$A$201,'Innovation Project Input'!$G$2:$G$201)</f>
        <v>#N/A</v>
      </c>
      <c r="F13" s="97" t="str">
        <f t="array" ref="F13">XLOOKUP('Core Values Input'!$A13,'Innovation Project Input'!$A$2:$A$201,'Innovation Project Input'!$K$2:$K$201)</f>
        <v>#N/A</v>
      </c>
      <c r="G13" s="97" t="str">
        <f t="array" ref="G13">XLOOKUP('Core Values Input'!$A13,'Innovation Project Input'!$A$2:$A$201,'Innovation Project Input'!$L$2:$L$201)</f>
        <v>#N/A</v>
      </c>
      <c r="H13" s="97" t="str">
        <f t="array" ref="H13">XLOOKUP('Core Values Input'!$A13,'Robot Design Input'!$A$2:$A$201,'Robot Design Input'!$D$2:$D$201)</f>
        <v/>
      </c>
      <c r="I13" s="97" t="str">
        <f t="array" ref="I13">XLOOKUP('Core Values Input'!$A13,'Robot Design Input'!$A$2:$A$201,'Robot Design Input'!$E$2:$E$201)</f>
        <v/>
      </c>
      <c r="J13" s="97" t="str">
        <f t="array" ref="J13">XLOOKUP('Core Values Input'!$A13,'Robot Design Input'!$A$2:$A$201,'Robot Design Input'!$J$2:$J$201)</f>
        <v/>
      </c>
      <c r="K13" s="97" t="str">
        <f t="array" ref="K13">XLOOKUP('Core Values Input'!$A13,'Robot Design Input'!$A$2:$A$201,'Robot Design Input'!$K$2:$K$201)</f>
        <v/>
      </c>
      <c r="L13" s="97" t="str">
        <f t="array" ref="L13">XLOOKUP('Core Values Input'!$A13,'Robot Design Input'!$A$2:$A$201,'Robot Design Input'!$L$2:$L$201)</f>
        <v/>
      </c>
      <c r="M13" s="38"/>
      <c r="N13" s="38"/>
      <c r="O13" s="38"/>
      <c r="P13" s="38"/>
      <c r="Q13" s="38"/>
      <c r="R13" s="38" t="str">
        <f>IF('Core Values Input'!$M13="","",COUNTIF('Core Values Input'!$M13:$Q13,""))</f>
        <v/>
      </c>
      <c r="S13" s="38" t="str">
        <f>IF('Core Values Input'!$M13="","",SUM('Core Values Input'!$M13:$Q13))</f>
        <v/>
      </c>
      <c r="T13" s="38" t="str">
        <f>IF('Core Values Input'!$R13=3,SUM('Core Values Input'!$M13:$Q13),IF('Core Values Input'!$R13=4,SUM('Core Values Input'!$M13:$Q13),IF('Core Values Input'!$R13=2,'Core Values Input'!$S13,IF('Core Values Input'!$R13=1,'Core Values Input'!$S13*0.75,IF('Core Values Input'!$R13=0,'Core Values Input'!$S13*0.6,"")))))</f>
        <v/>
      </c>
      <c r="U13" s="98" t="str">
        <f>SUM('Core Values Input'!$C13:$L13,'Core Values Input'!$T13)</f>
        <v>#N/A</v>
      </c>
      <c r="V13" s="80">
        <f>IF('Core Values Input'!$A13&gt;0,MIN(_xlfn.RANK.EQ('Core Values Input'!$U13,'Core Values Input'!$U$2:$U$201,0),NumberOfTeams),NumberOfTeams+1)</f>
        <v>1</v>
      </c>
      <c r="W13" s="99"/>
      <c r="X13" s="99"/>
      <c r="Y13" s="99"/>
    </row>
    <row r="14" ht="30.0" customHeight="1">
      <c r="A14" s="38" t="str">
        <f t="array" ref="A14">XLOOKUP(13,'Team and Program Information'!$B$3:$B$202,'Team and Program Information'!$C$3:$C$202,"ERROR",0)</f>
        <v/>
      </c>
      <c r="B14" s="68" t="str">
        <f t="array" ref="B14">XLOOKUP('Core Values Input'!$A14,'Team and Program Information'!$C$3:$C$202,'Team and Program Information'!$D$3:$D$202,"",0,)</f>
        <v>#VALUE!</v>
      </c>
      <c r="C14" s="97" t="str">
        <f t="array" ref="C14">XLOOKUP('Core Values Input'!$A14,'Innovation Project Input'!$A$2:$A$201,'Innovation Project Input'!$D$2:$D$201)</f>
        <v>#N/A</v>
      </c>
      <c r="D14" s="97" t="str">
        <f t="array" ref="D14">XLOOKUP('Core Values Input'!$A14,'Innovation Project Input'!$A$2:$A$201,'Innovation Project Input'!$F$2:$F$201)</f>
        <v>#N/A</v>
      </c>
      <c r="E14" s="97" t="str">
        <f t="array" ref="E14">XLOOKUP('Core Values Input'!$A14,'Innovation Project Input'!$A$2:$A$201,'Innovation Project Input'!$G$2:$G$201)</f>
        <v>#N/A</v>
      </c>
      <c r="F14" s="97" t="str">
        <f t="array" ref="F14">XLOOKUP('Core Values Input'!$A14,'Innovation Project Input'!$A$2:$A$201,'Innovation Project Input'!$K$2:$K$201)</f>
        <v>#N/A</v>
      </c>
      <c r="G14" s="97" t="str">
        <f t="array" ref="G14">XLOOKUP('Core Values Input'!$A14,'Innovation Project Input'!$A$2:$A$201,'Innovation Project Input'!$L$2:$L$201)</f>
        <v>#N/A</v>
      </c>
      <c r="H14" s="97" t="str">
        <f t="array" ref="H14">XLOOKUP('Core Values Input'!$A14,'Robot Design Input'!$A$2:$A$201,'Robot Design Input'!$D$2:$D$201)</f>
        <v/>
      </c>
      <c r="I14" s="97" t="str">
        <f t="array" ref="I14">XLOOKUP('Core Values Input'!$A14,'Robot Design Input'!$A$2:$A$201,'Robot Design Input'!$E$2:$E$201)</f>
        <v/>
      </c>
      <c r="J14" s="97" t="str">
        <f t="array" ref="J14">XLOOKUP('Core Values Input'!$A14,'Robot Design Input'!$A$2:$A$201,'Robot Design Input'!$J$2:$J$201)</f>
        <v/>
      </c>
      <c r="K14" s="97" t="str">
        <f t="array" ref="K14">XLOOKUP('Core Values Input'!$A14,'Robot Design Input'!$A$2:$A$201,'Robot Design Input'!$K$2:$K$201)</f>
        <v/>
      </c>
      <c r="L14" s="97" t="str">
        <f t="array" ref="L14">XLOOKUP('Core Values Input'!$A14,'Robot Design Input'!$A$2:$A$201,'Robot Design Input'!$L$2:$L$201)</f>
        <v/>
      </c>
      <c r="M14" s="38"/>
      <c r="N14" s="38"/>
      <c r="O14" s="38"/>
      <c r="P14" s="38"/>
      <c r="Q14" s="38"/>
      <c r="R14" s="38" t="str">
        <f>IF('Core Values Input'!$M14="","",COUNTIF('Core Values Input'!$M14:$Q14,""))</f>
        <v/>
      </c>
      <c r="S14" s="38" t="str">
        <f>IF('Core Values Input'!$M14="","",SUM('Core Values Input'!$M14:$Q14))</f>
        <v/>
      </c>
      <c r="T14" s="38" t="str">
        <f>IF('Core Values Input'!$R14=3,SUM('Core Values Input'!$M14:$Q14),IF('Core Values Input'!$R14=4,SUM('Core Values Input'!$M14:$Q14),IF('Core Values Input'!$R14=2,'Core Values Input'!$S14,IF('Core Values Input'!$R14=1,'Core Values Input'!$S14*0.75,IF('Core Values Input'!$R14=0,'Core Values Input'!$S14*0.6,"")))))</f>
        <v/>
      </c>
      <c r="U14" s="98" t="str">
        <f>SUM('Core Values Input'!$C14:$L14,'Core Values Input'!$T14)</f>
        <v>#N/A</v>
      </c>
      <c r="V14" s="80">
        <f>IF('Core Values Input'!$A14&gt;0,MIN(_xlfn.RANK.EQ('Core Values Input'!$U14,'Core Values Input'!$U$2:$U$201,0),NumberOfTeams),NumberOfTeams+1)</f>
        <v>1</v>
      </c>
      <c r="W14" s="99"/>
      <c r="X14" s="99"/>
      <c r="Y14" s="99"/>
    </row>
    <row r="15" ht="30.0" customHeight="1">
      <c r="A15" s="38" t="str">
        <f t="array" ref="A15">XLOOKUP(14,'Team and Program Information'!$B$3:$B$202,'Team and Program Information'!$C$3:$C$202,"ERROR",0)</f>
        <v/>
      </c>
      <c r="B15" s="68" t="str">
        <f t="array" ref="B15">XLOOKUP('Core Values Input'!$A15,'Team and Program Information'!$C$3:$C$202,'Team and Program Information'!$D$3:$D$202,"",0,)</f>
        <v>#VALUE!</v>
      </c>
      <c r="C15" s="97" t="str">
        <f t="array" ref="C15">XLOOKUP('Core Values Input'!$A15,'Innovation Project Input'!$A$2:$A$201,'Innovation Project Input'!$D$2:$D$201)</f>
        <v>#N/A</v>
      </c>
      <c r="D15" s="97" t="str">
        <f t="array" ref="D15">XLOOKUP('Core Values Input'!$A15,'Innovation Project Input'!$A$2:$A$201,'Innovation Project Input'!$F$2:$F$201)</f>
        <v>#N/A</v>
      </c>
      <c r="E15" s="97" t="str">
        <f t="array" ref="E15">XLOOKUP('Core Values Input'!$A15,'Innovation Project Input'!$A$2:$A$201,'Innovation Project Input'!$G$2:$G$201)</f>
        <v>#N/A</v>
      </c>
      <c r="F15" s="97" t="str">
        <f t="array" ref="F15">XLOOKUP('Core Values Input'!$A15,'Innovation Project Input'!$A$2:$A$201,'Innovation Project Input'!$K$2:$K$201)</f>
        <v>#N/A</v>
      </c>
      <c r="G15" s="97" t="str">
        <f t="array" ref="G15">XLOOKUP('Core Values Input'!$A15,'Innovation Project Input'!$A$2:$A$201,'Innovation Project Input'!$L$2:$L$201)</f>
        <v>#N/A</v>
      </c>
      <c r="H15" s="97" t="str">
        <f t="array" ref="H15">XLOOKUP('Core Values Input'!$A15,'Robot Design Input'!$A$2:$A$201,'Robot Design Input'!$D$2:$D$201)</f>
        <v/>
      </c>
      <c r="I15" s="97" t="str">
        <f t="array" ref="I15">XLOOKUP('Core Values Input'!$A15,'Robot Design Input'!$A$2:$A$201,'Robot Design Input'!$E$2:$E$201)</f>
        <v/>
      </c>
      <c r="J15" s="97" t="str">
        <f t="array" ref="J15">XLOOKUP('Core Values Input'!$A15,'Robot Design Input'!$A$2:$A$201,'Robot Design Input'!$J$2:$J$201)</f>
        <v/>
      </c>
      <c r="K15" s="97" t="str">
        <f t="array" ref="K15">XLOOKUP('Core Values Input'!$A15,'Robot Design Input'!$A$2:$A$201,'Robot Design Input'!$K$2:$K$201)</f>
        <v/>
      </c>
      <c r="L15" s="97" t="str">
        <f t="array" ref="L15">XLOOKUP('Core Values Input'!$A15,'Robot Design Input'!$A$2:$A$201,'Robot Design Input'!$L$2:$L$201)</f>
        <v/>
      </c>
      <c r="M15" s="38"/>
      <c r="N15" s="38"/>
      <c r="O15" s="38"/>
      <c r="P15" s="38"/>
      <c r="Q15" s="38"/>
      <c r="R15" s="38" t="str">
        <f>IF('Core Values Input'!$M15="","",COUNTIF('Core Values Input'!$M15:$Q15,""))</f>
        <v/>
      </c>
      <c r="S15" s="38" t="str">
        <f>IF('Core Values Input'!$M15="","",SUM('Core Values Input'!$M15:$Q15))</f>
        <v/>
      </c>
      <c r="T15" s="38" t="str">
        <f>IF('Core Values Input'!$R15=3,SUM('Core Values Input'!$M15:$Q15),IF('Core Values Input'!$R15=4,SUM('Core Values Input'!$M15:$Q15),IF('Core Values Input'!$R15=2,'Core Values Input'!$S15,IF('Core Values Input'!$R15=1,'Core Values Input'!$S15*0.75,IF('Core Values Input'!$R15=0,'Core Values Input'!$S15*0.6,"")))))</f>
        <v/>
      </c>
      <c r="U15" s="98" t="str">
        <f>SUM('Core Values Input'!$C15:$L15,'Core Values Input'!$T15)</f>
        <v>#N/A</v>
      </c>
      <c r="V15" s="80">
        <f>IF('Core Values Input'!$A15&gt;0,MIN(_xlfn.RANK.EQ('Core Values Input'!$U15,'Core Values Input'!$U$2:$U$201,0),NumberOfTeams),NumberOfTeams+1)</f>
        <v>1</v>
      </c>
      <c r="W15" s="99"/>
      <c r="X15" s="99"/>
      <c r="Y15" s="99"/>
    </row>
    <row r="16" ht="30.0" customHeight="1">
      <c r="A16" s="38" t="str">
        <f t="array" ref="A16">XLOOKUP(15,'Team and Program Information'!$B$3:$B$202,'Team and Program Information'!$C$3:$C$202,"ERROR",0)</f>
        <v/>
      </c>
      <c r="B16" s="68" t="str">
        <f t="array" ref="B16">XLOOKUP('Core Values Input'!$A16,'Team and Program Information'!$C$3:$C$202,'Team and Program Information'!$D$3:$D$202,"",0,)</f>
        <v>#VALUE!</v>
      </c>
      <c r="C16" s="97" t="str">
        <f t="array" ref="C16">XLOOKUP('Core Values Input'!$A16,'Innovation Project Input'!$A$2:$A$201,'Innovation Project Input'!$D$2:$D$201)</f>
        <v>#N/A</v>
      </c>
      <c r="D16" s="97" t="str">
        <f t="array" ref="D16">XLOOKUP('Core Values Input'!$A16,'Innovation Project Input'!$A$2:$A$201,'Innovation Project Input'!$F$2:$F$201)</f>
        <v>#N/A</v>
      </c>
      <c r="E16" s="97" t="str">
        <f t="array" ref="E16">XLOOKUP('Core Values Input'!$A16,'Innovation Project Input'!$A$2:$A$201,'Innovation Project Input'!$G$2:$G$201)</f>
        <v>#N/A</v>
      </c>
      <c r="F16" s="97" t="str">
        <f t="array" ref="F16">XLOOKUP('Core Values Input'!$A16,'Innovation Project Input'!$A$2:$A$201,'Innovation Project Input'!$K$2:$K$201)</f>
        <v>#N/A</v>
      </c>
      <c r="G16" s="97" t="str">
        <f t="array" ref="G16">XLOOKUP('Core Values Input'!$A16,'Innovation Project Input'!$A$2:$A$201,'Innovation Project Input'!$L$2:$L$201)</f>
        <v>#N/A</v>
      </c>
      <c r="H16" s="97" t="str">
        <f t="array" ref="H16">XLOOKUP('Core Values Input'!$A16,'Robot Design Input'!$A$2:$A$201,'Robot Design Input'!$D$2:$D$201)</f>
        <v/>
      </c>
      <c r="I16" s="97" t="str">
        <f t="array" ref="I16">XLOOKUP('Core Values Input'!$A16,'Robot Design Input'!$A$2:$A$201,'Robot Design Input'!$E$2:$E$201)</f>
        <v/>
      </c>
      <c r="J16" s="97" t="str">
        <f t="array" ref="J16">XLOOKUP('Core Values Input'!$A16,'Robot Design Input'!$A$2:$A$201,'Robot Design Input'!$J$2:$J$201)</f>
        <v/>
      </c>
      <c r="K16" s="97" t="str">
        <f t="array" ref="K16">XLOOKUP('Core Values Input'!$A16,'Robot Design Input'!$A$2:$A$201,'Robot Design Input'!$K$2:$K$201)</f>
        <v/>
      </c>
      <c r="L16" s="97" t="str">
        <f t="array" ref="L16">XLOOKUP('Core Values Input'!$A16,'Robot Design Input'!$A$2:$A$201,'Robot Design Input'!$L$2:$L$201)</f>
        <v/>
      </c>
      <c r="M16" s="38"/>
      <c r="N16" s="38"/>
      <c r="O16" s="38"/>
      <c r="P16" s="38"/>
      <c r="Q16" s="38"/>
      <c r="R16" s="38" t="str">
        <f>IF('Core Values Input'!$M16="","",COUNTIF('Core Values Input'!$M16:$Q16,""))</f>
        <v/>
      </c>
      <c r="S16" s="38" t="str">
        <f>IF('Core Values Input'!$M16="","",SUM('Core Values Input'!$M16:$Q16))</f>
        <v/>
      </c>
      <c r="T16" s="38" t="str">
        <f>IF('Core Values Input'!$R16=3,SUM('Core Values Input'!$M16:$Q16),IF('Core Values Input'!$R16=4,SUM('Core Values Input'!$M16:$Q16),IF('Core Values Input'!$R16=2,'Core Values Input'!$S16,IF('Core Values Input'!$R16=1,'Core Values Input'!$S16*0.75,IF('Core Values Input'!$R16=0,'Core Values Input'!$S16*0.6,"")))))</f>
        <v/>
      </c>
      <c r="U16" s="98" t="str">
        <f>SUM('Core Values Input'!$C16:$L16,'Core Values Input'!$T16)</f>
        <v>#N/A</v>
      </c>
      <c r="V16" s="80">
        <f>IF('Core Values Input'!$A16&gt;0,MIN(_xlfn.RANK.EQ('Core Values Input'!$U16,'Core Values Input'!$U$2:$U$201,0),NumberOfTeams),NumberOfTeams+1)</f>
        <v>1</v>
      </c>
      <c r="W16" s="99"/>
      <c r="X16" s="99"/>
      <c r="Y16" s="99"/>
    </row>
    <row r="17" ht="30.0" customHeight="1">
      <c r="A17" s="38" t="str">
        <f t="array" ref="A17">XLOOKUP(16,'Team and Program Information'!$B$3:$B$202,'Team and Program Information'!$C$3:$C$202,"ERROR",0)</f>
        <v/>
      </c>
      <c r="B17" s="68" t="str">
        <f t="array" ref="B17">XLOOKUP('Core Values Input'!$A17,'Team and Program Information'!$C$3:$C$202,'Team and Program Information'!$D$3:$D$202,"",0,)</f>
        <v>#VALUE!</v>
      </c>
      <c r="C17" s="97" t="str">
        <f t="array" ref="C17">XLOOKUP('Core Values Input'!$A17,'Innovation Project Input'!$A$2:$A$201,'Innovation Project Input'!$D$2:$D$201)</f>
        <v>#N/A</v>
      </c>
      <c r="D17" s="97" t="str">
        <f t="array" ref="D17">XLOOKUP('Core Values Input'!$A17,'Innovation Project Input'!$A$2:$A$201,'Innovation Project Input'!$F$2:$F$201)</f>
        <v>#N/A</v>
      </c>
      <c r="E17" s="97" t="str">
        <f t="array" ref="E17">XLOOKUP('Core Values Input'!$A17,'Innovation Project Input'!$A$2:$A$201,'Innovation Project Input'!$G$2:$G$201)</f>
        <v>#N/A</v>
      </c>
      <c r="F17" s="97" t="str">
        <f t="array" ref="F17">XLOOKUP('Core Values Input'!$A17,'Innovation Project Input'!$A$2:$A$201,'Innovation Project Input'!$K$2:$K$201)</f>
        <v>#N/A</v>
      </c>
      <c r="G17" s="97" t="str">
        <f t="array" ref="G17">XLOOKUP('Core Values Input'!$A17,'Innovation Project Input'!$A$2:$A$201,'Innovation Project Input'!$L$2:$L$201)</f>
        <v>#N/A</v>
      </c>
      <c r="H17" s="97" t="str">
        <f t="array" ref="H17">XLOOKUP('Core Values Input'!$A17,'Robot Design Input'!$A$2:$A$201,'Robot Design Input'!$D$2:$D$201)</f>
        <v/>
      </c>
      <c r="I17" s="97" t="str">
        <f t="array" ref="I17">XLOOKUP('Core Values Input'!$A17,'Robot Design Input'!$A$2:$A$201,'Robot Design Input'!$E$2:$E$201)</f>
        <v/>
      </c>
      <c r="J17" s="97" t="str">
        <f t="array" ref="J17">XLOOKUP('Core Values Input'!$A17,'Robot Design Input'!$A$2:$A$201,'Robot Design Input'!$J$2:$J$201)</f>
        <v/>
      </c>
      <c r="K17" s="97" t="str">
        <f t="array" ref="K17">XLOOKUP('Core Values Input'!$A17,'Robot Design Input'!$A$2:$A$201,'Robot Design Input'!$K$2:$K$201)</f>
        <v/>
      </c>
      <c r="L17" s="97" t="str">
        <f t="array" ref="L17">XLOOKUP('Core Values Input'!$A17,'Robot Design Input'!$A$2:$A$201,'Robot Design Input'!$L$2:$L$201)</f>
        <v/>
      </c>
      <c r="M17" s="38"/>
      <c r="N17" s="38"/>
      <c r="O17" s="38"/>
      <c r="P17" s="38"/>
      <c r="Q17" s="38"/>
      <c r="R17" s="38" t="str">
        <f>IF('Core Values Input'!$M17="","",COUNTIF('Core Values Input'!$M17:$Q17,""))</f>
        <v/>
      </c>
      <c r="S17" s="38" t="str">
        <f>IF('Core Values Input'!$M17="","",SUM('Core Values Input'!$M17:$Q17))</f>
        <v/>
      </c>
      <c r="T17" s="38" t="str">
        <f>IF('Core Values Input'!$R17=3,SUM('Core Values Input'!$M17:$Q17),IF('Core Values Input'!$R17=4,SUM('Core Values Input'!$M17:$Q17),IF('Core Values Input'!$R17=2,'Core Values Input'!$S17,IF('Core Values Input'!$R17=1,'Core Values Input'!$S17*0.75,IF('Core Values Input'!$R17=0,'Core Values Input'!$S17*0.6,"")))))</f>
        <v/>
      </c>
      <c r="U17" s="98" t="str">
        <f>SUM('Core Values Input'!$C17:$L17,'Core Values Input'!$T17)</f>
        <v>#N/A</v>
      </c>
      <c r="V17" s="80">
        <f>IF('Core Values Input'!$A17&gt;0,MIN(_xlfn.RANK.EQ('Core Values Input'!$U17,'Core Values Input'!$U$2:$U$201,0),NumberOfTeams),NumberOfTeams+1)</f>
        <v>1</v>
      </c>
      <c r="W17" s="99"/>
      <c r="X17" s="99"/>
      <c r="Y17" s="99"/>
    </row>
    <row r="18" ht="30.0" customHeight="1">
      <c r="A18" s="38" t="str">
        <f t="array" ref="A18">XLOOKUP(17,'Team and Program Information'!$B$3:$B$202,'Team and Program Information'!$C$3:$C$202,"ERROR",0)</f>
        <v/>
      </c>
      <c r="B18" s="68" t="str">
        <f t="array" ref="B18">XLOOKUP('Core Values Input'!$A18,'Team and Program Information'!$C$3:$C$202,'Team and Program Information'!$D$3:$D$202,"",0,)</f>
        <v>#VALUE!</v>
      </c>
      <c r="C18" s="97" t="str">
        <f t="array" ref="C18">XLOOKUP('Core Values Input'!$A18,'Innovation Project Input'!$A$2:$A$201,'Innovation Project Input'!$D$2:$D$201)</f>
        <v>#N/A</v>
      </c>
      <c r="D18" s="97" t="str">
        <f t="array" ref="D18">XLOOKUP('Core Values Input'!$A18,'Innovation Project Input'!$A$2:$A$201,'Innovation Project Input'!$F$2:$F$201)</f>
        <v>#N/A</v>
      </c>
      <c r="E18" s="97" t="str">
        <f t="array" ref="E18">XLOOKUP('Core Values Input'!$A18,'Innovation Project Input'!$A$2:$A$201,'Innovation Project Input'!$G$2:$G$201)</f>
        <v>#N/A</v>
      </c>
      <c r="F18" s="97" t="str">
        <f t="array" ref="F18">XLOOKUP('Core Values Input'!$A18,'Innovation Project Input'!$A$2:$A$201,'Innovation Project Input'!$K$2:$K$201)</f>
        <v>#N/A</v>
      </c>
      <c r="G18" s="97" t="str">
        <f t="array" ref="G18">XLOOKUP('Core Values Input'!$A18,'Innovation Project Input'!$A$2:$A$201,'Innovation Project Input'!$L$2:$L$201)</f>
        <v>#N/A</v>
      </c>
      <c r="H18" s="97" t="str">
        <f t="array" ref="H18">XLOOKUP('Core Values Input'!$A18,'Robot Design Input'!$A$2:$A$201,'Robot Design Input'!$D$2:$D$201)</f>
        <v/>
      </c>
      <c r="I18" s="97" t="str">
        <f t="array" ref="I18">XLOOKUP('Core Values Input'!$A18,'Robot Design Input'!$A$2:$A$201,'Robot Design Input'!$E$2:$E$201)</f>
        <v/>
      </c>
      <c r="J18" s="97" t="str">
        <f t="array" ref="J18">XLOOKUP('Core Values Input'!$A18,'Robot Design Input'!$A$2:$A$201,'Robot Design Input'!$J$2:$J$201)</f>
        <v/>
      </c>
      <c r="K18" s="97" t="str">
        <f t="array" ref="K18">XLOOKUP('Core Values Input'!$A18,'Robot Design Input'!$A$2:$A$201,'Robot Design Input'!$K$2:$K$201)</f>
        <v/>
      </c>
      <c r="L18" s="97" t="str">
        <f t="array" ref="L18">XLOOKUP('Core Values Input'!$A18,'Robot Design Input'!$A$2:$A$201,'Robot Design Input'!$L$2:$L$201)</f>
        <v/>
      </c>
      <c r="M18" s="38"/>
      <c r="N18" s="38"/>
      <c r="O18" s="38"/>
      <c r="P18" s="38"/>
      <c r="Q18" s="38"/>
      <c r="R18" s="38" t="str">
        <f>IF('Core Values Input'!$M18="","",COUNTIF('Core Values Input'!$M18:$Q18,""))</f>
        <v/>
      </c>
      <c r="S18" s="38" t="str">
        <f>IF('Core Values Input'!$M18="","",SUM('Core Values Input'!$M18:$Q18))</f>
        <v/>
      </c>
      <c r="T18" s="38" t="str">
        <f>IF('Core Values Input'!$R18=3,SUM('Core Values Input'!$M18:$Q18),IF('Core Values Input'!$R18=4,SUM('Core Values Input'!$M18:$Q18),IF('Core Values Input'!$R18=2,'Core Values Input'!$S18,IF('Core Values Input'!$R18=1,'Core Values Input'!$S18*0.75,IF('Core Values Input'!$R18=0,'Core Values Input'!$S18*0.6,"")))))</f>
        <v/>
      </c>
      <c r="U18" s="98" t="str">
        <f>SUM('Core Values Input'!$C18:$L18,'Core Values Input'!$T18)</f>
        <v>#N/A</v>
      </c>
      <c r="V18" s="80">
        <f>IF('Core Values Input'!$A18&gt;0,MIN(_xlfn.RANK.EQ('Core Values Input'!$U18,'Core Values Input'!$U$2:$U$201,0),NumberOfTeams),NumberOfTeams+1)</f>
        <v>1</v>
      </c>
      <c r="W18" s="99"/>
      <c r="X18" s="99"/>
      <c r="Y18" s="99"/>
    </row>
    <row r="19" ht="30.0" customHeight="1">
      <c r="A19" s="38" t="str">
        <f t="array" ref="A19">XLOOKUP(18,'Team and Program Information'!$B$3:$B$202,'Team and Program Information'!$C$3:$C$202,"ERROR",0)</f>
        <v/>
      </c>
      <c r="B19" s="68" t="str">
        <f t="array" ref="B19">XLOOKUP('Core Values Input'!$A19,'Team and Program Information'!$C$3:$C$202,'Team and Program Information'!$D$3:$D$202,"",0,)</f>
        <v>#VALUE!</v>
      </c>
      <c r="C19" s="97" t="str">
        <f t="array" ref="C19">XLOOKUP('Core Values Input'!$A19,'Innovation Project Input'!$A$2:$A$201,'Innovation Project Input'!$D$2:$D$201)</f>
        <v>#N/A</v>
      </c>
      <c r="D19" s="97" t="str">
        <f t="array" ref="D19">XLOOKUP('Core Values Input'!$A19,'Innovation Project Input'!$A$2:$A$201,'Innovation Project Input'!$F$2:$F$201)</f>
        <v>#N/A</v>
      </c>
      <c r="E19" s="97" t="str">
        <f t="array" ref="E19">XLOOKUP('Core Values Input'!$A19,'Innovation Project Input'!$A$2:$A$201,'Innovation Project Input'!$G$2:$G$201)</f>
        <v>#N/A</v>
      </c>
      <c r="F19" s="97" t="str">
        <f t="array" ref="F19">XLOOKUP('Core Values Input'!$A19,'Innovation Project Input'!$A$2:$A$201,'Innovation Project Input'!$K$2:$K$201)</f>
        <v>#N/A</v>
      </c>
      <c r="G19" s="97" t="str">
        <f t="array" ref="G19">XLOOKUP('Core Values Input'!$A19,'Innovation Project Input'!$A$2:$A$201,'Innovation Project Input'!$L$2:$L$201)</f>
        <v>#N/A</v>
      </c>
      <c r="H19" s="97" t="str">
        <f t="array" ref="H19">XLOOKUP('Core Values Input'!$A19,'Robot Design Input'!$A$2:$A$201,'Robot Design Input'!$D$2:$D$201)</f>
        <v/>
      </c>
      <c r="I19" s="97" t="str">
        <f t="array" ref="I19">XLOOKUP('Core Values Input'!$A19,'Robot Design Input'!$A$2:$A$201,'Robot Design Input'!$E$2:$E$201)</f>
        <v/>
      </c>
      <c r="J19" s="97" t="str">
        <f t="array" ref="J19">XLOOKUP('Core Values Input'!$A19,'Robot Design Input'!$A$2:$A$201,'Robot Design Input'!$J$2:$J$201)</f>
        <v/>
      </c>
      <c r="K19" s="97" t="str">
        <f t="array" ref="K19">XLOOKUP('Core Values Input'!$A19,'Robot Design Input'!$A$2:$A$201,'Robot Design Input'!$K$2:$K$201)</f>
        <v/>
      </c>
      <c r="L19" s="97" t="str">
        <f t="array" ref="L19">XLOOKUP('Core Values Input'!$A19,'Robot Design Input'!$A$2:$A$201,'Robot Design Input'!$L$2:$L$201)</f>
        <v/>
      </c>
      <c r="M19" s="38"/>
      <c r="N19" s="38"/>
      <c r="O19" s="38"/>
      <c r="P19" s="38"/>
      <c r="Q19" s="38"/>
      <c r="R19" s="38" t="str">
        <f>IF('Core Values Input'!$M19="","",COUNTIF('Core Values Input'!$M19:$Q19,""))</f>
        <v/>
      </c>
      <c r="S19" s="38" t="str">
        <f>IF('Core Values Input'!$M19="","",SUM('Core Values Input'!$M19:$Q19))</f>
        <v/>
      </c>
      <c r="T19" s="38" t="str">
        <f>IF('Core Values Input'!$R19=3,SUM('Core Values Input'!$M19:$Q19),IF('Core Values Input'!$R19=4,SUM('Core Values Input'!$M19:$Q19),IF('Core Values Input'!$R19=2,'Core Values Input'!$S19,IF('Core Values Input'!$R19=1,'Core Values Input'!$S19*0.75,IF('Core Values Input'!$R19=0,'Core Values Input'!$S19*0.6,"")))))</f>
        <v/>
      </c>
      <c r="U19" s="98" t="str">
        <f>SUM('Core Values Input'!$C19:$L19,'Core Values Input'!$T19)</f>
        <v>#N/A</v>
      </c>
      <c r="V19" s="80">
        <f>IF('Core Values Input'!$A19&gt;0,MIN(_xlfn.RANK.EQ('Core Values Input'!$U19,'Core Values Input'!$U$2:$U$201,0),NumberOfTeams),NumberOfTeams+1)</f>
        <v>1</v>
      </c>
      <c r="W19" s="99"/>
      <c r="X19" s="99"/>
      <c r="Y19" s="99"/>
    </row>
    <row r="20" ht="30.0" customHeight="1">
      <c r="A20" s="38" t="str">
        <f t="array" ref="A20">XLOOKUP(19,'Team and Program Information'!$B$3:$B$202,'Team and Program Information'!$C$3:$C$202,"ERROR",0)</f>
        <v/>
      </c>
      <c r="B20" s="68" t="str">
        <f t="array" ref="B20">XLOOKUP('Core Values Input'!$A20,'Team and Program Information'!$C$3:$C$202,'Team and Program Information'!$D$3:$D$202,"",0,)</f>
        <v>#VALUE!</v>
      </c>
      <c r="C20" s="97" t="str">
        <f t="array" ref="C20">XLOOKUP('Core Values Input'!$A20,'Innovation Project Input'!$A$2:$A$201,'Innovation Project Input'!$D$2:$D$201)</f>
        <v>#N/A</v>
      </c>
      <c r="D20" s="97" t="str">
        <f t="array" ref="D20">XLOOKUP('Core Values Input'!$A20,'Innovation Project Input'!$A$2:$A$201,'Innovation Project Input'!$F$2:$F$201)</f>
        <v>#N/A</v>
      </c>
      <c r="E20" s="97" t="str">
        <f t="array" ref="E20">XLOOKUP('Core Values Input'!$A20,'Innovation Project Input'!$A$2:$A$201,'Innovation Project Input'!$G$2:$G$201)</f>
        <v>#N/A</v>
      </c>
      <c r="F20" s="97" t="str">
        <f t="array" ref="F20">XLOOKUP('Core Values Input'!$A20,'Innovation Project Input'!$A$2:$A$201,'Innovation Project Input'!$K$2:$K$201)</f>
        <v>#N/A</v>
      </c>
      <c r="G20" s="97" t="str">
        <f t="array" ref="G20">XLOOKUP('Core Values Input'!$A20,'Innovation Project Input'!$A$2:$A$201,'Innovation Project Input'!$L$2:$L$201)</f>
        <v>#N/A</v>
      </c>
      <c r="H20" s="97" t="str">
        <f t="array" ref="H20">XLOOKUP('Core Values Input'!$A20,'Robot Design Input'!$A$2:$A$201,'Robot Design Input'!$D$2:$D$201)</f>
        <v/>
      </c>
      <c r="I20" s="97" t="str">
        <f t="array" ref="I20">XLOOKUP('Core Values Input'!$A20,'Robot Design Input'!$A$2:$A$201,'Robot Design Input'!$E$2:$E$201)</f>
        <v/>
      </c>
      <c r="J20" s="97" t="str">
        <f t="array" ref="J20">XLOOKUP('Core Values Input'!$A20,'Robot Design Input'!$A$2:$A$201,'Robot Design Input'!$J$2:$J$201)</f>
        <v/>
      </c>
      <c r="K20" s="97" t="str">
        <f t="array" ref="K20">XLOOKUP('Core Values Input'!$A20,'Robot Design Input'!$A$2:$A$201,'Robot Design Input'!$K$2:$K$201)</f>
        <v/>
      </c>
      <c r="L20" s="97" t="str">
        <f t="array" ref="L20">XLOOKUP('Core Values Input'!$A20,'Robot Design Input'!$A$2:$A$201,'Robot Design Input'!$L$2:$L$201)</f>
        <v/>
      </c>
      <c r="M20" s="38"/>
      <c r="N20" s="38"/>
      <c r="O20" s="38"/>
      <c r="P20" s="38"/>
      <c r="Q20" s="38"/>
      <c r="R20" s="38" t="str">
        <f>IF('Core Values Input'!$M20="","",COUNTIF('Core Values Input'!$M20:$Q20,""))</f>
        <v/>
      </c>
      <c r="S20" s="38" t="str">
        <f>IF('Core Values Input'!$M20="","",SUM('Core Values Input'!$M20:$Q20))</f>
        <v/>
      </c>
      <c r="T20" s="38" t="str">
        <f>IF('Core Values Input'!$R20=3,SUM('Core Values Input'!$M20:$Q20),IF('Core Values Input'!$R20=4,SUM('Core Values Input'!$M20:$Q20),IF('Core Values Input'!$R20=2,'Core Values Input'!$S20,IF('Core Values Input'!$R20=1,'Core Values Input'!$S20*0.75,IF('Core Values Input'!$R20=0,'Core Values Input'!$S20*0.6,"")))))</f>
        <v/>
      </c>
      <c r="U20" s="98" t="str">
        <f>SUM('Core Values Input'!$C20:$L20,'Core Values Input'!$T20)</f>
        <v>#N/A</v>
      </c>
      <c r="V20" s="80">
        <f>IF('Core Values Input'!$A20&gt;0,MIN(_xlfn.RANK.EQ('Core Values Input'!$U20,'Core Values Input'!$U$2:$U$201,0),NumberOfTeams),NumberOfTeams+1)</f>
        <v>1</v>
      </c>
      <c r="W20" s="99"/>
      <c r="X20" s="99"/>
      <c r="Y20" s="99"/>
    </row>
    <row r="21" ht="30.0" customHeight="1">
      <c r="A21" s="38" t="str">
        <f t="array" ref="A21">XLOOKUP(20,'Team and Program Information'!$B$3:$B$202,'Team and Program Information'!$C$3:$C$202,"ERROR",0)</f>
        <v/>
      </c>
      <c r="B21" s="68" t="str">
        <f t="array" ref="B21">XLOOKUP('Core Values Input'!$A21,'Team and Program Information'!$C$3:$C$202,'Team and Program Information'!$D$3:$D$202,"",0,)</f>
        <v>#VALUE!</v>
      </c>
      <c r="C21" s="97" t="str">
        <f t="array" ref="C21">XLOOKUP('Core Values Input'!$A21,'Innovation Project Input'!$A$2:$A$201,'Innovation Project Input'!$D$2:$D$201)</f>
        <v>#N/A</v>
      </c>
      <c r="D21" s="97" t="str">
        <f t="array" ref="D21">XLOOKUP('Core Values Input'!$A21,'Innovation Project Input'!$A$2:$A$201,'Innovation Project Input'!$F$2:$F$201)</f>
        <v>#N/A</v>
      </c>
      <c r="E21" s="97" t="str">
        <f t="array" ref="E21">XLOOKUP('Core Values Input'!$A21,'Innovation Project Input'!$A$2:$A$201,'Innovation Project Input'!$G$2:$G$201)</f>
        <v>#N/A</v>
      </c>
      <c r="F21" s="97" t="str">
        <f t="array" ref="F21">XLOOKUP('Core Values Input'!$A21,'Innovation Project Input'!$A$2:$A$201,'Innovation Project Input'!$K$2:$K$201)</f>
        <v>#N/A</v>
      </c>
      <c r="G21" s="97" t="str">
        <f t="array" ref="G21">XLOOKUP('Core Values Input'!$A21,'Innovation Project Input'!$A$2:$A$201,'Innovation Project Input'!$L$2:$L$201)</f>
        <v>#N/A</v>
      </c>
      <c r="H21" s="97" t="str">
        <f t="array" ref="H21">XLOOKUP('Core Values Input'!$A21,'Robot Design Input'!$A$2:$A$201,'Robot Design Input'!$D$2:$D$201)</f>
        <v/>
      </c>
      <c r="I21" s="97" t="str">
        <f t="array" ref="I21">XLOOKUP('Core Values Input'!$A21,'Robot Design Input'!$A$2:$A$201,'Robot Design Input'!$E$2:$E$201)</f>
        <v/>
      </c>
      <c r="J21" s="97" t="str">
        <f t="array" ref="J21">XLOOKUP('Core Values Input'!$A21,'Robot Design Input'!$A$2:$A$201,'Robot Design Input'!$J$2:$J$201)</f>
        <v/>
      </c>
      <c r="K21" s="97" t="str">
        <f t="array" ref="K21">XLOOKUP('Core Values Input'!$A21,'Robot Design Input'!$A$2:$A$201,'Robot Design Input'!$K$2:$K$201)</f>
        <v/>
      </c>
      <c r="L21" s="97" t="str">
        <f t="array" ref="L21">XLOOKUP('Core Values Input'!$A21,'Robot Design Input'!$A$2:$A$201,'Robot Design Input'!$L$2:$L$201)</f>
        <v/>
      </c>
      <c r="M21" s="38"/>
      <c r="N21" s="38"/>
      <c r="O21" s="38"/>
      <c r="P21" s="38"/>
      <c r="Q21" s="38"/>
      <c r="R21" s="38" t="str">
        <f>IF('Core Values Input'!$M21="","",COUNTIF('Core Values Input'!$M21:$Q21,""))</f>
        <v/>
      </c>
      <c r="S21" s="38" t="str">
        <f>IF('Core Values Input'!$M21="","",SUM('Core Values Input'!$M21:$Q21))</f>
        <v/>
      </c>
      <c r="T21" s="38" t="str">
        <f>IF('Core Values Input'!$R21=3,SUM('Core Values Input'!$M21:$Q21),IF('Core Values Input'!$R21=4,SUM('Core Values Input'!$M21:$Q21),IF('Core Values Input'!$R21=2,'Core Values Input'!$S21,IF('Core Values Input'!$R21=1,'Core Values Input'!$S21*0.75,IF('Core Values Input'!$R21=0,'Core Values Input'!$S21*0.6,"")))))</f>
        <v/>
      </c>
      <c r="U21" s="98" t="str">
        <f>SUM('Core Values Input'!$C21:$L21,'Core Values Input'!$T21)</f>
        <v>#N/A</v>
      </c>
      <c r="V21" s="80">
        <f>IF('Core Values Input'!$A21&gt;0,MIN(_xlfn.RANK.EQ('Core Values Input'!$U21,'Core Values Input'!$U$2:$U$201,0),NumberOfTeams),NumberOfTeams+1)</f>
        <v>1</v>
      </c>
      <c r="W21" s="99"/>
      <c r="X21" s="99"/>
      <c r="Y21" s="99"/>
    </row>
    <row r="22" ht="30.0" customHeight="1">
      <c r="A22" s="38" t="str">
        <f t="array" ref="A22">XLOOKUP(21,'Team and Program Information'!$B$3:$B$202,'Team and Program Information'!$C$3:$C$202,"ERROR",0)</f>
        <v/>
      </c>
      <c r="B22" s="68" t="str">
        <f t="array" ref="B22">XLOOKUP('Core Values Input'!$A22,'Team and Program Information'!$C$3:$C$202,'Team and Program Information'!$D$3:$D$202,"",0,)</f>
        <v>#VALUE!</v>
      </c>
      <c r="C22" s="97" t="str">
        <f t="array" ref="C22">XLOOKUP('Core Values Input'!$A22,'Innovation Project Input'!$A$2:$A$201,'Innovation Project Input'!$D$2:$D$201)</f>
        <v>#N/A</v>
      </c>
      <c r="D22" s="97" t="str">
        <f t="array" ref="D22">XLOOKUP('Core Values Input'!$A22,'Innovation Project Input'!$A$2:$A$201,'Innovation Project Input'!$F$2:$F$201)</f>
        <v>#N/A</v>
      </c>
      <c r="E22" s="97" t="str">
        <f t="array" ref="E22">XLOOKUP('Core Values Input'!$A22,'Innovation Project Input'!$A$2:$A$201,'Innovation Project Input'!$G$2:$G$201)</f>
        <v>#N/A</v>
      </c>
      <c r="F22" s="97" t="str">
        <f t="array" ref="F22">XLOOKUP('Core Values Input'!$A22,'Innovation Project Input'!$A$2:$A$201,'Innovation Project Input'!$K$2:$K$201)</f>
        <v>#N/A</v>
      </c>
      <c r="G22" s="97" t="str">
        <f t="array" ref="G22">XLOOKUP('Core Values Input'!$A22,'Innovation Project Input'!$A$2:$A$201,'Innovation Project Input'!$L$2:$L$201)</f>
        <v>#N/A</v>
      </c>
      <c r="H22" s="97" t="str">
        <f t="array" ref="H22">XLOOKUP('Core Values Input'!$A22,'Robot Design Input'!$A$2:$A$201,'Robot Design Input'!$D$2:$D$201)</f>
        <v/>
      </c>
      <c r="I22" s="97" t="str">
        <f t="array" ref="I22">XLOOKUP('Core Values Input'!$A22,'Robot Design Input'!$A$2:$A$201,'Robot Design Input'!$E$2:$E$201)</f>
        <v/>
      </c>
      <c r="J22" s="97" t="str">
        <f t="array" ref="J22">XLOOKUP('Core Values Input'!$A22,'Robot Design Input'!$A$2:$A$201,'Robot Design Input'!$J$2:$J$201)</f>
        <v/>
      </c>
      <c r="K22" s="97" t="str">
        <f t="array" ref="K22">XLOOKUP('Core Values Input'!$A22,'Robot Design Input'!$A$2:$A$201,'Robot Design Input'!$K$2:$K$201)</f>
        <v/>
      </c>
      <c r="L22" s="97" t="str">
        <f t="array" ref="L22">XLOOKUP('Core Values Input'!$A22,'Robot Design Input'!$A$2:$A$201,'Robot Design Input'!$L$2:$L$201)</f>
        <v/>
      </c>
      <c r="M22" s="38"/>
      <c r="N22" s="38"/>
      <c r="O22" s="38"/>
      <c r="P22" s="38"/>
      <c r="Q22" s="38"/>
      <c r="R22" s="38" t="str">
        <f>IF('Core Values Input'!$M22="","",COUNTIF('Core Values Input'!$M22:$Q22,""))</f>
        <v/>
      </c>
      <c r="S22" s="38" t="str">
        <f>IF('Core Values Input'!$M22="","",SUM('Core Values Input'!$M22:$Q22))</f>
        <v/>
      </c>
      <c r="T22" s="38" t="str">
        <f>IF('Core Values Input'!$R22=3,SUM('Core Values Input'!$M22:$Q22),IF('Core Values Input'!$R22=4,SUM('Core Values Input'!$M22:$Q22),IF('Core Values Input'!$R22=2,'Core Values Input'!$S22,IF('Core Values Input'!$R22=1,'Core Values Input'!$S22*0.75,IF('Core Values Input'!$R22=0,'Core Values Input'!$S22*0.6,"")))))</f>
        <v/>
      </c>
      <c r="U22" s="98" t="str">
        <f>SUM('Core Values Input'!$C22:$L22,'Core Values Input'!$T22)</f>
        <v>#N/A</v>
      </c>
      <c r="V22" s="80">
        <f>IF('Core Values Input'!$A22&gt;0,MIN(_xlfn.RANK.EQ('Core Values Input'!$U22,'Core Values Input'!$U$2:$U$201,0),NumberOfTeams),NumberOfTeams+1)</f>
        <v>1</v>
      </c>
      <c r="W22" s="99"/>
      <c r="X22" s="99"/>
      <c r="Y22" s="99"/>
    </row>
    <row r="23" ht="30.0" customHeight="1">
      <c r="A23" s="38" t="str">
        <f t="array" ref="A23">XLOOKUP(22,'Team and Program Information'!$B$3:$B$202,'Team and Program Information'!$C$3:$C$202,"ERROR",0)</f>
        <v/>
      </c>
      <c r="B23" s="68" t="str">
        <f t="array" ref="B23">XLOOKUP('Core Values Input'!$A23,'Team and Program Information'!$C$3:$C$202,'Team and Program Information'!$D$3:$D$202,"",0,)</f>
        <v>#VALUE!</v>
      </c>
      <c r="C23" s="97" t="str">
        <f t="array" ref="C23">XLOOKUP('Core Values Input'!$A23,'Innovation Project Input'!$A$2:$A$201,'Innovation Project Input'!$D$2:$D$201)</f>
        <v>#N/A</v>
      </c>
      <c r="D23" s="97" t="str">
        <f t="array" ref="D23">XLOOKUP('Core Values Input'!$A23,'Innovation Project Input'!$A$2:$A$201,'Innovation Project Input'!$F$2:$F$201)</f>
        <v>#N/A</v>
      </c>
      <c r="E23" s="97" t="str">
        <f t="array" ref="E23">XLOOKUP('Core Values Input'!$A23,'Innovation Project Input'!$A$2:$A$201,'Innovation Project Input'!$G$2:$G$201)</f>
        <v>#N/A</v>
      </c>
      <c r="F23" s="97" t="str">
        <f t="array" ref="F23">XLOOKUP('Core Values Input'!$A23,'Innovation Project Input'!$A$2:$A$201,'Innovation Project Input'!$K$2:$K$201)</f>
        <v>#N/A</v>
      </c>
      <c r="G23" s="97" t="str">
        <f t="array" ref="G23">XLOOKUP('Core Values Input'!$A23,'Innovation Project Input'!$A$2:$A$201,'Innovation Project Input'!$L$2:$L$201)</f>
        <v>#N/A</v>
      </c>
      <c r="H23" s="97" t="str">
        <f t="array" ref="H23">XLOOKUP('Core Values Input'!$A23,'Robot Design Input'!$A$2:$A$201,'Robot Design Input'!$D$2:$D$201)</f>
        <v/>
      </c>
      <c r="I23" s="97" t="str">
        <f t="array" ref="I23">XLOOKUP('Core Values Input'!$A23,'Robot Design Input'!$A$2:$A$201,'Robot Design Input'!$E$2:$E$201)</f>
        <v/>
      </c>
      <c r="J23" s="97" t="str">
        <f t="array" ref="J23">XLOOKUP('Core Values Input'!$A23,'Robot Design Input'!$A$2:$A$201,'Robot Design Input'!$J$2:$J$201)</f>
        <v/>
      </c>
      <c r="K23" s="97" t="str">
        <f t="array" ref="K23">XLOOKUP('Core Values Input'!$A23,'Robot Design Input'!$A$2:$A$201,'Robot Design Input'!$K$2:$K$201)</f>
        <v/>
      </c>
      <c r="L23" s="97" t="str">
        <f t="array" ref="L23">XLOOKUP('Core Values Input'!$A23,'Robot Design Input'!$A$2:$A$201,'Robot Design Input'!$L$2:$L$201)</f>
        <v/>
      </c>
      <c r="M23" s="38"/>
      <c r="N23" s="38"/>
      <c r="O23" s="38"/>
      <c r="P23" s="38"/>
      <c r="Q23" s="38"/>
      <c r="R23" s="38" t="str">
        <f>IF('Core Values Input'!$M23="","",COUNTIF('Core Values Input'!$M23:$Q23,""))</f>
        <v/>
      </c>
      <c r="S23" s="38" t="str">
        <f>IF('Core Values Input'!$M23="","",SUM('Core Values Input'!$M23:$Q23))</f>
        <v/>
      </c>
      <c r="T23" s="38" t="str">
        <f>IF('Core Values Input'!$R23=3,SUM('Core Values Input'!$M23:$Q23),IF('Core Values Input'!$R23=4,SUM('Core Values Input'!$M23:$Q23),IF('Core Values Input'!$R23=2,'Core Values Input'!$S23,IF('Core Values Input'!$R23=1,'Core Values Input'!$S23*0.75,IF('Core Values Input'!$R23=0,'Core Values Input'!$S23*0.6,"")))))</f>
        <v/>
      </c>
      <c r="U23" s="98" t="str">
        <f>SUM('Core Values Input'!$C23:$L23,'Core Values Input'!$T23)</f>
        <v>#N/A</v>
      </c>
      <c r="V23" s="80">
        <f>IF('Core Values Input'!$A23&gt;0,MIN(_xlfn.RANK.EQ('Core Values Input'!$U23,'Core Values Input'!$U$2:$U$201,0),NumberOfTeams),NumberOfTeams+1)</f>
        <v>1</v>
      </c>
      <c r="W23" s="99"/>
      <c r="X23" s="99"/>
      <c r="Y23" s="99"/>
    </row>
    <row r="24" ht="30.0" customHeight="1">
      <c r="A24" s="38" t="str">
        <f t="array" ref="A24">XLOOKUP(23,'Team and Program Information'!$B$3:$B$202,'Team and Program Information'!$C$3:$C$202,"ERROR",0)</f>
        <v/>
      </c>
      <c r="B24" s="68" t="str">
        <f t="array" ref="B24">XLOOKUP('Core Values Input'!$A24,'Team and Program Information'!$C$3:$C$202,'Team and Program Information'!$D$3:$D$202,"",0,)</f>
        <v>#VALUE!</v>
      </c>
      <c r="C24" s="97" t="str">
        <f t="array" ref="C24">XLOOKUP('Core Values Input'!$A24,'Innovation Project Input'!$A$2:$A$201,'Innovation Project Input'!$D$2:$D$201)</f>
        <v>#N/A</v>
      </c>
      <c r="D24" s="97" t="str">
        <f t="array" ref="D24">XLOOKUP('Core Values Input'!$A24,'Innovation Project Input'!$A$2:$A$201,'Innovation Project Input'!$F$2:$F$201)</f>
        <v>#N/A</v>
      </c>
      <c r="E24" s="97" t="str">
        <f t="array" ref="E24">XLOOKUP('Core Values Input'!$A24,'Innovation Project Input'!$A$2:$A$201,'Innovation Project Input'!$G$2:$G$201)</f>
        <v>#N/A</v>
      </c>
      <c r="F24" s="97" t="str">
        <f t="array" ref="F24">XLOOKUP('Core Values Input'!$A24,'Innovation Project Input'!$A$2:$A$201,'Innovation Project Input'!$K$2:$K$201)</f>
        <v>#N/A</v>
      </c>
      <c r="G24" s="97" t="str">
        <f t="array" ref="G24">XLOOKUP('Core Values Input'!$A24,'Innovation Project Input'!$A$2:$A$201,'Innovation Project Input'!$L$2:$L$201)</f>
        <v>#N/A</v>
      </c>
      <c r="H24" s="97" t="str">
        <f t="array" ref="H24">XLOOKUP('Core Values Input'!$A24,'Robot Design Input'!$A$2:$A$201,'Robot Design Input'!$D$2:$D$201)</f>
        <v/>
      </c>
      <c r="I24" s="97" t="str">
        <f t="array" ref="I24">XLOOKUP('Core Values Input'!$A24,'Robot Design Input'!$A$2:$A$201,'Robot Design Input'!$E$2:$E$201)</f>
        <v/>
      </c>
      <c r="J24" s="97" t="str">
        <f t="array" ref="J24">XLOOKUP('Core Values Input'!$A24,'Robot Design Input'!$A$2:$A$201,'Robot Design Input'!$J$2:$J$201)</f>
        <v/>
      </c>
      <c r="K24" s="97" t="str">
        <f t="array" ref="K24">XLOOKUP('Core Values Input'!$A24,'Robot Design Input'!$A$2:$A$201,'Robot Design Input'!$K$2:$K$201)</f>
        <v/>
      </c>
      <c r="L24" s="97" t="str">
        <f t="array" ref="L24">XLOOKUP('Core Values Input'!$A24,'Robot Design Input'!$A$2:$A$201,'Robot Design Input'!$L$2:$L$201)</f>
        <v/>
      </c>
      <c r="M24" s="38"/>
      <c r="N24" s="38"/>
      <c r="O24" s="38"/>
      <c r="P24" s="38"/>
      <c r="Q24" s="38"/>
      <c r="R24" s="38" t="str">
        <f>IF('Core Values Input'!$M24="","",COUNTIF('Core Values Input'!$M24:$Q24,""))</f>
        <v/>
      </c>
      <c r="S24" s="38" t="str">
        <f>IF('Core Values Input'!$M24="","",SUM('Core Values Input'!$M24:$Q24))</f>
        <v/>
      </c>
      <c r="T24" s="38" t="str">
        <f>IF('Core Values Input'!$R24=3,SUM('Core Values Input'!$M24:$Q24),IF('Core Values Input'!$R24=4,SUM('Core Values Input'!$M24:$Q24),IF('Core Values Input'!$R24=2,'Core Values Input'!$S24,IF('Core Values Input'!$R24=1,'Core Values Input'!$S24*0.75,IF('Core Values Input'!$R24=0,'Core Values Input'!$S24*0.6,"")))))</f>
        <v/>
      </c>
      <c r="U24" s="98" t="str">
        <f>SUM('Core Values Input'!$C24:$L24,'Core Values Input'!$T24)</f>
        <v>#N/A</v>
      </c>
      <c r="V24" s="80">
        <f>IF('Core Values Input'!$A24&gt;0,MIN(_xlfn.RANK.EQ('Core Values Input'!$U24,'Core Values Input'!$U$2:$U$201,0),NumberOfTeams),NumberOfTeams+1)</f>
        <v>1</v>
      </c>
      <c r="W24" s="99"/>
      <c r="X24" s="99"/>
      <c r="Y24" s="99"/>
    </row>
    <row r="25" ht="30.0" customHeight="1">
      <c r="A25" s="38" t="str">
        <f t="array" ref="A25">XLOOKUP(24,'Team and Program Information'!$B$3:$B$202,'Team and Program Information'!$C$3:$C$202,"ERROR",0)</f>
        <v/>
      </c>
      <c r="B25" s="68" t="str">
        <f t="array" ref="B25">XLOOKUP('Core Values Input'!$A25,'Team and Program Information'!$C$3:$C$202,'Team and Program Information'!$D$3:$D$202,"",0,)</f>
        <v>#VALUE!</v>
      </c>
      <c r="C25" s="97" t="str">
        <f t="array" ref="C25">XLOOKUP('Core Values Input'!$A25,'Innovation Project Input'!$A$2:$A$201,'Innovation Project Input'!$D$2:$D$201)</f>
        <v>#N/A</v>
      </c>
      <c r="D25" s="97" t="str">
        <f t="array" ref="D25">XLOOKUP('Core Values Input'!$A25,'Innovation Project Input'!$A$2:$A$201,'Innovation Project Input'!$F$2:$F$201)</f>
        <v>#N/A</v>
      </c>
      <c r="E25" s="97" t="str">
        <f t="array" ref="E25">XLOOKUP('Core Values Input'!$A25,'Innovation Project Input'!$A$2:$A$201,'Innovation Project Input'!$G$2:$G$201)</f>
        <v>#N/A</v>
      </c>
      <c r="F25" s="97" t="str">
        <f t="array" ref="F25">XLOOKUP('Core Values Input'!$A25,'Innovation Project Input'!$A$2:$A$201,'Innovation Project Input'!$K$2:$K$201)</f>
        <v>#N/A</v>
      </c>
      <c r="G25" s="97" t="str">
        <f t="array" ref="G25">XLOOKUP('Core Values Input'!$A25,'Innovation Project Input'!$A$2:$A$201,'Innovation Project Input'!$L$2:$L$201)</f>
        <v>#N/A</v>
      </c>
      <c r="H25" s="97" t="str">
        <f t="array" ref="H25">XLOOKUP('Core Values Input'!$A25,'Robot Design Input'!$A$2:$A$201,'Robot Design Input'!$D$2:$D$201)</f>
        <v/>
      </c>
      <c r="I25" s="97" t="str">
        <f t="array" ref="I25">XLOOKUP('Core Values Input'!$A25,'Robot Design Input'!$A$2:$A$201,'Robot Design Input'!$E$2:$E$201)</f>
        <v/>
      </c>
      <c r="J25" s="97" t="str">
        <f t="array" ref="J25">XLOOKUP('Core Values Input'!$A25,'Robot Design Input'!$A$2:$A$201,'Robot Design Input'!$J$2:$J$201)</f>
        <v/>
      </c>
      <c r="K25" s="97" t="str">
        <f t="array" ref="K25">XLOOKUP('Core Values Input'!$A25,'Robot Design Input'!$A$2:$A$201,'Robot Design Input'!$K$2:$K$201)</f>
        <v/>
      </c>
      <c r="L25" s="97" t="str">
        <f t="array" ref="L25">XLOOKUP('Core Values Input'!$A25,'Robot Design Input'!$A$2:$A$201,'Robot Design Input'!$L$2:$L$201)</f>
        <v/>
      </c>
      <c r="M25" s="38"/>
      <c r="N25" s="38"/>
      <c r="O25" s="38"/>
      <c r="P25" s="38"/>
      <c r="Q25" s="38"/>
      <c r="R25" s="38" t="str">
        <f>IF('Core Values Input'!$M25="","",COUNTIF('Core Values Input'!$M25:$Q25,""))</f>
        <v/>
      </c>
      <c r="S25" s="38" t="str">
        <f>IF('Core Values Input'!$M25="","",SUM('Core Values Input'!$M25:$Q25))</f>
        <v/>
      </c>
      <c r="T25" s="38" t="str">
        <f>IF('Core Values Input'!$R25=3,SUM('Core Values Input'!$M25:$Q25),IF('Core Values Input'!$R25=4,SUM('Core Values Input'!$M25:$Q25),IF('Core Values Input'!$R25=2,'Core Values Input'!$S25,IF('Core Values Input'!$R25=1,'Core Values Input'!$S25*0.75,IF('Core Values Input'!$R25=0,'Core Values Input'!$S25*0.6,"")))))</f>
        <v/>
      </c>
      <c r="U25" s="98" t="str">
        <f>SUM('Core Values Input'!$C25:$L25,'Core Values Input'!$T25)</f>
        <v>#N/A</v>
      </c>
      <c r="V25" s="80">
        <f>IF('Core Values Input'!$A25&gt;0,MIN(_xlfn.RANK.EQ('Core Values Input'!$U25,'Core Values Input'!$U$2:$U$201,0),NumberOfTeams),NumberOfTeams+1)</f>
        <v>1</v>
      </c>
      <c r="W25" s="99"/>
      <c r="X25" s="99"/>
      <c r="Y25" s="99"/>
    </row>
    <row r="26" ht="30.0" customHeight="1">
      <c r="A26" s="38" t="str">
        <f t="array" ref="A26">XLOOKUP(25,'Team and Program Information'!$B$3:$B$202,'Team and Program Information'!$C$3:$C$202,"ERROR",0)</f>
        <v/>
      </c>
      <c r="B26" s="68" t="str">
        <f t="array" ref="B26">XLOOKUP('Core Values Input'!$A26,'Team and Program Information'!$C$3:$C$202,'Team and Program Information'!$D$3:$D$202,"",0,)</f>
        <v>#VALUE!</v>
      </c>
      <c r="C26" s="97" t="str">
        <f t="array" ref="C26">XLOOKUP('Core Values Input'!$A26,'Innovation Project Input'!$A$2:$A$201,'Innovation Project Input'!$D$2:$D$201)</f>
        <v>#N/A</v>
      </c>
      <c r="D26" s="97" t="str">
        <f t="array" ref="D26">XLOOKUP('Core Values Input'!$A26,'Innovation Project Input'!$A$2:$A$201,'Innovation Project Input'!$F$2:$F$201)</f>
        <v>#N/A</v>
      </c>
      <c r="E26" s="97" t="str">
        <f t="array" ref="E26">XLOOKUP('Core Values Input'!$A26,'Innovation Project Input'!$A$2:$A$201,'Innovation Project Input'!$G$2:$G$201)</f>
        <v>#N/A</v>
      </c>
      <c r="F26" s="97" t="str">
        <f t="array" ref="F26">XLOOKUP('Core Values Input'!$A26,'Innovation Project Input'!$A$2:$A$201,'Innovation Project Input'!$K$2:$K$201)</f>
        <v>#N/A</v>
      </c>
      <c r="G26" s="97" t="str">
        <f t="array" ref="G26">XLOOKUP('Core Values Input'!$A26,'Innovation Project Input'!$A$2:$A$201,'Innovation Project Input'!$L$2:$L$201)</f>
        <v>#N/A</v>
      </c>
      <c r="H26" s="97" t="str">
        <f t="array" ref="H26">XLOOKUP('Core Values Input'!$A26,'Robot Design Input'!$A$2:$A$201,'Robot Design Input'!$D$2:$D$201)</f>
        <v/>
      </c>
      <c r="I26" s="97" t="str">
        <f t="array" ref="I26">XLOOKUP('Core Values Input'!$A26,'Robot Design Input'!$A$2:$A$201,'Robot Design Input'!$E$2:$E$201)</f>
        <v/>
      </c>
      <c r="J26" s="97" t="str">
        <f t="array" ref="J26">XLOOKUP('Core Values Input'!$A26,'Robot Design Input'!$A$2:$A$201,'Robot Design Input'!$J$2:$J$201)</f>
        <v/>
      </c>
      <c r="K26" s="97" t="str">
        <f t="array" ref="K26">XLOOKUP('Core Values Input'!$A26,'Robot Design Input'!$A$2:$A$201,'Robot Design Input'!$K$2:$K$201)</f>
        <v/>
      </c>
      <c r="L26" s="97" t="str">
        <f t="array" ref="L26">XLOOKUP('Core Values Input'!$A26,'Robot Design Input'!$A$2:$A$201,'Robot Design Input'!$L$2:$L$201)</f>
        <v/>
      </c>
      <c r="M26" s="38"/>
      <c r="N26" s="38"/>
      <c r="O26" s="38"/>
      <c r="P26" s="38"/>
      <c r="Q26" s="38"/>
      <c r="R26" s="38" t="str">
        <f>IF('Core Values Input'!$M26="","",COUNTIF('Core Values Input'!$M26:$Q26,""))</f>
        <v/>
      </c>
      <c r="S26" s="38" t="str">
        <f>IF('Core Values Input'!$M26="","",SUM('Core Values Input'!$M26:$Q26))</f>
        <v/>
      </c>
      <c r="T26" s="38" t="str">
        <f>IF('Core Values Input'!$R26=3,SUM('Core Values Input'!$M26:$Q26),IF('Core Values Input'!$R26=4,SUM('Core Values Input'!$M26:$Q26),IF('Core Values Input'!$R26=2,'Core Values Input'!$S26,IF('Core Values Input'!$R26=1,'Core Values Input'!$S26*0.75,IF('Core Values Input'!$R26=0,'Core Values Input'!$S26*0.6,"")))))</f>
        <v/>
      </c>
      <c r="U26" s="98" t="str">
        <f>SUM('Core Values Input'!$C26:$L26,'Core Values Input'!$T26)</f>
        <v>#N/A</v>
      </c>
      <c r="V26" s="80">
        <f>IF('Core Values Input'!$A26&gt;0,MIN(_xlfn.RANK.EQ('Core Values Input'!$U26,'Core Values Input'!$U$2:$U$201,0),NumberOfTeams),NumberOfTeams+1)</f>
        <v>1</v>
      </c>
      <c r="W26" s="99"/>
      <c r="X26" s="99"/>
      <c r="Y26" s="99"/>
    </row>
    <row r="27" ht="30.0" customHeight="1">
      <c r="A27" s="38" t="str">
        <f t="array" ref="A27">XLOOKUP(26,'Team and Program Information'!$B$3:$B$202,'Team and Program Information'!$C$3:$C$202,"ERROR",0)</f>
        <v/>
      </c>
      <c r="B27" s="68" t="str">
        <f t="array" ref="B27">XLOOKUP('Core Values Input'!$A27,'Team and Program Information'!$C$3:$C$202,'Team and Program Information'!$D$3:$D$202,"",0,)</f>
        <v>#VALUE!</v>
      </c>
      <c r="C27" s="97" t="str">
        <f t="array" ref="C27">XLOOKUP('Core Values Input'!$A27,'Innovation Project Input'!$A$2:$A$201,'Innovation Project Input'!$D$2:$D$201)</f>
        <v>#N/A</v>
      </c>
      <c r="D27" s="97" t="str">
        <f t="array" ref="D27">XLOOKUP('Core Values Input'!$A27,'Innovation Project Input'!$A$2:$A$201,'Innovation Project Input'!$F$2:$F$201)</f>
        <v>#N/A</v>
      </c>
      <c r="E27" s="97" t="str">
        <f t="array" ref="E27">XLOOKUP('Core Values Input'!$A27,'Innovation Project Input'!$A$2:$A$201,'Innovation Project Input'!$G$2:$G$201)</f>
        <v>#N/A</v>
      </c>
      <c r="F27" s="97" t="str">
        <f t="array" ref="F27">XLOOKUP('Core Values Input'!$A27,'Innovation Project Input'!$A$2:$A$201,'Innovation Project Input'!$K$2:$K$201)</f>
        <v>#N/A</v>
      </c>
      <c r="G27" s="97" t="str">
        <f t="array" ref="G27">XLOOKUP('Core Values Input'!$A27,'Innovation Project Input'!$A$2:$A$201,'Innovation Project Input'!$L$2:$L$201)</f>
        <v>#N/A</v>
      </c>
      <c r="H27" s="97" t="str">
        <f t="array" ref="H27">XLOOKUP('Core Values Input'!$A27,'Robot Design Input'!$A$2:$A$201,'Robot Design Input'!$D$2:$D$201)</f>
        <v/>
      </c>
      <c r="I27" s="97" t="str">
        <f t="array" ref="I27">XLOOKUP('Core Values Input'!$A27,'Robot Design Input'!$A$2:$A$201,'Robot Design Input'!$E$2:$E$201)</f>
        <v/>
      </c>
      <c r="J27" s="97" t="str">
        <f t="array" ref="J27">XLOOKUP('Core Values Input'!$A27,'Robot Design Input'!$A$2:$A$201,'Robot Design Input'!$J$2:$J$201)</f>
        <v/>
      </c>
      <c r="K27" s="97" t="str">
        <f t="array" ref="K27">XLOOKUP('Core Values Input'!$A27,'Robot Design Input'!$A$2:$A$201,'Robot Design Input'!$K$2:$K$201)</f>
        <v/>
      </c>
      <c r="L27" s="97" t="str">
        <f t="array" ref="L27">XLOOKUP('Core Values Input'!$A27,'Robot Design Input'!$A$2:$A$201,'Robot Design Input'!$L$2:$L$201)</f>
        <v/>
      </c>
      <c r="M27" s="38"/>
      <c r="N27" s="38"/>
      <c r="O27" s="38"/>
      <c r="P27" s="38"/>
      <c r="Q27" s="38"/>
      <c r="R27" s="38" t="str">
        <f>IF('Core Values Input'!$M27="","",COUNTIF('Core Values Input'!$M27:$Q27,""))</f>
        <v/>
      </c>
      <c r="S27" s="38" t="str">
        <f>IF('Core Values Input'!$M27="","",SUM('Core Values Input'!$M27:$Q27))</f>
        <v/>
      </c>
      <c r="T27" s="38" t="str">
        <f>IF('Core Values Input'!$R27=3,SUM('Core Values Input'!$M27:$Q27),IF('Core Values Input'!$R27=4,SUM('Core Values Input'!$M27:$Q27),IF('Core Values Input'!$R27=2,'Core Values Input'!$S27,IF('Core Values Input'!$R27=1,'Core Values Input'!$S27*0.75,IF('Core Values Input'!$R27=0,'Core Values Input'!$S27*0.6,"")))))</f>
        <v/>
      </c>
      <c r="U27" s="98" t="str">
        <f>SUM('Core Values Input'!$C27:$L27,'Core Values Input'!$T27)</f>
        <v>#N/A</v>
      </c>
      <c r="V27" s="80">
        <f>IF('Core Values Input'!$A27&gt;0,MIN(_xlfn.RANK.EQ('Core Values Input'!$U27,'Core Values Input'!$U$2:$U$201,0),NumberOfTeams),NumberOfTeams+1)</f>
        <v>1</v>
      </c>
      <c r="W27" s="99"/>
      <c r="X27" s="99"/>
      <c r="Y27" s="99"/>
    </row>
    <row r="28" ht="30.0" customHeight="1">
      <c r="A28" s="38" t="str">
        <f t="array" ref="A28">XLOOKUP(27,'Team and Program Information'!$B$3:$B$202,'Team and Program Information'!$C$3:$C$202,"ERROR",0)</f>
        <v/>
      </c>
      <c r="B28" s="68" t="str">
        <f t="array" ref="B28">XLOOKUP('Core Values Input'!$A28,'Team and Program Information'!$C$3:$C$202,'Team and Program Information'!$D$3:$D$202,"",0,)</f>
        <v>#VALUE!</v>
      </c>
      <c r="C28" s="97" t="str">
        <f t="array" ref="C28">XLOOKUP('Core Values Input'!$A28,'Innovation Project Input'!$A$2:$A$201,'Innovation Project Input'!$D$2:$D$201)</f>
        <v>#N/A</v>
      </c>
      <c r="D28" s="97" t="str">
        <f t="array" ref="D28">XLOOKUP('Core Values Input'!$A28,'Innovation Project Input'!$A$2:$A$201,'Innovation Project Input'!$F$2:$F$201)</f>
        <v>#N/A</v>
      </c>
      <c r="E28" s="97" t="str">
        <f t="array" ref="E28">XLOOKUP('Core Values Input'!$A28,'Innovation Project Input'!$A$2:$A$201,'Innovation Project Input'!$G$2:$G$201)</f>
        <v>#N/A</v>
      </c>
      <c r="F28" s="97" t="str">
        <f t="array" ref="F28">XLOOKUP('Core Values Input'!$A28,'Innovation Project Input'!$A$2:$A$201,'Innovation Project Input'!$K$2:$K$201)</f>
        <v>#N/A</v>
      </c>
      <c r="G28" s="97" t="str">
        <f t="array" ref="G28">XLOOKUP('Core Values Input'!$A28,'Innovation Project Input'!$A$2:$A$201,'Innovation Project Input'!$L$2:$L$201)</f>
        <v>#N/A</v>
      </c>
      <c r="H28" s="97" t="str">
        <f t="array" ref="H28">XLOOKUP('Core Values Input'!$A28,'Robot Design Input'!$A$2:$A$201,'Robot Design Input'!$D$2:$D$201)</f>
        <v/>
      </c>
      <c r="I28" s="97" t="str">
        <f t="array" ref="I28">XLOOKUP('Core Values Input'!$A28,'Robot Design Input'!$A$2:$A$201,'Robot Design Input'!$E$2:$E$201)</f>
        <v/>
      </c>
      <c r="J28" s="97" t="str">
        <f t="array" ref="J28">XLOOKUP('Core Values Input'!$A28,'Robot Design Input'!$A$2:$A$201,'Robot Design Input'!$J$2:$J$201)</f>
        <v/>
      </c>
      <c r="K28" s="97" t="str">
        <f t="array" ref="K28">XLOOKUP('Core Values Input'!$A28,'Robot Design Input'!$A$2:$A$201,'Robot Design Input'!$K$2:$K$201)</f>
        <v/>
      </c>
      <c r="L28" s="97" t="str">
        <f t="array" ref="L28">XLOOKUP('Core Values Input'!$A28,'Robot Design Input'!$A$2:$A$201,'Robot Design Input'!$L$2:$L$201)</f>
        <v/>
      </c>
      <c r="M28" s="38"/>
      <c r="N28" s="38"/>
      <c r="O28" s="38"/>
      <c r="P28" s="38"/>
      <c r="Q28" s="38"/>
      <c r="R28" s="38" t="str">
        <f>IF('Core Values Input'!$M28="","",COUNTIF('Core Values Input'!$M28:$Q28,""))</f>
        <v/>
      </c>
      <c r="S28" s="38" t="str">
        <f>IF('Core Values Input'!$M28="","",SUM('Core Values Input'!$M28:$Q28))</f>
        <v/>
      </c>
      <c r="T28" s="38" t="str">
        <f>IF('Core Values Input'!$R28=3,SUM('Core Values Input'!$M28:$Q28),IF('Core Values Input'!$R28=4,SUM('Core Values Input'!$M28:$Q28),IF('Core Values Input'!$R28=2,'Core Values Input'!$S28,IF('Core Values Input'!$R28=1,'Core Values Input'!$S28*0.75,IF('Core Values Input'!$R28=0,'Core Values Input'!$S28*0.6,"")))))</f>
        <v/>
      </c>
      <c r="U28" s="98" t="str">
        <f>SUM('Core Values Input'!$C28:$L28,'Core Values Input'!$T28)</f>
        <v>#N/A</v>
      </c>
      <c r="V28" s="80">
        <f>IF('Core Values Input'!$A28&gt;0,MIN(_xlfn.RANK.EQ('Core Values Input'!$U28,'Core Values Input'!$U$2:$U$201,0),NumberOfTeams),NumberOfTeams+1)</f>
        <v>1</v>
      </c>
      <c r="W28" s="99"/>
      <c r="X28" s="99"/>
      <c r="Y28" s="99"/>
    </row>
    <row r="29" ht="30.0" customHeight="1">
      <c r="A29" s="38" t="str">
        <f t="array" ref="A29">XLOOKUP(28,'Team and Program Information'!$B$3:$B$202,'Team and Program Information'!$C$3:$C$202,"ERROR",0)</f>
        <v/>
      </c>
      <c r="B29" s="68" t="str">
        <f t="array" ref="B29">XLOOKUP('Core Values Input'!$A29,'Team and Program Information'!$C$3:$C$202,'Team and Program Information'!$D$3:$D$202,"",0,)</f>
        <v>#VALUE!</v>
      </c>
      <c r="C29" s="97" t="str">
        <f t="array" ref="C29">XLOOKUP('Core Values Input'!$A29,'Innovation Project Input'!$A$2:$A$201,'Innovation Project Input'!$D$2:$D$201)</f>
        <v>#N/A</v>
      </c>
      <c r="D29" s="97" t="str">
        <f t="array" ref="D29">XLOOKUP('Core Values Input'!$A29,'Innovation Project Input'!$A$2:$A$201,'Innovation Project Input'!$F$2:$F$201)</f>
        <v>#N/A</v>
      </c>
      <c r="E29" s="97" t="str">
        <f t="array" ref="E29">XLOOKUP('Core Values Input'!$A29,'Innovation Project Input'!$A$2:$A$201,'Innovation Project Input'!$G$2:$G$201)</f>
        <v>#N/A</v>
      </c>
      <c r="F29" s="97" t="str">
        <f t="array" ref="F29">XLOOKUP('Core Values Input'!$A29,'Innovation Project Input'!$A$2:$A$201,'Innovation Project Input'!$K$2:$K$201)</f>
        <v>#N/A</v>
      </c>
      <c r="G29" s="97" t="str">
        <f t="array" ref="G29">XLOOKUP('Core Values Input'!$A29,'Innovation Project Input'!$A$2:$A$201,'Innovation Project Input'!$L$2:$L$201)</f>
        <v>#N/A</v>
      </c>
      <c r="H29" s="97" t="str">
        <f t="array" ref="H29">XLOOKUP('Core Values Input'!$A29,'Robot Design Input'!$A$2:$A$201,'Robot Design Input'!$D$2:$D$201)</f>
        <v/>
      </c>
      <c r="I29" s="97" t="str">
        <f t="array" ref="I29">XLOOKUP('Core Values Input'!$A29,'Robot Design Input'!$A$2:$A$201,'Robot Design Input'!$E$2:$E$201)</f>
        <v/>
      </c>
      <c r="J29" s="97" t="str">
        <f t="array" ref="J29">XLOOKUP('Core Values Input'!$A29,'Robot Design Input'!$A$2:$A$201,'Robot Design Input'!$J$2:$J$201)</f>
        <v/>
      </c>
      <c r="K29" s="97" t="str">
        <f t="array" ref="K29">XLOOKUP('Core Values Input'!$A29,'Robot Design Input'!$A$2:$A$201,'Robot Design Input'!$K$2:$K$201)</f>
        <v/>
      </c>
      <c r="L29" s="97" t="str">
        <f t="array" ref="L29">XLOOKUP('Core Values Input'!$A29,'Robot Design Input'!$A$2:$A$201,'Robot Design Input'!$L$2:$L$201)</f>
        <v/>
      </c>
      <c r="M29" s="38"/>
      <c r="N29" s="38"/>
      <c r="O29" s="38"/>
      <c r="P29" s="38"/>
      <c r="Q29" s="38"/>
      <c r="R29" s="38" t="str">
        <f>IF('Core Values Input'!$M29="","",COUNTIF('Core Values Input'!$M29:$Q29,""))</f>
        <v/>
      </c>
      <c r="S29" s="38" t="str">
        <f>IF('Core Values Input'!$M29="","",SUM('Core Values Input'!$M29:$Q29))</f>
        <v/>
      </c>
      <c r="T29" s="38" t="str">
        <f>IF('Core Values Input'!$R29=3,SUM('Core Values Input'!$M29:$Q29),IF('Core Values Input'!$R29=4,SUM('Core Values Input'!$M29:$Q29),IF('Core Values Input'!$R29=2,'Core Values Input'!$S29,IF('Core Values Input'!$R29=1,'Core Values Input'!$S29*0.75,IF('Core Values Input'!$R29=0,'Core Values Input'!$S29*0.6,"")))))</f>
        <v/>
      </c>
      <c r="U29" s="98" t="str">
        <f>SUM('Core Values Input'!$C29:$L29,'Core Values Input'!$T29)</f>
        <v>#N/A</v>
      </c>
      <c r="V29" s="80">
        <f>IF('Core Values Input'!$A29&gt;0,MIN(_xlfn.RANK.EQ('Core Values Input'!$U29,'Core Values Input'!$U$2:$U$201,0),NumberOfTeams),NumberOfTeams+1)</f>
        <v>1</v>
      </c>
      <c r="W29" s="99"/>
      <c r="X29" s="99"/>
      <c r="Y29" s="99"/>
    </row>
    <row r="30" ht="30.0" customHeight="1">
      <c r="A30" s="38" t="str">
        <f t="array" ref="A30">XLOOKUP(29,'Team and Program Information'!$B$3:$B$202,'Team and Program Information'!$C$3:$C$202,"ERROR",0)</f>
        <v/>
      </c>
      <c r="B30" s="68" t="str">
        <f t="array" ref="B30">XLOOKUP('Core Values Input'!$A30,'Team and Program Information'!$C$3:$C$202,'Team and Program Information'!$D$3:$D$202,"",0,)</f>
        <v>#VALUE!</v>
      </c>
      <c r="C30" s="97" t="str">
        <f t="array" ref="C30">XLOOKUP('Core Values Input'!$A30,'Innovation Project Input'!$A$2:$A$201,'Innovation Project Input'!$D$2:$D$201)</f>
        <v>#N/A</v>
      </c>
      <c r="D30" s="97" t="str">
        <f t="array" ref="D30">XLOOKUP('Core Values Input'!$A30,'Innovation Project Input'!$A$2:$A$201,'Innovation Project Input'!$F$2:$F$201)</f>
        <v>#N/A</v>
      </c>
      <c r="E30" s="97" t="str">
        <f t="array" ref="E30">XLOOKUP('Core Values Input'!$A30,'Innovation Project Input'!$A$2:$A$201,'Innovation Project Input'!$G$2:$G$201)</f>
        <v>#N/A</v>
      </c>
      <c r="F30" s="97" t="str">
        <f t="array" ref="F30">XLOOKUP('Core Values Input'!$A30,'Innovation Project Input'!$A$2:$A$201,'Innovation Project Input'!$K$2:$K$201)</f>
        <v>#N/A</v>
      </c>
      <c r="G30" s="97" t="str">
        <f t="array" ref="G30">XLOOKUP('Core Values Input'!$A30,'Innovation Project Input'!$A$2:$A$201,'Innovation Project Input'!$L$2:$L$201)</f>
        <v>#N/A</v>
      </c>
      <c r="H30" s="97" t="str">
        <f t="array" ref="H30">XLOOKUP('Core Values Input'!$A30,'Robot Design Input'!$A$2:$A$201,'Robot Design Input'!$D$2:$D$201)</f>
        <v/>
      </c>
      <c r="I30" s="97" t="str">
        <f t="array" ref="I30">XLOOKUP('Core Values Input'!$A30,'Robot Design Input'!$A$2:$A$201,'Robot Design Input'!$E$2:$E$201)</f>
        <v/>
      </c>
      <c r="J30" s="97" t="str">
        <f t="array" ref="J30">XLOOKUP('Core Values Input'!$A30,'Robot Design Input'!$A$2:$A$201,'Robot Design Input'!$J$2:$J$201)</f>
        <v/>
      </c>
      <c r="K30" s="97" t="str">
        <f t="array" ref="K30">XLOOKUP('Core Values Input'!$A30,'Robot Design Input'!$A$2:$A$201,'Robot Design Input'!$K$2:$K$201)</f>
        <v/>
      </c>
      <c r="L30" s="97" t="str">
        <f t="array" ref="L30">XLOOKUP('Core Values Input'!$A30,'Robot Design Input'!$A$2:$A$201,'Robot Design Input'!$L$2:$L$201)</f>
        <v/>
      </c>
      <c r="M30" s="38"/>
      <c r="N30" s="38"/>
      <c r="O30" s="38"/>
      <c r="P30" s="38"/>
      <c r="Q30" s="38"/>
      <c r="R30" s="38" t="str">
        <f>IF('Core Values Input'!$M30="","",COUNTIF('Core Values Input'!$M30:$Q30,""))</f>
        <v/>
      </c>
      <c r="S30" s="38" t="str">
        <f>IF('Core Values Input'!$M30="","",SUM('Core Values Input'!$M30:$Q30))</f>
        <v/>
      </c>
      <c r="T30" s="38" t="str">
        <f>IF('Core Values Input'!$R30=3,SUM('Core Values Input'!$M30:$Q30),IF('Core Values Input'!$R30=4,SUM('Core Values Input'!$M30:$Q30),IF('Core Values Input'!$R30=2,'Core Values Input'!$S30,IF('Core Values Input'!$R30=1,'Core Values Input'!$S30*0.75,IF('Core Values Input'!$R30=0,'Core Values Input'!$S30*0.6,"")))))</f>
        <v/>
      </c>
      <c r="U30" s="98" t="str">
        <f>SUM('Core Values Input'!$C30:$L30,'Core Values Input'!$T30)</f>
        <v>#N/A</v>
      </c>
      <c r="V30" s="80">
        <f>IF('Core Values Input'!$A30&gt;0,MIN(_xlfn.RANK.EQ('Core Values Input'!$U30,'Core Values Input'!$U$2:$U$201,0),NumberOfTeams),NumberOfTeams+1)</f>
        <v>1</v>
      </c>
      <c r="W30" s="99"/>
      <c r="X30" s="99"/>
      <c r="Y30" s="99"/>
    </row>
    <row r="31" ht="30.0" customHeight="1">
      <c r="A31" s="38" t="str">
        <f t="array" ref="A31">XLOOKUP(30,'Team and Program Information'!$B$3:$B$202,'Team and Program Information'!$C$3:$C$202,"ERROR",0)</f>
        <v/>
      </c>
      <c r="B31" s="68" t="str">
        <f t="array" ref="B31">XLOOKUP('Core Values Input'!$A31,'Team and Program Information'!$C$3:$C$202,'Team and Program Information'!$D$3:$D$202,"",0,)</f>
        <v>#VALUE!</v>
      </c>
      <c r="C31" s="97" t="str">
        <f t="array" ref="C31">XLOOKUP('Core Values Input'!$A31,'Innovation Project Input'!$A$2:$A$201,'Innovation Project Input'!$D$2:$D$201)</f>
        <v>#N/A</v>
      </c>
      <c r="D31" s="97" t="str">
        <f t="array" ref="D31">XLOOKUP('Core Values Input'!$A31,'Innovation Project Input'!$A$2:$A$201,'Innovation Project Input'!$F$2:$F$201)</f>
        <v>#N/A</v>
      </c>
      <c r="E31" s="97" t="str">
        <f t="array" ref="E31">XLOOKUP('Core Values Input'!$A31,'Innovation Project Input'!$A$2:$A$201,'Innovation Project Input'!$G$2:$G$201)</f>
        <v>#N/A</v>
      </c>
      <c r="F31" s="97" t="str">
        <f t="array" ref="F31">XLOOKUP('Core Values Input'!$A31,'Innovation Project Input'!$A$2:$A$201,'Innovation Project Input'!$K$2:$K$201)</f>
        <v>#N/A</v>
      </c>
      <c r="G31" s="97" t="str">
        <f t="array" ref="G31">XLOOKUP('Core Values Input'!$A31,'Innovation Project Input'!$A$2:$A$201,'Innovation Project Input'!$L$2:$L$201)</f>
        <v>#N/A</v>
      </c>
      <c r="H31" s="97" t="str">
        <f t="array" ref="H31">XLOOKUP('Core Values Input'!$A31,'Robot Design Input'!$A$2:$A$201,'Robot Design Input'!$D$2:$D$201)</f>
        <v/>
      </c>
      <c r="I31" s="97" t="str">
        <f t="array" ref="I31">XLOOKUP('Core Values Input'!$A31,'Robot Design Input'!$A$2:$A$201,'Robot Design Input'!$E$2:$E$201)</f>
        <v/>
      </c>
      <c r="J31" s="97" t="str">
        <f t="array" ref="J31">XLOOKUP('Core Values Input'!$A31,'Robot Design Input'!$A$2:$A$201,'Robot Design Input'!$J$2:$J$201)</f>
        <v/>
      </c>
      <c r="K31" s="97" t="str">
        <f t="array" ref="K31">XLOOKUP('Core Values Input'!$A31,'Robot Design Input'!$A$2:$A$201,'Robot Design Input'!$K$2:$K$201)</f>
        <v/>
      </c>
      <c r="L31" s="97" t="str">
        <f t="array" ref="L31">XLOOKUP('Core Values Input'!$A31,'Robot Design Input'!$A$2:$A$201,'Robot Design Input'!$L$2:$L$201)</f>
        <v/>
      </c>
      <c r="M31" s="38"/>
      <c r="N31" s="38"/>
      <c r="O31" s="38"/>
      <c r="P31" s="38"/>
      <c r="Q31" s="38"/>
      <c r="R31" s="38" t="str">
        <f>IF('Core Values Input'!$M31="","",COUNTIF('Core Values Input'!$M31:$Q31,""))</f>
        <v/>
      </c>
      <c r="S31" s="38" t="str">
        <f>IF('Core Values Input'!$M31="","",SUM('Core Values Input'!$M31:$Q31))</f>
        <v/>
      </c>
      <c r="T31" s="38" t="str">
        <f>IF('Core Values Input'!$R31=3,SUM('Core Values Input'!$M31:$Q31),IF('Core Values Input'!$R31=4,SUM('Core Values Input'!$M31:$Q31),IF('Core Values Input'!$R31=2,'Core Values Input'!$S31,IF('Core Values Input'!$R31=1,'Core Values Input'!$S31*0.75,IF('Core Values Input'!$R31=0,'Core Values Input'!$S31*0.6,"")))))</f>
        <v/>
      </c>
      <c r="U31" s="98" t="str">
        <f>SUM('Core Values Input'!$C31:$L31,'Core Values Input'!$T31)</f>
        <v>#N/A</v>
      </c>
      <c r="V31" s="80">
        <f>IF('Core Values Input'!$A31&gt;0,MIN(_xlfn.RANK.EQ('Core Values Input'!$U31,'Core Values Input'!$U$2:$U$201,0),NumberOfTeams),NumberOfTeams+1)</f>
        <v>1</v>
      </c>
      <c r="W31" s="99"/>
      <c r="X31" s="99"/>
      <c r="Y31" s="99"/>
    </row>
    <row r="32" ht="30.0" customHeight="1">
      <c r="A32" s="38" t="str">
        <f t="array" ref="A32">XLOOKUP(31,'Team and Program Information'!$B$3:$B$202,'Team and Program Information'!$C$3:$C$202,"ERROR",0)</f>
        <v/>
      </c>
      <c r="B32" s="68" t="str">
        <f t="array" ref="B32">XLOOKUP('Core Values Input'!$A32,'Team and Program Information'!$C$3:$C$202,'Team and Program Information'!$D$3:$D$202,"",0,)</f>
        <v>#VALUE!</v>
      </c>
      <c r="C32" s="97" t="str">
        <f t="array" ref="C32">XLOOKUP('Core Values Input'!$A32,'Innovation Project Input'!$A$2:$A$201,'Innovation Project Input'!$D$2:$D$201)</f>
        <v>#N/A</v>
      </c>
      <c r="D32" s="97" t="str">
        <f t="array" ref="D32">XLOOKUP('Core Values Input'!$A32,'Innovation Project Input'!$A$2:$A$201,'Innovation Project Input'!$F$2:$F$201)</f>
        <v>#N/A</v>
      </c>
      <c r="E32" s="97" t="str">
        <f t="array" ref="E32">XLOOKUP('Core Values Input'!$A32,'Innovation Project Input'!$A$2:$A$201,'Innovation Project Input'!$G$2:$G$201)</f>
        <v>#N/A</v>
      </c>
      <c r="F32" s="97" t="str">
        <f t="array" ref="F32">XLOOKUP('Core Values Input'!$A32,'Innovation Project Input'!$A$2:$A$201,'Innovation Project Input'!$K$2:$K$201)</f>
        <v>#N/A</v>
      </c>
      <c r="G32" s="97" t="str">
        <f t="array" ref="G32">XLOOKUP('Core Values Input'!$A32,'Innovation Project Input'!$A$2:$A$201,'Innovation Project Input'!$L$2:$L$201)</f>
        <v>#N/A</v>
      </c>
      <c r="H32" s="97" t="str">
        <f t="array" ref="H32">XLOOKUP('Core Values Input'!$A32,'Robot Design Input'!$A$2:$A$201,'Robot Design Input'!$D$2:$D$201)</f>
        <v/>
      </c>
      <c r="I32" s="97" t="str">
        <f t="array" ref="I32">XLOOKUP('Core Values Input'!$A32,'Robot Design Input'!$A$2:$A$201,'Robot Design Input'!$E$2:$E$201)</f>
        <v/>
      </c>
      <c r="J32" s="97" t="str">
        <f t="array" ref="J32">XLOOKUP('Core Values Input'!$A32,'Robot Design Input'!$A$2:$A$201,'Robot Design Input'!$J$2:$J$201)</f>
        <v/>
      </c>
      <c r="K32" s="97" t="str">
        <f t="array" ref="K32">XLOOKUP('Core Values Input'!$A32,'Robot Design Input'!$A$2:$A$201,'Robot Design Input'!$K$2:$K$201)</f>
        <v/>
      </c>
      <c r="L32" s="97" t="str">
        <f t="array" ref="L32">XLOOKUP('Core Values Input'!$A32,'Robot Design Input'!$A$2:$A$201,'Robot Design Input'!$L$2:$L$201)</f>
        <v/>
      </c>
      <c r="M32" s="38"/>
      <c r="N32" s="38"/>
      <c r="O32" s="38"/>
      <c r="P32" s="38"/>
      <c r="Q32" s="38"/>
      <c r="R32" s="38" t="str">
        <f>IF('Core Values Input'!$M32="","",COUNTIF('Core Values Input'!$M32:$Q32,""))</f>
        <v/>
      </c>
      <c r="S32" s="38" t="str">
        <f>IF('Core Values Input'!$M32="","",SUM('Core Values Input'!$M32:$Q32))</f>
        <v/>
      </c>
      <c r="T32" s="38" t="str">
        <f>IF('Core Values Input'!$R32=3,SUM('Core Values Input'!$M32:$Q32),IF('Core Values Input'!$R32=4,SUM('Core Values Input'!$M32:$Q32),IF('Core Values Input'!$R32=2,'Core Values Input'!$S32,IF('Core Values Input'!$R32=1,'Core Values Input'!$S32*0.75,IF('Core Values Input'!$R32=0,'Core Values Input'!$S32*0.6,"")))))</f>
        <v/>
      </c>
      <c r="U32" s="98" t="str">
        <f>SUM('Core Values Input'!$C32:$L32,'Core Values Input'!$T32)</f>
        <v>#N/A</v>
      </c>
      <c r="V32" s="80">
        <f>IF('Core Values Input'!$A32&gt;0,MIN(_xlfn.RANK.EQ('Core Values Input'!$U32,'Core Values Input'!$U$2:$U$201,0),NumberOfTeams),NumberOfTeams+1)</f>
        <v>1</v>
      </c>
      <c r="W32" s="99"/>
      <c r="X32" s="99"/>
      <c r="Y32" s="99"/>
    </row>
    <row r="33" ht="30.0" customHeight="1">
      <c r="A33" s="38" t="str">
        <f t="array" ref="A33">XLOOKUP(32,'Team and Program Information'!$B$3:$B$202,'Team and Program Information'!$C$3:$C$202,"ERROR",0)</f>
        <v/>
      </c>
      <c r="B33" s="68" t="str">
        <f t="array" ref="B33">XLOOKUP('Core Values Input'!$A33,'Team and Program Information'!$C$3:$C$202,'Team and Program Information'!$D$3:$D$202,"",0,)</f>
        <v>#VALUE!</v>
      </c>
      <c r="C33" s="97" t="str">
        <f t="array" ref="C33">XLOOKUP('Core Values Input'!$A33,'Innovation Project Input'!$A$2:$A$201,'Innovation Project Input'!$D$2:$D$201)</f>
        <v>#N/A</v>
      </c>
      <c r="D33" s="97" t="str">
        <f t="array" ref="D33">XLOOKUP('Core Values Input'!$A33,'Innovation Project Input'!$A$2:$A$201,'Innovation Project Input'!$F$2:$F$201)</f>
        <v>#N/A</v>
      </c>
      <c r="E33" s="97" t="str">
        <f t="array" ref="E33">XLOOKUP('Core Values Input'!$A33,'Innovation Project Input'!$A$2:$A$201,'Innovation Project Input'!$G$2:$G$201)</f>
        <v>#N/A</v>
      </c>
      <c r="F33" s="97" t="str">
        <f t="array" ref="F33">XLOOKUP('Core Values Input'!$A33,'Innovation Project Input'!$A$2:$A$201,'Innovation Project Input'!$K$2:$K$201)</f>
        <v>#N/A</v>
      </c>
      <c r="G33" s="97" t="str">
        <f t="array" ref="G33">XLOOKUP('Core Values Input'!$A33,'Innovation Project Input'!$A$2:$A$201,'Innovation Project Input'!$L$2:$L$201)</f>
        <v>#N/A</v>
      </c>
      <c r="H33" s="97" t="str">
        <f t="array" ref="H33">XLOOKUP('Core Values Input'!$A33,'Robot Design Input'!$A$2:$A$201,'Robot Design Input'!$D$2:$D$201)</f>
        <v/>
      </c>
      <c r="I33" s="97" t="str">
        <f t="array" ref="I33">XLOOKUP('Core Values Input'!$A33,'Robot Design Input'!$A$2:$A$201,'Robot Design Input'!$E$2:$E$201)</f>
        <v/>
      </c>
      <c r="J33" s="97" t="str">
        <f t="array" ref="J33">XLOOKUP('Core Values Input'!$A33,'Robot Design Input'!$A$2:$A$201,'Robot Design Input'!$J$2:$J$201)</f>
        <v/>
      </c>
      <c r="K33" s="97" t="str">
        <f t="array" ref="K33">XLOOKUP('Core Values Input'!$A33,'Robot Design Input'!$A$2:$A$201,'Robot Design Input'!$K$2:$K$201)</f>
        <v/>
      </c>
      <c r="L33" s="97" t="str">
        <f t="array" ref="L33">XLOOKUP('Core Values Input'!$A33,'Robot Design Input'!$A$2:$A$201,'Robot Design Input'!$L$2:$L$201)</f>
        <v/>
      </c>
      <c r="M33" s="38"/>
      <c r="N33" s="38"/>
      <c r="O33" s="38"/>
      <c r="P33" s="38"/>
      <c r="Q33" s="38"/>
      <c r="R33" s="38" t="str">
        <f>IF('Core Values Input'!$M33="","",COUNTIF('Core Values Input'!$M33:$Q33,""))</f>
        <v/>
      </c>
      <c r="S33" s="38" t="str">
        <f>IF('Core Values Input'!$M33="","",SUM('Core Values Input'!$M33:$Q33))</f>
        <v/>
      </c>
      <c r="T33" s="38" t="str">
        <f>IF('Core Values Input'!$R33=3,SUM('Core Values Input'!$M33:$Q33),IF('Core Values Input'!$R33=4,SUM('Core Values Input'!$M33:$Q33),IF('Core Values Input'!$R33=2,'Core Values Input'!$S33,IF('Core Values Input'!$R33=1,'Core Values Input'!$S33*0.75,IF('Core Values Input'!$R33=0,'Core Values Input'!$S33*0.6,"")))))</f>
        <v/>
      </c>
      <c r="U33" s="98" t="str">
        <f>SUM('Core Values Input'!$C33:$L33,'Core Values Input'!$T33)</f>
        <v>#N/A</v>
      </c>
      <c r="V33" s="80">
        <f>IF('Core Values Input'!$A33&gt;0,MIN(_xlfn.RANK.EQ('Core Values Input'!$U33,'Core Values Input'!$U$2:$U$201,0),NumberOfTeams),NumberOfTeams+1)</f>
        <v>1</v>
      </c>
      <c r="W33" s="99"/>
      <c r="X33" s="99"/>
      <c r="Y33" s="99"/>
    </row>
    <row r="34" ht="30.0" customHeight="1">
      <c r="A34" s="38" t="str">
        <f t="array" ref="A34">XLOOKUP(33,'Team and Program Information'!$B$3:$B$202,'Team and Program Information'!$C$3:$C$202,"ERROR",0)</f>
        <v/>
      </c>
      <c r="B34" s="68" t="str">
        <f t="array" ref="B34">XLOOKUP('Core Values Input'!$A34,'Team and Program Information'!$C$3:$C$202,'Team and Program Information'!$D$3:$D$202,"",0,)</f>
        <v>#VALUE!</v>
      </c>
      <c r="C34" s="97" t="str">
        <f t="array" ref="C34">XLOOKUP('Core Values Input'!$A34,'Innovation Project Input'!$A$2:$A$201,'Innovation Project Input'!$D$2:$D$201)</f>
        <v>#N/A</v>
      </c>
      <c r="D34" s="97" t="str">
        <f t="array" ref="D34">XLOOKUP('Core Values Input'!$A34,'Innovation Project Input'!$A$2:$A$201,'Innovation Project Input'!$F$2:$F$201)</f>
        <v>#N/A</v>
      </c>
      <c r="E34" s="97" t="str">
        <f t="array" ref="E34">XLOOKUP('Core Values Input'!$A34,'Innovation Project Input'!$A$2:$A$201,'Innovation Project Input'!$G$2:$G$201)</f>
        <v>#N/A</v>
      </c>
      <c r="F34" s="97" t="str">
        <f t="array" ref="F34">XLOOKUP('Core Values Input'!$A34,'Innovation Project Input'!$A$2:$A$201,'Innovation Project Input'!$K$2:$K$201)</f>
        <v>#N/A</v>
      </c>
      <c r="G34" s="97" t="str">
        <f t="array" ref="G34">XLOOKUP('Core Values Input'!$A34,'Innovation Project Input'!$A$2:$A$201,'Innovation Project Input'!$L$2:$L$201)</f>
        <v>#N/A</v>
      </c>
      <c r="H34" s="97" t="str">
        <f t="array" ref="H34">XLOOKUP('Core Values Input'!$A34,'Robot Design Input'!$A$2:$A$201,'Robot Design Input'!$D$2:$D$201)</f>
        <v/>
      </c>
      <c r="I34" s="97" t="str">
        <f t="array" ref="I34">XLOOKUP('Core Values Input'!$A34,'Robot Design Input'!$A$2:$A$201,'Robot Design Input'!$E$2:$E$201)</f>
        <v/>
      </c>
      <c r="J34" s="97" t="str">
        <f t="array" ref="J34">XLOOKUP('Core Values Input'!$A34,'Robot Design Input'!$A$2:$A$201,'Robot Design Input'!$J$2:$J$201)</f>
        <v/>
      </c>
      <c r="K34" s="97" t="str">
        <f t="array" ref="K34">XLOOKUP('Core Values Input'!$A34,'Robot Design Input'!$A$2:$A$201,'Robot Design Input'!$K$2:$K$201)</f>
        <v/>
      </c>
      <c r="L34" s="97" t="str">
        <f t="array" ref="L34">XLOOKUP('Core Values Input'!$A34,'Robot Design Input'!$A$2:$A$201,'Robot Design Input'!$L$2:$L$201)</f>
        <v/>
      </c>
      <c r="M34" s="38"/>
      <c r="N34" s="38"/>
      <c r="O34" s="38"/>
      <c r="P34" s="38"/>
      <c r="Q34" s="38"/>
      <c r="R34" s="38" t="str">
        <f>IF('Core Values Input'!$M34="","",COUNTIF('Core Values Input'!$M34:$Q34,""))</f>
        <v/>
      </c>
      <c r="S34" s="38" t="str">
        <f>IF('Core Values Input'!$M34="","",SUM('Core Values Input'!$M34:$Q34))</f>
        <v/>
      </c>
      <c r="T34" s="38" t="str">
        <f>IF('Core Values Input'!$R34=3,SUM('Core Values Input'!$M34:$Q34),IF('Core Values Input'!$R34=4,SUM('Core Values Input'!$M34:$Q34),IF('Core Values Input'!$R34=2,'Core Values Input'!$S34,IF('Core Values Input'!$R34=1,'Core Values Input'!$S34*0.75,IF('Core Values Input'!$R34=0,'Core Values Input'!$S34*0.6,"")))))</f>
        <v/>
      </c>
      <c r="U34" s="98" t="str">
        <f>SUM('Core Values Input'!$C34:$L34,'Core Values Input'!$T34)</f>
        <v>#N/A</v>
      </c>
      <c r="V34" s="80">
        <f>IF('Core Values Input'!$A34&gt;0,MIN(_xlfn.RANK.EQ('Core Values Input'!$U34,'Core Values Input'!$U$2:$U$201,0),NumberOfTeams),NumberOfTeams+1)</f>
        <v>1</v>
      </c>
      <c r="W34" s="99"/>
      <c r="X34" s="99"/>
      <c r="Y34" s="99"/>
    </row>
    <row r="35" ht="30.0" customHeight="1">
      <c r="A35" s="38" t="str">
        <f t="array" ref="A35">XLOOKUP(34,'Team and Program Information'!$B$3:$B$202,'Team and Program Information'!$C$3:$C$202,"ERROR",0)</f>
        <v/>
      </c>
      <c r="B35" s="68" t="str">
        <f t="array" ref="B35">XLOOKUP('Core Values Input'!$A35,'Team and Program Information'!$C$3:$C$202,'Team and Program Information'!$D$3:$D$202,"",0,)</f>
        <v>#VALUE!</v>
      </c>
      <c r="C35" s="97" t="str">
        <f t="array" ref="C35">XLOOKUP('Core Values Input'!$A35,'Innovation Project Input'!$A$2:$A$201,'Innovation Project Input'!$D$2:$D$201)</f>
        <v>#N/A</v>
      </c>
      <c r="D35" s="97" t="str">
        <f t="array" ref="D35">XLOOKUP('Core Values Input'!$A35,'Innovation Project Input'!$A$2:$A$201,'Innovation Project Input'!$F$2:$F$201)</f>
        <v>#N/A</v>
      </c>
      <c r="E35" s="97" t="str">
        <f t="array" ref="E35">XLOOKUP('Core Values Input'!$A35,'Innovation Project Input'!$A$2:$A$201,'Innovation Project Input'!$G$2:$G$201)</f>
        <v>#N/A</v>
      </c>
      <c r="F35" s="97" t="str">
        <f t="array" ref="F35">XLOOKUP('Core Values Input'!$A35,'Innovation Project Input'!$A$2:$A$201,'Innovation Project Input'!$K$2:$K$201)</f>
        <v>#N/A</v>
      </c>
      <c r="G35" s="97" t="str">
        <f t="array" ref="G35">XLOOKUP('Core Values Input'!$A35,'Innovation Project Input'!$A$2:$A$201,'Innovation Project Input'!$L$2:$L$201)</f>
        <v>#N/A</v>
      </c>
      <c r="H35" s="97" t="str">
        <f t="array" ref="H35">XLOOKUP('Core Values Input'!$A35,'Robot Design Input'!$A$2:$A$201,'Robot Design Input'!$D$2:$D$201)</f>
        <v/>
      </c>
      <c r="I35" s="97" t="str">
        <f t="array" ref="I35">XLOOKUP('Core Values Input'!$A35,'Robot Design Input'!$A$2:$A$201,'Robot Design Input'!$E$2:$E$201)</f>
        <v/>
      </c>
      <c r="J35" s="97" t="str">
        <f t="array" ref="J35">XLOOKUP('Core Values Input'!$A35,'Robot Design Input'!$A$2:$A$201,'Robot Design Input'!$J$2:$J$201)</f>
        <v/>
      </c>
      <c r="K35" s="97" t="str">
        <f t="array" ref="K35">XLOOKUP('Core Values Input'!$A35,'Robot Design Input'!$A$2:$A$201,'Robot Design Input'!$K$2:$K$201)</f>
        <v/>
      </c>
      <c r="L35" s="97" t="str">
        <f t="array" ref="L35">XLOOKUP('Core Values Input'!$A35,'Robot Design Input'!$A$2:$A$201,'Robot Design Input'!$L$2:$L$201)</f>
        <v/>
      </c>
      <c r="M35" s="38"/>
      <c r="N35" s="38"/>
      <c r="O35" s="38"/>
      <c r="P35" s="38"/>
      <c r="Q35" s="38"/>
      <c r="R35" s="38" t="str">
        <f>IF('Core Values Input'!$M35="","",COUNTIF('Core Values Input'!$M35:$Q35,""))</f>
        <v/>
      </c>
      <c r="S35" s="38" t="str">
        <f>IF('Core Values Input'!$M35="","",SUM('Core Values Input'!$M35:$Q35))</f>
        <v/>
      </c>
      <c r="T35" s="38" t="str">
        <f>IF('Core Values Input'!$R35=3,SUM('Core Values Input'!$M35:$Q35),IF('Core Values Input'!$R35=4,SUM('Core Values Input'!$M35:$Q35),IF('Core Values Input'!$R35=2,'Core Values Input'!$S35,IF('Core Values Input'!$R35=1,'Core Values Input'!$S35*0.75,IF('Core Values Input'!$R35=0,'Core Values Input'!$S35*0.6,"")))))</f>
        <v/>
      </c>
      <c r="U35" s="98" t="str">
        <f>SUM('Core Values Input'!$C35:$L35,'Core Values Input'!$T35)</f>
        <v>#N/A</v>
      </c>
      <c r="V35" s="80">
        <f>IF('Core Values Input'!$A35&gt;0,MIN(_xlfn.RANK.EQ('Core Values Input'!$U35,'Core Values Input'!$U$2:$U$201,0),NumberOfTeams),NumberOfTeams+1)</f>
        <v>1</v>
      </c>
      <c r="W35" s="99"/>
      <c r="X35" s="99"/>
      <c r="Y35" s="99"/>
    </row>
    <row r="36" ht="30.0" customHeight="1">
      <c r="A36" s="38" t="str">
        <f t="array" ref="A36">XLOOKUP(35,'Team and Program Information'!$B$3:$B$202,'Team and Program Information'!$C$3:$C$202,"ERROR",0)</f>
        <v/>
      </c>
      <c r="B36" s="68" t="str">
        <f t="array" ref="B36">XLOOKUP('Core Values Input'!$A36,'Team and Program Information'!$C$3:$C$202,'Team and Program Information'!$D$3:$D$202,"",0,)</f>
        <v>#VALUE!</v>
      </c>
      <c r="C36" s="97" t="str">
        <f t="array" ref="C36">XLOOKUP('Core Values Input'!$A36,'Innovation Project Input'!$A$2:$A$201,'Innovation Project Input'!$D$2:$D$201)</f>
        <v>#N/A</v>
      </c>
      <c r="D36" s="97" t="str">
        <f t="array" ref="D36">XLOOKUP('Core Values Input'!$A36,'Innovation Project Input'!$A$2:$A$201,'Innovation Project Input'!$F$2:$F$201)</f>
        <v>#N/A</v>
      </c>
      <c r="E36" s="97" t="str">
        <f t="array" ref="E36">XLOOKUP('Core Values Input'!$A36,'Innovation Project Input'!$A$2:$A$201,'Innovation Project Input'!$G$2:$G$201)</f>
        <v>#N/A</v>
      </c>
      <c r="F36" s="97" t="str">
        <f t="array" ref="F36">XLOOKUP('Core Values Input'!$A36,'Innovation Project Input'!$A$2:$A$201,'Innovation Project Input'!$K$2:$K$201)</f>
        <v>#N/A</v>
      </c>
      <c r="G36" s="97" t="str">
        <f t="array" ref="G36">XLOOKUP('Core Values Input'!$A36,'Innovation Project Input'!$A$2:$A$201,'Innovation Project Input'!$L$2:$L$201)</f>
        <v>#N/A</v>
      </c>
      <c r="H36" s="97" t="str">
        <f t="array" ref="H36">XLOOKUP('Core Values Input'!$A36,'Robot Design Input'!$A$2:$A$201,'Robot Design Input'!$D$2:$D$201)</f>
        <v/>
      </c>
      <c r="I36" s="97" t="str">
        <f t="array" ref="I36">XLOOKUP('Core Values Input'!$A36,'Robot Design Input'!$A$2:$A$201,'Robot Design Input'!$E$2:$E$201)</f>
        <v/>
      </c>
      <c r="J36" s="97" t="str">
        <f t="array" ref="J36">XLOOKUP('Core Values Input'!$A36,'Robot Design Input'!$A$2:$A$201,'Robot Design Input'!$J$2:$J$201)</f>
        <v/>
      </c>
      <c r="K36" s="97" t="str">
        <f t="array" ref="K36">XLOOKUP('Core Values Input'!$A36,'Robot Design Input'!$A$2:$A$201,'Robot Design Input'!$K$2:$K$201)</f>
        <v/>
      </c>
      <c r="L36" s="97" t="str">
        <f t="array" ref="L36">XLOOKUP('Core Values Input'!$A36,'Robot Design Input'!$A$2:$A$201,'Robot Design Input'!$L$2:$L$201)</f>
        <v/>
      </c>
      <c r="M36" s="38"/>
      <c r="N36" s="38"/>
      <c r="O36" s="38"/>
      <c r="P36" s="38"/>
      <c r="Q36" s="38"/>
      <c r="R36" s="38" t="str">
        <f>IF('Core Values Input'!$M36="","",COUNTIF('Core Values Input'!$M36:$Q36,""))</f>
        <v/>
      </c>
      <c r="S36" s="38" t="str">
        <f>IF('Core Values Input'!$M36="","",SUM('Core Values Input'!$M36:$Q36))</f>
        <v/>
      </c>
      <c r="T36" s="38" t="str">
        <f>IF('Core Values Input'!$R36=3,SUM('Core Values Input'!$M36:$Q36),IF('Core Values Input'!$R36=4,SUM('Core Values Input'!$M36:$Q36),IF('Core Values Input'!$R36=2,'Core Values Input'!$S36,IF('Core Values Input'!$R36=1,'Core Values Input'!$S36*0.75,IF('Core Values Input'!$R36=0,'Core Values Input'!$S36*0.6,"")))))</f>
        <v/>
      </c>
      <c r="U36" s="98" t="str">
        <f>SUM('Core Values Input'!$C36:$L36,'Core Values Input'!$T36)</f>
        <v>#N/A</v>
      </c>
      <c r="V36" s="80">
        <f>IF('Core Values Input'!$A36&gt;0,MIN(_xlfn.RANK.EQ('Core Values Input'!$U36,'Core Values Input'!$U$2:$U$201,0),NumberOfTeams),NumberOfTeams+1)</f>
        <v>1</v>
      </c>
      <c r="W36" s="99"/>
      <c r="X36" s="99"/>
      <c r="Y36" s="99"/>
    </row>
    <row r="37" ht="30.0" customHeight="1">
      <c r="A37" s="38" t="str">
        <f t="array" ref="A37">XLOOKUP(36,'Team and Program Information'!$B$3:$B$202,'Team and Program Information'!$C$3:$C$202,"ERROR",0)</f>
        <v/>
      </c>
      <c r="B37" s="68" t="str">
        <f t="array" ref="B37">XLOOKUP('Core Values Input'!$A37,'Team and Program Information'!$C$3:$C$202,'Team and Program Information'!$D$3:$D$202,"",0,)</f>
        <v>#VALUE!</v>
      </c>
      <c r="C37" s="97" t="str">
        <f t="array" ref="C37">XLOOKUP('Core Values Input'!$A37,'Innovation Project Input'!$A$2:$A$201,'Innovation Project Input'!$D$2:$D$201)</f>
        <v>#N/A</v>
      </c>
      <c r="D37" s="97" t="str">
        <f t="array" ref="D37">XLOOKUP('Core Values Input'!$A37,'Innovation Project Input'!$A$2:$A$201,'Innovation Project Input'!$F$2:$F$201)</f>
        <v>#N/A</v>
      </c>
      <c r="E37" s="97" t="str">
        <f t="array" ref="E37">XLOOKUP('Core Values Input'!$A37,'Innovation Project Input'!$A$2:$A$201,'Innovation Project Input'!$G$2:$G$201)</f>
        <v>#N/A</v>
      </c>
      <c r="F37" s="97" t="str">
        <f t="array" ref="F37">XLOOKUP('Core Values Input'!$A37,'Innovation Project Input'!$A$2:$A$201,'Innovation Project Input'!$K$2:$K$201)</f>
        <v>#N/A</v>
      </c>
      <c r="G37" s="97" t="str">
        <f t="array" ref="G37">XLOOKUP('Core Values Input'!$A37,'Innovation Project Input'!$A$2:$A$201,'Innovation Project Input'!$L$2:$L$201)</f>
        <v>#N/A</v>
      </c>
      <c r="H37" s="97" t="str">
        <f t="array" ref="H37">XLOOKUP('Core Values Input'!$A37,'Robot Design Input'!$A$2:$A$201,'Robot Design Input'!$D$2:$D$201)</f>
        <v/>
      </c>
      <c r="I37" s="97" t="str">
        <f t="array" ref="I37">XLOOKUP('Core Values Input'!$A37,'Robot Design Input'!$A$2:$A$201,'Robot Design Input'!$E$2:$E$201)</f>
        <v/>
      </c>
      <c r="J37" s="97" t="str">
        <f t="array" ref="J37">XLOOKUP('Core Values Input'!$A37,'Robot Design Input'!$A$2:$A$201,'Robot Design Input'!$J$2:$J$201)</f>
        <v/>
      </c>
      <c r="K37" s="97" t="str">
        <f t="array" ref="K37">XLOOKUP('Core Values Input'!$A37,'Robot Design Input'!$A$2:$A$201,'Robot Design Input'!$K$2:$K$201)</f>
        <v/>
      </c>
      <c r="L37" s="97" t="str">
        <f t="array" ref="L37">XLOOKUP('Core Values Input'!$A37,'Robot Design Input'!$A$2:$A$201,'Robot Design Input'!$L$2:$L$201)</f>
        <v/>
      </c>
      <c r="M37" s="38"/>
      <c r="N37" s="38"/>
      <c r="O37" s="38"/>
      <c r="P37" s="38"/>
      <c r="Q37" s="38"/>
      <c r="R37" s="38" t="str">
        <f>IF('Core Values Input'!$M37="","",COUNTIF('Core Values Input'!$M37:$Q37,""))</f>
        <v/>
      </c>
      <c r="S37" s="38" t="str">
        <f>IF('Core Values Input'!$M37="","",SUM('Core Values Input'!$M37:$Q37))</f>
        <v/>
      </c>
      <c r="T37" s="38" t="str">
        <f>IF('Core Values Input'!$R37=3,SUM('Core Values Input'!$M37:$Q37),IF('Core Values Input'!$R37=4,SUM('Core Values Input'!$M37:$Q37),IF('Core Values Input'!$R37=2,'Core Values Input'!$S37,IF('Core Values Input'!$R37=1,'Core Values Input'!$S37*0.75,IF('Core Values Input'!$R37=0,'Core Values Input'!$S37*0.6,"")))))</f>
        <v/>
      </c>
      <c r="U37" s="98" t="str">
        <f>SUM('Core Values Input'!$C37:$L37,'Core Values Input'!$T37)</f>
        <v>#N/A</v>
      </c>
      <c r="V37" s="80">
        <f>IF('Core Values Input'!$A37&gt;0,MIN(_xlfn.RANK.EQ('Core Values Input'!$U37,'Core Values Input'!$U$2:$U$201,0),NumberOfTeams),NumberOfTeams+1)</f>
        <v>1</v>
      </c>
      <c r="W37" s="99"/>
      <c r="X37" s="99"/>
      <c r="Y37" s="99"/>
    </row>
    <row r="38" ht="30.0" customHeight="1">
      <c r="A38" s="38" t="str">
        <f t="array" ref="A38">XLOOKUP(37,'Team and Program Information'!$B$3:$B$202,'Team and Program Information'!$C$3:$C$202,"ERROR",0)</f>
        <v/>
      </c>
      <c r="B38" s="68" t="str">
        <f t="array" ref="B38">XLOOKUP('Core Values Input'!$A38,'Team and Program Information'!$C$3:$C$202,'Team and Program Information'!$D$3:$D$202,"",0,)</f>
        <v>#VALUE!</v>
      </c>
      <c r="C38" s="97" t="str">
        <f t="array" ref="C38">XLOOKUP('Core Values Input'!$A38,'Innovation Project Input'!$A$2:$A$201,'Innovation Project Input'!$D$2:$D$201)</f>
        <v>#N/A</v>
      </c>
      <c r="D38" s="97" t="str">
        <f t="array" ref="D38">XLOOKUP('Core Values Input'!$A38,'Innovation Project Input'!$A$2:$A$201,'Innovation Project Input'!$F$2:$F$201)</f>
        <v>#N/A</v>
      </c>
      <c r="E38" s="97" t="str">
        <f t="array" ref="E38">XLOOKUP('Core Values Input'!$A38,'Innovation Project Input'!$A$2:$A$201,'Innovation Project Input'!$G$2:$G$201)</f>
        <v>#N/A</v>
      </c>
      <c r="F38" s="97" t="str">
        <f t="array" ref="F38">XLOOKUP('Core Values Input'!$A38,'Innovation Project Input'!$A$2:$A$201,'Innovation Project Input'!$K$2:$K$201)</f>
        <v>#N/A</v>
      </c>
      <c r="G38" s="97" t="str">
        <f t="array" ref="G38">XLOOKUP('Core Values Input'!$A38,'Innovation Project Input'!$A$2:$A$201,'Innovation Project Input'!$L$2:$L$201)</f>
        <v>#N/A</v>
      </c>
      <c r="H38" s="97" t="str">
        <f t="array" ref="H38">XLOOKUP('Core Values Input'!$A38,'Robot Design Input'!$A$2:$A$201,'Robot Design Input'!$D$2:$D$201)</f>
        <v/>
      </c>
      <c r="I38" s="97" t="str">
        <f t="array" ref="I38">XLOOKUP('Core Values Input'!$A38,'Robot Design Input'!$A$2:$A$201,'Robot Design Input'!$E$2:$E$201)</f>
        <v/>
      </c>
      <c r="J38" s="97" t="str">
        <f t="array" ref="J38">XLOOKUP('Core Values Input'!$A38,'Robot Design Input'!$A$2:$A$201,'Robot Design Input'!$J$2:$J$201)</f>
        <v/>
      </c>
      <c r="K38" s="97" t="str">
        <f t="array" ref="K38">XLOOKUP('Core Values Input'!$A38,'Robot Design Input'!$A$2:$A$201,'Robot Design Input'!$K$2:$K$201)</f>
        <v/>
      </c>
      <c r="L38" s="97" t="str">
        <f t="array" ref="L38">XLOOKUP('Core Values Input'!$A38,'Robot Design Input'!$A$2:$A$201,'Robot Design Input'!$L$2:$L$201)</f>
        <v/>
      </c>
      <c r="M38" s="38"/>
      <c r="N38" s="38"/>
      <c r="O38" s="38"/>
      <c r="P38" s="38"/>
      <c r="Q38" s="38"/>
      <c r="R38" s="38" t="str">
        <f>IF('Core Values Input'!$M38="","",COUNTIF('Core Values Input'!$M38:$Q38,""))</f>
        <v/>
      </c>
      <c r="S38" s="38" t="str">
        <f>IF('Core Values Input'!$M38="","",SUM('Core Values Input'!$M38:$Q38))</f>
        <v/>
      </c>
      <c r="T38" s="38" t="str">
        <f>IF('Core Values Input'!$R38=3,SUM('Core Values Input'!$M38:$Q38),IF('Core Values Input'!$R38=4,SUM('Core Values Input'!$M38:$Q38),IF('Core Values Input'!$R38=2,'Core Values Input'!$S38,IF('Core Values Input'!$R38=1,'Core Values Input'!$S38*0.75,IF('Core Values Input'!$R38=0,'Core Values Input'!$S38*0.6,"")))))</f>
        <v/>
      </c>
      <c r="U38" s="98" t="str">
        <f>SUM('Core Values Input'!$C38:$L38,'Core Values Input'!$T38)</f>
        <v>#N/A</v>
      </c>
      <c r="V38" s="80">
        <f>IF('Core Values Input'!$A38&gt;0,MIN(_xlfn.RANK.EQ('Core Values Input'!$U38,'Core Values Input'!$U$2:$U$201,0),NumberOfTeams),NumberOfTeams+1)</f>
        <v>1</v>
      </c>
      <c r="W38" s="99"/>
      <c r="X38" s="99"/>
      <c r="Y38" s="99"/>
    </row>
    <row r="39" ht="30.0" customHeight="1">
      <c r="A39" s="38" t="str">
        <f t="array" ref="A39">XLOOKUP(38,'Team and Program Information'!$B$3:$B$202,'Team and Program Information'!$C$3:$C$202,"ERROR",0)</f>
        <v/>
      </c>
      <c r="B39" s="68" t="str">
        <f t="array" ref="B39">XLOOKUP('Core Values Input'!$A39,'Team and Program Information'!$C$3:$C$202,'Team and Program Information'!$D$3:$D$202,"",0,)</f>
        <v>#VALUE!</v>
      </c>
      <c r="C39" s="97" t="str">
        <f t="array" ref="C39">XLOOKUP('Core Values Input'!$A39,'Innovation Project Input'!$A$2:$A$201,'Innovation Project Input'!$D$2:$D$201)</f>
        <v>#N/A</v>
      </c>
      <c r="D39" s="97" t="str">
        <f t="array" ref="D39">XLOOKUP('Core Values Input'!$A39,'Innovation Project Input'!$A$2:$A$201,'Innovation Project Input'!$F$2:$F$201)</f>
        <v>#N/A</v>
      </c>
      <c r="E39" s="97" t="str">
        <f t="array" ref="E39">XLOOKUP('Core Values Input'!$A39,'Innovation Project Input'!$A$2:$A$201,'Innovation Project Input'!$G$2:$G$201)</f>
        <v>#N/A</v>
      </c>
      <c r="F39" s="97" t="str">
        <f t="array" ref="F39">XLOOKUP('Core Values Input'!$A39,'Innovation Project Input'!$A$2:$A$201,'Innovation Project Input'!$K$2:$K$201)</f>
        <v>#N/A</v>
      </c>
      <c r="G39" s="97" t="str">
        <f t="array" ref="G39">XLOOKUP('Core Values Input'!$A39,'Innovation Project Input'!$A$2:$A$201,'Innovation Project Input'!$L$2:$L$201)</f>
        <v>#N/A</v>
      </c>
      <c r="H39" s="97" t="str">
        <f t="array" ref="H39">XLOOKUP('Core Values Input'!$A39,'Robot Design Input'!$A$2:$A$201,'Robot Design Input'!$D$2:$D$201)</f>
        <v/>
      </c>
      <c r="I39" s="97" t="str">
        <f t="array" ref="I39">XLOOKUP('Core Values Input'!$A39,'Robot Design Input'!$A$2:$A$201,'Robot Design Input'!$E$2:$E$201)</f>
        <v/>
      </c>
      <c r="J39" s="97" t="str">
        <f t="array" ref="J39">XLOOKUP('Core Values Input'!$A39,'Robot Design Input'!$A$2:$A$201,'Robot Design Input'!$J$2:$J$201)</f>
        <v/>
      </c>
      <c r="K39" s="97" t="str">
        <f t="array" ref="K39">XLOOKUP('Core Values Input'!$A39,'Robot Design Input'!$A$2:$A$201,'Robot Design Input'!$K$2:$K$201)</f>
        <v/>
      </c>
      <c r="L39" s="97" t="str">
        <f t="array" ref="L39">XLOOKUP('Core Values Input'!$A39,'Robot Design Input'!$A$2:$A$201,'Robot Design Input'!$L$2:$L$201)</f>
        <v/>
      </c>
      <c r="M39" s="38"/>
      <c r="N39" s="38"/>
      <c r="O39" s="38"/>
      <c r="P39" s="38"/>
      <c r="Q39" s="38"/>
      <c r="R39" s="38" t="str">
        <f>IF('Core Values Input'!$M39="","",COUNTIF('Core Values Input'!$M39:$Q39,""))</f>
        <v/>
      </c>
      <c r="S39" s="38" t="str">
        <f>IF('Core Values Input'!$M39="","",SUM('Core Values Input'!$M39:$Q39))</f>
        <v/>
      </c>
      <c r="T39" s="38" t="str">
        <f>IF('Core Values Input'!$R39=3,SUM('Core Values Input'!$M39:$Q39),IF('Core Values Input'!$R39=4,SUM('Core Values Input'!$M39:$Q39),IF('Core Values Input'!$R39=2,'Core Values Input'!$S39,IF('Core Values Input'!$R39=1,'Core Values Input'!$S39*0.75,IF('Core Values Input'!$R39=0,'Core Values Input'!$S39*0.6,"")))))</f>
        <v/>
      </c>
      <c r="U39" s="98" t="str">
        <f>SUM('Core Values Input'!$C39:$L39,'Core Values Input'!$T39)</f>
        <v>#N/A</v>
      </c>
      <c r="V39" s="80">
        <f>IF('Core Values Input'!$A39&gt;0,MIN(_xlfn.RANK.EQ('Core Values Input'!$U39,'Core Values Input'!$U$2:$U$201,0),NumberOfTeams),NumberOfTeams+1)</f>
        <v>1</v>
      </c>
      <c r="W39" s="99"/>
      <c r="X39" s="99"/>
      <c r="Y39" s="99"/>
    </row>
    <row r="40" ht="30.0" customHeight="1">
      <c r="A40" s="38" t="str">
        <f t="array" ref="A40">XLOOKUP(39,'Team and Program Information'!$B$3:$B$202,'Team and Program Information'!$C$3:$C$202,"ERROR",0)</f>
        <v/>
      </c>
      <c r="B40" s="68" t="str">
        <f t="array" ref="B40">XLOOKUP('Core Values Input'!$A40,'Team and Program Information'!$C$3:$C$202,'Team and Program Information'!$D$3:$D$202,"",0,)</f>
        <v>#VALUE!</v>
      </c>
      <c r="C40" s="97" t="str">
        <f t="array" ref="C40">XLOOKUP('Core Values Input'!$A40,'Innovation Project Input'!$A$2:$A$201,'Innovation Project Input'!$D$2:$D$201)</f>
        <v>#N/A</v>
      </c>
      <c r="D40" s="97" t="str">
        <f t="array" ref="D40">XLOOKUP('Core Values Input'!$A40,'Innovation Project Input'!$A$2:$A$201,'Innovation Project Input'!$F$2:$F$201)</f>
        <v>#N/A</v>
      </c>
      <c r="E40" s="97" t="str">
        <f t="array" ref="E40">XLOOKUP('Core Values Input'!$A40,'Innovation Project Input'!$A$2:$A$201,'Innovation Project Input'!$G$2:$G$201)</f>
        <v>#N/A</v>
      </c>
      <c r="F40" s="97" t="str">
        <f t="array" ref="F40">XLOOKUP('Core Values Input'!$A40,'Innovation Project Input'!$A$2:$A$201,'Innovation Project Input'!$K$2:$K$201)</f>
        <v>#N/A</v>
      </c>
      <c r="G40" s="97" t="str">
        <f t="array" ref="G40">XLOOKUP('Core Values Input'!$A40,'Innovation Project Input'!$A$2:$A$201,'Innovation Project Input'!$L$2:$L$201)</f>
        <v>#N/A</v>
      </c>
      <c r="H40" s="97" t="str">
        <f t="array" ref="H40">XLOOKUP('Core Values Input'!$A40,'Robot Design Input'!$A$2:$A$201,'Robot Design Input'!$D$2:$D$201)</f>
        <v/>
      </c>
      <c r="I40" s="97" t="str">
        <f t="array" ref="I40">XLOOKUP('Core Values Input'!$A40,'Robot Design Input'!$A$2:$A$201,'Robot Design Input'!$E$2:$E$201)</f>
        <v/>
      </c>
      <c r="J40" s="97" t="str">
        <f t="array" ref="J40">XLOOKUP('Core Values Input'!$A40,'Robot Design Input'!$A$2:$A$201,'Robot Design Input'!$J$2:$J$201)</f>
        <v/>
      </c>
      <c r="K40" s="97" t="str">
        <f t="array" ref="K40">XLOOKUP('Core Values Input'!$A40,'Robot Design Input'!$A$2:$A$201,'Robot Design Input'!$K$2:$K$201)</f>
        <v/>
      </c>
      <c r="L40" s="97" t="str">
        <f t="array" ref="L40">XLOOKUP('Core Values Input'!$A40,'Robot Design Input'!$A$2:$A$201,'Robot Design Input'!$L$2:$L$201)</f>
        <v/>
      </c>
      <c r="M40" s="38"/>
      <c r="N40" s="38"/>
      <c r="O40" s="38"/>
      <c r="P40" s="38"/>
      <c r="Q40" s="38"/>
      <c r="R40" s="38" t="str">
        <f>IF('Core Values Input'!$M40="","",COUNTIF('Core Values Input'!$M40:$Q40,""))</f>
        <v/>
      </c>
      <c r="S40" s="38" t="str">
        <f>IF('Core Values Input'!$M40="","",SUM('Core Values Input'!$M40:$Q40))</f>
        <v/>
      </c>
      <c r="T40" s="38" t="str">
        <f>IF('Core Values Input'!$R40=3,SUM('Core Values Input'!$M40:$Q40),IF('Core Values Input'!$R40=4,SUM('Core Values Input'!$M40:$Q40),IF('Core Values Input'!$R40=2,'Core Values Input'!$S40,IF('Core Values Input'!$R40=1,'Core Values Input'!$S40*0.75,IF('Core Values Input'!$R40=0,'Core Values Input'!$S40*0.6,"")))))</f>
        <v/>
      </c>
      <c r="U40" s="98" t="str">
        <f>SUM('Core Values Input'!$C40:$L40,'Core Values Input'!$T40)</f>
        <v>#N/A</v>
      </c>
      <c r="V40" s="80">
        <f>IF('Core Values Input'!$A40&gt;0,MIN(_xlfn.RANK.EQ('Core Values Input'!$U40,'Core Values Input'!$U$2:$U$201,0),NumberOfTeams),NumberOfTeams+1)</f>
        <v>1</v>
      </c>
      <c r="W40" s="99"/>
      <c r="X40" s="99"/>
      <c r="Y40" s="99"/>
    </row>
    <row r="41" ht="30.0" customHeight="1">
      <c r="A41" s="38" t="str">
        <f t="array" ref="A41">XLOOKUP(40,'Team and Program Information'!$B$3:$B$202,'Team and Program Information'!$C$3:$C$202,"ERROR",0)</f>
        <v/>
      </c>
      <c r="B41" s="68" t="str">
        <f t="array" ref="B41">XLOOKUP('Core Values Input'!$A41,'Team and Program Information'!$C$3:$C$202,'Team and Program Information'!$D$3:$D$202,"",0,)</f>
        <v>#VALUE!</v>
      </c>
      <c r="C41" s="97" t="str">
        <f t="array" ref="C41">XLOOKUP('Core Values Input'!$A41,'Innovation Project Input'!$A$2:$A$201,'Innovation Project Input'!$D$2:$D$201)</f>
        <v>#N/A</v>
      </c>
      <c r="D41" s="97" t="str">
        <f t="array" ref="D41">XLOOKUP('Core Values Input'!$A41,'Innovation Project Input'!$A$2:$A$201,'Innovation Project Input'!$F$2:$F$201)</f>
        <v>#N/A</v>
      </c>
      <c r="E41" s="97" t="str">
        <f t="array" ref="E41">XLOOKUP('Core Values Input'!$A41,'Innovation Project Input'!$A$2:$A$201,'Innovation Project Input'!$G$2:$G$201)</f>
        <v>#N/A</v>
      </c>
      <c r="F41" s="97" t="str">
        <f t="array" ref="F41">XLOOKUP('Core Values Input'!$A41,'Innovation Project Input'!$A$2:$A$201,'Innovation Project Input'!$K$2:$K$201)</f>
        <v>#N/A</v>
      </c>
      <c r="G41" s="97" t="str">
        <f t="array" ref="G41">XLOOKUP('Core Values Input'!$A41,'Innovation Project Input'!$A$2:$A$201,'Innovation Project Input'!$L$2:$L$201)</f>
        <v>#N/A</v>
      </c>
      <c r="H41" s="97" t="str">
        <f t="array" ref="H41">XLOOKUP('Core Values Input'!$A41,'Robot Design Input'!$A$2:$A$201,'Robot Design Input'!$D$2:$D$201)</f>
        <v/>
      </c>
      <c r="I41" s="97" t="str">
        <f t="array" ref="I41">XLOOKUP('Core Values Input'!$A41,'Robot Design Input'!$A$2:$A$201,'Robot Design Input'!$E$2:$E$201)</f>
        <v/>
      </c>
      <c r="J41" s="97" t="str">
        <f t="array" ref="J41">XLOOKUP('Core Values Input'!$A41,'Robot Design Input'!$A$2:$A$201,'Robot Design Input'!$J$2:$J$201)</f>
        <v/>
      </c>
      <c r="K41" s="97" t="str">
        <f t="array" ref="K41">XLOOKUP('Core Values Input'!$A41,'Robot Design Input'!$A$2:$A$201,'Robot Design Input'!$K$2:$K$201)</f>
        <v/>
      </c>
      <c r="L41" s="97" t="str">
        <f t="array" ref="L41">XLOOKUP('Core Values Input'!$A41,'Robot Design Input'!$A$2:$A$201,'Robot Design Input'!$L$2:$L$201)</f>
        <v/>
      </c>
      <c r="M41" s="38"/>
      <c r="N41" s="38"/>
      <c r="O41" s="38"/>
      <c r="P41" s="38"/>
      <c r="Q41" s="38"/>
      <c r="R41" s="38" t="str">
        <f>IF('Core Values Input'!$M41="","",COUNTIF('Core Values Input'!$M41:$Q41,""))</f>
        <v/>
      </c>
      <c r="S41" s="38" t="str">
        <f>IF('Core Values Input'!$M41="","",SUM('Core Values Input'!$M41:$Q41))</f>
        <v/>
      </c>
      <c r="T41" s="38" t="str">
        <f>IF('Core Values Input'!$R41=3,SUM('Core Values Input'!$M41:$Q41),IF('Core Values Input'!$R41=4,SUM('Core Values Input'!$M41:$Q41),IF('Core Values Input'!$R41=2,'Core Values Input'!$S41,IF('Core Values Input'!$R41=1,'Core Values Input'!$S41*0.75,IF('Core Values Input'!$R41=0,'Core Values Input'!$S41*0.6,"")))))</f>
        <v/>
      </c>
      <c r="U41" s="98" t="str">
        <f>SUM('Core Values Input'!$C41:$L41,'Core Values Input'!$T41)</f>
        <v>#N/A</v>
      </c>
      <c r="V41" s="80">
        <f>IF('Core Values Input'!$A41&gt;0,MIN(_xlfn.RANK.EQ('Core Values Input'!$U41,'Core Values Input'!$U$2:$U$201,0),NumberOfTeams),NumberOfTeams+1)</f>
        <v>1</v>
      </c>
      <c r="W41" s="99"/>
      <c r="X41" s="99"/>
      <c r="Y41" s="99"/>
    </row>
    <row r="42" ht="30.0" customHeight="1">
      <c r="A42" s="38" t="str">
        <f t="array" ref="A42">XLOOKUP(41,'Team and Program Information'!$B$3:$B$202,'Team and Program Information'!$C$3:$C$202,"ERROR",0)</f>
        <v/>
      </c>
      <c r="B42" s="68" t="str">
        <f t="array" ref="B42">XLOOKUP('Core Values Input'!$A42,'Team and Program Information'!$C$3:$C$202,'Team and Program Information'!$D$3:$D$202,"",0,)</f>
        <v>#VALUE!</v>
      </c>
      <c r="C42" s="97" t="str">
        <f t="array" ref="C42">XLOOKUP('Core Values Input'!$A42,'Innovation Project Input'!$A$2:$A$201,'Innovation Project Input'!$D$2:$D$201)</f>
        <v>#N/A</v>
      </c>
      <c r="D42" s="97" t="str">
        <f t="array" ref="D42">XLOOKUP('Core Values Input'!$A42,'Innovation Project Input'!$A$2:$A$201,'Innovation Project Input'!$F$2:$F$201)</f>
        <v>#N/A</v>
      </c>
      <c r="E42" s="97" t="str">
        <f t="array" ref="E42">XLOOKUP('Core Values Input'!$A42,'Innovation Project Input'!$A$2:$A$201,'Innovation Project Input'!$G$2:$G$201)</f>
        <v>#N/A</v>
      </c>
      <c r="F42" s="97" t="str">
        <f t="array" ref="F42">XLOOKUP('Core Values Input'!$A42,'Innovation Project Input'!$A$2:$A$201,'Innovation Project Input'!$K$2:$K$201)</f>
        <v>#N/A</v>
      </c>
      <c r="G42" s="97" t="str">
        <f t="array" ref="G42">XLOOKUP('Core Values Input'!$A42,'Innovation Project Input'!$A$2:$A$201,'Innovation Project Input'!$L$2:$L$201)</f>
        <v>#N/A</v>
      </c>
      <c r="H42" s="97" t="str">
        <f t="array" ref="H42">XLOOKUP('Core Values Input'!$A42,'Robot Design Input'!$A$2:$A$201,'Robot Design Input'!$D$2:$D$201)</f>
        <v/>
      </c>
      <c r="I42" s="97" t="str">
        <f t="array" ref="I42">XLOOKUP('Core Values Input'!$A42,'Robot Design Input'!$A$2:$A$201,'Robot Design Input'!$E$2:$E$201)</f>
        <v/>
      </c>
      <c r="J42" s="97" t="str">
        <f t="array" ref="J42">XLOOKUP('Core Values Input'!$A42,'Robot Design Input'!$A$2:$A$201,'Robot Design Input'!$J$2:$J$201)</f>
        <v/>
      </c>
      <c r="K42" s="97" t="str">
        <f t="array" ref="K42">XLOOKUP('Core Values Input'!$A42,'Robot Design Input'!$A$2:$A$201,'Robot Design Input'!$K$2:$K$201)</f>
        <v/>
      </c>
      <c r="L42" s="97" t="str">
        <f t="array" ref="L42">XLOOKUP('Core Values Input'!$A42,'Robot Design Input'!$A$2:$A$201,'Robot Design Input'!$L$2:$L$201)</f>
        <v/>
      </c>
      <c r="M42" s="38"/>
      <c r="N42" s="38"/>
      <c r="O42" s="38"/>
      <c r="P42" s="38"/>
      <c r="Q42" s="38"/>
      <c r="R42" s="38" t="str">
        <f>IF('Core Values Input'!$M42="","",COUNTIF('Core Values Input'!$M42:$Q42,""))</f>
        <v/>
      </c>
      <c r="S42" s="38" t="str">
        <f>IF('Core Values Input'!$M42="","",SUM('Core Values Input'!$M42:$Q42))</f>
        <v/>
      </c>
      <c r="T42" s="38" t="str">
        <f>IF('Core Values Input'!$R42=3,SUM('Core Values Input'!$M42:$Q42),IF('Core Values Input'!$R42=4,SUM('Core Values Input'!$M42:$Q42),IF('Core Values Input'!$R42=2,'Core Values Input'!$S42,IF('Core Values Input'!$R42=1,'Core Values Input'!$S42*0.75,IF('Core Values Input'!$R42=0,'Core Values Input'!$S42*0.6,"")))))</f>
        <v/>
      </c>
      <c r="U42" s="98" t="str">
        <f>SUM('Core Values Input'!$C42:$L42,'Core Values Input'!$T42)</f>
        <v>#N/A</v>
      </c>
      <c r="V42" s="80">
        <f>IF('Core Values Input'!$A42&gt;0,MIN(_xlfn.RANK.EQ('Core Values Input'!$U42,'Core Values Input'!$U$2:$U$201,0),NumberOfTeams),NumberOfTeams+1)</f>
        <v>1</v>
      </c>
      <c r="W42" s="99"/>
      <c r="X42" s="99"/>
      <c r="Y42" s="99"/>
    </row>
    <row r="43" ht="30.0" customHeight="1">
      <c r="A43" s="38" t="str">
        <f t="array" ref="A43">XLOOKUP(42,'Team and Program Information'!$B$3:$B$202,'Team and Program Information'!$C$3:$C$202,"ERROR",0)</f>
        <v/>
      </c>
      <c r="B43" s="68" t="str">
        <f t="array" ref="B43">XLOOKUP('Core Values Input'!$A43,'Team and Program Information'!$C$3:$C$202,'Team and Program Information'!$D$3:$D$202,"",0,)</f>
        <v>#VALUE!</v>
      </c>
      <c r="C43" s="97" t="str">
        <f t="array" ref="C43">XLOOKUP('Core Values Input'!$A43,'Innovation Project Input'!$A$2:$A$201,'Innovation Project Input'!$D$2:$D$201)</f>
        <v>#N/A</v>
      </c>
      <c r="D43" s="97" t="str">
        <f t="array" ref="D43">XLOOKUP('Core Values Input'!$A43,'Innovation Project Input'!$A$2:$A$201,'Innovation Project Input'!$F$2:$F$201)</f>
        <v>#N/A</v>
      </c>
      <c r="E43" s="97" t="str">
        <f t="array" ref="E43">XLOOKUP('Core Values Input'!$A43,'Innovation Project Input'!$A$2:$A$201,'Innovation Project Input'!$G$2:$G$201)</f>
        <v>#N/A</v>
      </c>
      <c r="F43" s="97" t="str">
        <f t="array" ref="F43">XLOOKUP('Core Values Input'!$A43,'Innovation Project Input'!$A$2:$A$201,'Innovation Project Input'!$K$2:$K$201)</f>
        <v>#N/A</v>
      </c>
      <c r="G43" s="97" t="str">
        <f t="array" ref="G43">XLOOKUP('Core Values Input'!$A43,'Innovation Project Input'!$A$2:$A$201,'Innovation Project Input'!$L$2:$L$201)</f>
        <v>#N/A</v>
      </c>
      <c r="H43" s="97" t="str">
        <f t="array" ref="H43">XLOOKUP('Core Values Input'!$A43,'Robot Design Input'!$A$2:$A$201,'Robot Design Input'!$D$2:$D$201)</f>
        <v/>
      </c>
      <c r="I43" s="97" t="str">
        <f t="array" ref="I43">XLOOKUP('Core Values Input'!$A43,'Robot Design Input'!$A$2:$A$201,'Robot Design Input'!$E$2:$E$201)</f>
        <v/>
      </c>
      <c r="J43" s="97" t="str">
        <f t="array" ref="J43">XLOOKUP('Core Values Input'!$A43,'Robot Design Input'!$A$2:$A$201,'Robot Design Input'!$J$2:$J$201)</f>
        <v/>
      </c>
      <c r="K43" s="97" t="str">
        <f t="array" ref="K43">XLOOKUP('Core Values Input'!$A43,'Robot Design Input'!$A$2:$A$201,'Robot Design Input'!$K$2:$K$201)</f>
        <v/>
      </c>
      <c r="L43" s="97" t="str">
        <f t="array" ref="L43">XLOOKUP('Core Values Input'!$A43,'Robot Design Input'!$A$2:$A$201,'Robot Design Input'!$L$2:$L$201)</f>
        <v/>
      </c>
      <c r="M43" s="38"/>
      <c r="N43" s="38"/>
      <c r="O43" s="38"/>
      <c r="P43" s="38"/>
      <c r="Q43" s="38"/>
      <c r="R43" s="38" t="str">
        <f>IF('Core Values Input'!$M43="","",COUNTIF('Core Values Input'!$M43:$Q43,""))</f>
        <v/>
      </c>
      <c r="S43" s="38" t="str">
        <f>IF('Core Values Input'!$M43="","",SUM('Core Values Input'!$M43:$Q43))</f>
        <v/>
      </c>
      <c r="T43" s="38" t="str">
        <f>IF('Core Values Input'!$R43=3,SUM('Core Values Input'!$M43:$Q43),IF('Core Values Input'!$R43=4,SUM('Core Values Input'!$M43:$Q43),IF('Core Values Input'!$R43=2,'Core Values Input'!$S43,IF('Core Values Input'!$R43=1,'Core Values Input'!$S43*0.75,IF('Core Values Input'!$R43=0,'Core Values Input'!$S43*0.6,"")))))</f>
        <v/>
      </c>
      <c r="U43" s="98" t="str">
        <f>SUM('Core Values Input'!$C43:$L43,'Core Values Input'!$T43)</f>
        <v>#N/A</v>
      </c>
      <c r="V43" s="80">
        <f>IF('Core Values Input'!$A43&gt;0,MIN(_xlfn.RANK.EQ('Core Values Input'!$U43,'Core Values Input'!$U$2:$U$201,0),NumberOfTeams),NumberOfTeams+1)</f>
        <v>1</v>
      </c>
      <c r="W43" s="99"/>
      <c r="X43" s="99"/>
      <c r="Y43" s="99"/>
    </row>
    <row r="44" ht="30.0" customHeight="1">
      <c r="A44" s="38" t="str">
        <f t="array" ref="A44">XLOOKUP(43,'Team and Program Information'!$B$3:$B$202,'Team and Program Information'!$C$3:$C$202,"ERROR",0)</f>
        <v/>
      </c>
      <c r="B44" s="68" t="str">
        <f t="array" ref="B44">XLOOKUP('Core Values Input'!$A44,'Team and Program Information'!$C$3:$C$202,'Team and Program Information'!$D$3:$D$202,"",0,)</f>
        <v>#VALUE!</v>
      </c>
      <c r="C44" s="97" t="str">
        <f t="array" ref="C44">XLOOKUP('Core Values Input'!$A44,'Innovation Project Input'!$A$2:$A$201,'Innovation Project Input'!$D$2:$D$201)</f>
        <v>#N/A</v>
      </c>
      <c r="D44" s="97" t="str">
        <f t="array" ref="D44">XLOOKUP('Core Values Input'!$A44,'Innovation Project Input'!$A$2:$A$201,'Innovation Project Input'!$F$2:$F$201)</f>
        <v>#N/A</v>
      </c>
      <c r="E44" s="97" t="str">
        <f t="array" ref="E44">XLOOKUP('Core Values Input'!$A44,'Innovation Project Input'!$A$2:$A$201,'Innovation Project Input'!$G$2:$G$201)</f>
        <v>#N/A</v>
      </c>
      <c r="F44" s="97" t="str">
        <f t="array" ref="F44">XLOOKUP('Core Values Input'!$A44,'Innovation Project Input'!$A$2:$A$201,'Innovation Project Input'!$K$2:$K$201)</f>
        <v>#N/A</v>
      </c>
      <c r="G44" s="97" t="str">
        <f t="array" ref="G44">XLOOKUP('Core Values Input'!$A44,'Innovation Project Input'!$A$2:$A$201,'Innovation Project Input'!$L$2:$L$201)</f>
        <v>#N/A</v>
      </c>
      <c r="H44" s="97" t="str">
        <f t="array" ref="H44">XLOOKUP('Core Values Input'!$A44,'Robot Design Input'!$A$2:$A$201,'Robot Design Input'!$D$2:$D$201)</f>
        <v/>
      </c>
      <c r="I44" s="97" t="str">
        <f t="array" ref="I44">XLOOKUP('Core Values Input'!$A44,'Robot Design Input'!$A$2:$A$201,'Robot Design Input'!$E$2:$E$201)</f>
        <v/>
      </c>
      <c r="J44" s="97" t="str">
        <f t="array" ref="J44">XLOOKUP('Core Values Input'!$A44,'Robot Design Input'!$A$2:$A$201,'Robot Design Input'!$J$2:$J$201)</f>
        <v/>
      </c>
      <c r="K44" s="97" t="str">
        <f t="array" ref="K44">XLOOKUP('Core Values Input'!$A44,'Robot Design Input'!$A$2:$A$201,'Robot Design Input'!$K$2:$K$201)</f>
        <v/>
      </c>
      <c r="L44" s="97" t="str">
        <f t="array" ref="L44">XLOOKUP('Core Values Input'!$A44,'Robot Design Input'!$A$2:$A$201,'Robot Design Input'!$L$2:$L$201)</f>
        <v/>
      </c>
      <c r="M44" s="38"/>
      <c r="N44" s="38"/>
      <c r="O44" s="38"/>
      <c r="P44" s="38"/>
      <c r="Q44" s="38"/>
      <c r="R44" s="38" t="str">
        <f>IF('Core Values Input'!$M44="","",COUNTIF('Core Values Input'!$M44:$Q44,""))</f>
        <v/>
      </c>
      <c r="S44" s="38" t="str">
        <f>IF('Core Values Input'!$M44="","",SUM('Core Values Input'!$M44:$Q44))</f>
        <v/>
      </c>
      <c r="T44" s="38" t="str">
        <f>IF('Core Values Input'!$R44=3,SUM('Core Values Input'!$M44:$Q44),IF('Core Values Input'!$R44=4,SUM('Core Values Input'!$M44:$Q44),IF('Core Values Input'!$R44=2,'Core Values Input'!$S44,IF('Core Values Input'!$R44=1,'Core Values Input'!$S44*0.75,IF('Core Values Input'!$R44=0,'Core Values Input'!$S44*0.6,"")))))</f>
        <v/>
      </c>
      <c r="U44" s="98" t="str">
        <f>SUM('Core Values Input'!$C44:$L44,'Core Values Input'!$T44)</f>
        <v>#N/A</v>
      </c>
      <c r="V44" s="80">
        <f>IF('Core Values Input'!$A44&gt;0,MIN(_xlfn.RANK.EQ('Core Values Input'!$U44,'Core Values Input'!$U$2:$U$201,0),NumberOfTeams),NumberOfTeams+1)</f>
        <v>1</v>
      </c>
      <c r="W44" s="99"/>
      <c r="X44" s="99"/>
      <c r="Y44" s="99"/>
    </row>
    <row r="45" ht="30.0" customHeight="1">
      <c r="A45" s="38" t="str">
        <f t="array" ref="A45">XLOOKUP(44,'Team and Program Information'!$B$3:$B$202,'Team and Program Information'!$C$3:$C$202,"ERROR",0)</f>
        <v/>
      </c>
      <c r="B45" s="68" t="str">
        <f t="array" ref="B45">XLOOKUP('Core Values Input'!$A45,'Team and Program Information'!$C$3:$C$202,'Team and Program Information'!$D$3:$D$202,"",0,)</f>
        <v>#VALUE!</v>
      </c>
      <c r="C45" s="97" t="str">
        <f t="array" ref="C45">XLOOKUP('Core Values Input'!$A45,'Innovation Project Input'!$A$2:$A$201,'Innovation Project Input'!$D$2:$D$201)</f>
        <v>#N/A</v>
      </c>
      <c r="D45" s="97" t="str">
        <f t="array" ref="D45">XLOOKUP('Core Values Input'!$A45,'Innovation Project Input'!$A$2:$A$201,'Innovation Project Input'!$F$2:$F$201)</f>
        <v>#N/A</v>
      </c>
      <c r="E45" s="97" t="str">
        <f t="array" ref="E45">XLOOKUP('Core Values Input'!$A45,'Innovation Project Input'!$A$2:$A$201,'Innovation Project Input'!$G$2:$G$201)</f>
        <v>#N/A</v>
      </c>
      <c r="F45" s="97" t="str">
        <f t="array" ref="F45">XLOOKUP('Core Values Input'!$A45,'Innovation Project Input'!$A$2:$A$201,'Innovation Project Input'!$K$2:$K$201)</f>
        <v>#N/A</v>
      </c>
      <c r="G45" s="97" t="str">
        <f t="array" ref="G45">XLOOKUP('Core Values Input'!$A45,'Innovation Project Input'!$A$2:$A$201,'Innovation Project Input'!$L$2:$L$201)</f>
        <v>#N/A</v>
      </c>
      <c r="H45" s="97" t="str">
        <f t="array" ref="H45">XLOOKUP('Core Values Input'!$A45,'Robot Design Input'!$A$2:$A$201,'Robot Design Input'!$D$2:$D$201)</f>
        <v/>
      </c>
      <c r="I45" s="97" t="str">
        <f t="array" ref="I45">XLOOKUP('Core Values Input'!$A45,'Robot Design Input'!$A$2:$A$201,'Robot Design Input'!$E$2:$E$201)</f>
        <v/>
      </c>
      <c r="J45" s="97" t="str">
        <f t="array" ref="J45">XLOOKUP('Core Values Input'!$A45,'Robot Design Input'!$A$2:$A$201,'Robot Design Input'!$J$2:$J$201)</f>
        <v/>
      </c>
      <c r="K45" s="97" t="str">
        <f t="array" ref="K45">XLOOKUP('Core Values Input'!$A45,'Robot Design Input'!$A$2:$A$201,'Robot Design Input'!$K$2:$K$201)</f>
        <v/>
      </c>
      <c r="L45" s="97" t="str">
        <f t="array" ref="L45">XLOOKUP('Core Values Input'!$A45,'Robot Design Input'!$A$2:$A$201,'Robot Design Input'!$L$2:$L$201)</f>
        <v/>
      </c>
      <c r="M45" s="38"/>
      <c r="N45" s="38"/>
      <c r="O45" s="38"/>
      <c r="P45" s="38"/>
      <c r="Q45" s="38"/>
      <c r="R45" s="38" t="str">
        <f>IF('Core Values Input'!$M45="","",COUNTIF('Core Values Input'!$M45:$Q45,""))</f>
        <v/>
      </c>
      <c r="S45" s="38" t="str">
        <f>IF('Core Values Input'!$M45="","",SUM('Core Values Input'!$M45:$Q45))</f>
        <v/>
      </c>
      <c r="T45" s="38" t="str">
        <f>IF('Core Values Input'!$R45=3,SUM('Core Values Input'!$M45:$Q45),IF('Core Values Input'!$R45=4,SUM('Core Values Input'!$M45:$Q45),IF('Core Values Input'!$R45=2,'Core Values Input'!$S45,IF('Core Values Input'!$R45=1,'Core Values Input'!$S45*0.75,IF('Core Values Input'!$R45=0,'Core Values Input'!$S45*0.6,"")))))</f>
        <v/>
      </c>
      <c r="U45" s="98" t="str">
        <f>SUM('Core Values Input'!$C45:$L45,'Core Values Input'!$T45)</f>
        <v>#N/A</v>
      </c>
      <c r="V45" s="80">
        <f>IF('Core Values Input'!$A45&gt;0,MIN(_xlfn.RANK.EQ('Core Values Input'!$U45,'Core Values Input'!$U$2:$U$201,0),NumberOfTeams),NumberOfTeams+1)</f>
        <v>1</v>
      </c>
      <c r="W45" s="99"/>
      <c r="X45" s="99"/>
      <c r="Y45" s="99"/>
    </row>
    <row r="46" ht="30.0" customHeight="1">
      <c r="A46" s="38" t="str">
        <f t="array" ref="A46">XLOOKUP(45,'Team and Program Information'!$B$3:$B$202,'Team and Program Information'!$C$3:$C$202,"ERROR",0)</f>
        <v/>
      </c>
      <c r="B46" s="68" t="str">
        <f t="array" ref="B46">XLOOKUP('Core Values Input'!$A46,'Team and Program Information'!$C$3:$C$202,'Team and Program Information'!$D$3:$D$202,"",0,)</f>
        <v>#VALUE!</v>
      </c>
      <c r="C46" s="97" t="str">
        <f t="array" ref="C46">XLOOKUP('Core Values Input'!$A46,'Innovation Project Input'!$A$2:$A$201,'Innovation Project Input'!$D$2:$D$201)</f>
        <v>#N/A</v>
      </c>
      <c r="D46" s="97" t="str">
        <f t="array" ref="D46">XLOOKUP('Core Values Input'!$A46,'Innovation Project Input'!$A$2:$A$201,'Innovation Project Input'!$F$2:$F$201)</f>
        <v>#N/A</v>
      </c>
      <c r="E46" s="97" t="str">
        <f t="array" ref="E46">XLOOKUP('Core Values Input'!$A46,'Innovation Project Input'!$A$2:$A$201,'Innovation Project Input'!$G$2:$G$201)</f>
        <v>#N/A</v>
      </c>
      <c r="F46" s="97" t="str">
        <f t="array" ref="F46">XLOOKUP('Core Values Input'!$A46,'Innovation Project Input'!$A$2:$A$201,'Innovation Project Input'!$K$2:$K$201)</f>
        <v>#N/A</v>
      </c>
      <c r="G46" s="97" t="str">
        <f t="array" ref="G46">XLOOKUP('Core Values Input'!$A46,'Innovation Project Input'!$A$2:$A$201,'Innovation Project Input'!$L$2:$L$201)</f>
        <v>#N/A</v>
      </c>
      <c r="H46" s="97" t="str">
        <f t="array" ref="H46">XLOOKUP('Core Values Input'!$A46,'Robot Design Input'!$A$2:$A$201,'Robot Design Input'!$D$2:$D$201)</f>
        <v/>
      </c>
      <c r="I46" s="97" t="str">
        <f t="array" ref="I46">XLOOKUP('Core Values Input'!$A46,'Robot Design Input'!$A$2:$A$201,'Robot Design Input'!$E$2:$E$201)</f>
        <v/>
      </c>
      <c r="J46" s="97" t="str">
        <f t="array" ref="J46">XLOOKUP('Core Values Input'!$A46,'Robot Design Input'!$A$2:$A$201,'Robot Design Input'!$J$2:$J$201)</f>
        <v/>
      </c>
      <c r="K46" s="97" t="str">
        <f t="array" ref="K46">XLOOKUP('Core Values Input'!$A46,'Robot Design Input'!$A$2:$A$201,'Robot Design Input'!$K$2:$K$201)</f>
        <v/>
      </c>
      <c r="L46" s="97" t="str">
        <f t="array" ref="L46">XLOOKUP('Core Values Input'!$A46,'Robot Design Input'!$A$2:$A$201,'Robot Design Input'!$L$2:$L$201)</f>
        <v/>
      </c>
      <c r="M46" s="38"/>
      <c r="N46" s="38"/>
      <c r="O46" s="38"/>
      <c r="P46" s="38"/>
      <c r="Q46" s="38"/>
      <c r="R46" s="38" t="str">
        <f>IF('Core Values Input'!$M46="","",COUNTIF('Core Values Input'!$M46:$Q46,""))</f>
        <v/>
      </c>
      <c r="S46" s="38" t="str">
        <f>IF('Core Values Input'!$M46="","",SUM('Core Values Input'!$M46:$Q46))</f>
        <v/>
      </c>
      <c r="T46" s="38" t="str">
        <f>IF('Core Values Input'!$R46=3,SUM('Core Values Input'!$M46:$Q46),IF('Core Values Input'!$R46=4,SUM('Core Values Input'!$M46:$Q46),IF('Core Values Input'!$R46=2,'Core Values Input'!$S46,IF('Core Values Input'!$R46=1,'Core Values Input'!$S46*0.75,IF('Core Values Input'!$R46=0,'Core Values Input'!$S46*0.6,"")))))</f>
        <v/>
      </c>
      <c r="U46" s="98" t="str">
        <f>SUM('Core Values Input'!$C46:$L46,'Core Values Input'!$T46)</f>
        <v>#N/A</v>
      </c>
      <c r="V46" s="80">
        <f>IF('Core Values Input'!$A46&gt;0,MIN(_xlfn.RANK.EQ('Core Values Input'!$U46,'Core Values Input'!$U$2:$U$201,0),NumberOfTeams),NumberOfTeams+1)</f>
        <v>1</v>
      </c>
      <c r="W46" s="99"/>
      <c r="X46" s="99"/>
      <c r="Y46" s="99"/>
    </row>
    <row r="47" ht="30.0" customHeight="1">
      <c r="A47" s="38" t="str">
        <f t="array" ref="A47">XLOOKUP(46,'Team and Program Information'!$B$3:$B$202,'Team and Program Information'!$C$3:$C$202,"ERROR",0)</f>
        <v/>
      </c>
      <c r="B47" s="68" t="str">
        <f t="array" ref="B47">XLOOKUP('Core Values Input'!$A47,'Team and Program Information'!$C$3:$C$202,'Team and Program Information'!$D$3:$D$202,"",0,)</f>
        <v>#VALUE!</v>
      </c>
      <c r="C47" s="97" t="str">
        <f t="array" ref="C47">XLOOKUP('Core Values Input'!$A47,'Innovation Project Input'!$A$2:$A$201,'Innovation Project Input'!$D$2:$D$201)</f>
        <v>#N/A</v>
      </c>
      <c r="D47" s="97" t="str">
        <f t="array" ref="D47">XLOOKUP('Core Values Input'!$A47,'Innovation Project Input'!$A$2:$A$201,'Innovation Project Input'!$F$2:$F$201)</f>
        <v>#N/A</v>
      </c>
      <c r="E47" s="97" t="str">
        <f t="array" ref="E47">XLOOKUP('Core Values Input'!$A47,'Innovation Project Input'!$A$2:$A$201,'Innovation Project Input'!$G$2:$G$201)</f>
        <v>#N/A</v>
      </c>
      <c r="F47" s="97" t="str">
        <f t="array" ref="F47">XLOOKUP('Core Values Input'!$A47,'Innovation Project Input'!$A$2:$A$201,'Innovation Project Input'!$K$2:$K$201)</f>
        <v>#N/A</v>
      </c>
      <c r="G47" s="97" t="str">
        <f t="array" ref="G47">XLOOKUP('Core Values Input'!$A47,'Innovation Project Input'!$A$2:$A$201,'Innovation Project Input'!$L$2:$L$201)</f>
        <v>#N/A</v>
      </c>
      <c r="H47" s="97" t="str">
        <f t="array" ref="H47">XLOOKUP('Core Values Input'!$A47,'Robot Design Input'!$A$2:$A$201,'Robot Design Input'!$D$2:$D$201)</f>
        <v/>
      </c>
      <c r="I47" s="97" t="str">
        <f t="array" ref="I47">XLOOKUP('Core Values Input'!$A47,'Robot Design Input'!$A$2:$A$201,'Robot Design Input'!$E$2:$E$201)</f>
        <v/>
      </c>
      <c r="J47" s="97" t="str">
        <f t="array" ref="J47">XLOOKUP('Core Values Input'!$A47,'Robot Design Input'!$A$2:$A$201,'Robot Design Input'!$J$2:$J$201)</f>
        <v/>
      </c>
      <c r="K47" s="97" t="str">
        <f t="array" ref="K47">XLOOKUP('Core Values Input'!$A47,'Robot Design Input'!$A$2:$A$201,'Robot Design Input'!$K$2:$K$201)</f>
        <v/>
      </c>
      <c r="L47" s="97" t="str">
        <f t="array" ref="L47">XLOOKUP('Core Values Input'!$A47,'Robot Design Input'!$A$2:$A$201,'Robot Design Input'!$L$2:$L$201)</f>
        <v/>
      </c>
      <c r="M47" s="38"/>
      <c r="N47" s="38"/>
      <c r="O47" s="38"/>
      <c r="P47" s="38"/>
      <c r="Q47" s="38"/>
      <c r="R47" s="38" t="str">
        <f>IF('Core Values Input'!$M47="","",COUNTIF('Core Values Input'!$M47:$Q47,""))</f>
        <v/>
      </c>
      <c r="S47" s="38" t="str">
        <f>IF('Core Values Input'!$M47="","",SUM('Core Values Input'!$M47:$Q47))</f>
        <v/>
      </c>
      <c r="T47" s="38" t="str">
        <f>IF('Core Values Input'!$R47=3,SUM('Core Values Input'!$M47:$Q47),IF('Core Values Input'!$R47=4,SUM('Core Values Input'!$M47:$Q47),IF('Core Values Input'!$R47=2,'Core Values Input'!$S47,IF('Core Values Input'!$R47=1,'Core Values Input'!$S47*0.75,IF('Core Values Input'!$R47=0,'Core Values Input'!$S47*0.6,"")))))</f>
        <v/>
      </c>
      <c r="U47" s="98" t="str">
        <f>SUM('Core Values Input'!$C47:$L47,'Core Values Input'!$T47)</f>
        <v>#N/A</v>
      </c>
      <c r="V47" s="80">
        <f>IF('Core Values Input'!$A47&gt;0,MIN(_xlfn.RANK.EQ('Core Values Input'!$U47,'Core Values Input'!$U$2:$U$201,0),NumberOfTeams),NumberOfTeams+1)</f>
        <v>1</v>
      </c>
      <c r="W47" s="99"/>
      <c r="X47" s="99"/>
      <c r="Y47" s="99"/>
    </row>
    <row r="48" ht="30.0" customHeight="1">
      <c r="A48" s="38" t="str">
        <f t="array" ref="A48">XLOOKUP(47,'Team and Program Information'!$B$3:$B$202,'Team and Program Information'!$C$3:$C$202,"ERROR",0)</f>
        <v/>
      </c>
      <c r="B48" s="68" t="str">
        <f t="array" ref="B48">XLOOKUP('Core Values Input'!$A48,'Team and Program Information'!$C$3:$C$202,'Team and Program Information'!$D$3:$D$202,"",0,)</f>
        <v>#VALUE!</v>
      </c>
      <c r="C48" s="97" t="str">
        <f t="array" ref="C48">XLOOKUP('Core Values Input'!$A48,'Innovation Project Input'!$A$2:$A$201,'Innovation Project Input'!$D$2:$D$201)</f>
        <v>#N/A</v>
      </c>
      <c r="D48" s="97" t="str">
        <f t="array" ref="D48">XLOOKUP('Core Values Input'!$A48,'Innovation Project Input'!$A$2:$A$201,'Innovation Project Input'!$F$2:$F$201)</f>
        <v>#N/A</v>
      </c>
      <c r="E48" s="97" t="str">
        <f t="array" ref="E48">XLOOKUP('Core Values Input'!$A48,'Innovation Project Input'!$A$2:$A$201,'Innovation Project Input'!$G$2:$G$201)</f>
        <v>#N/A</v>
      </c>
      <c r="F48" s="97" t="str">
        <f t="array" ref="F48">XLOOKUP('Core Values Input'!$A48,'Innovation Project Input'!$A$2:$A$201,'Innovation Project Input'!$K$2:$K$201)</f>
        <v>#N/A</v>
      </c>
      <c r="G48" s="97" t="str">
        <f t="array" ref="G48">XLOOKUP('Core Values Input'!$A48,'Innovation Project Input'!$A$2:$A$201,'Innovation Project Input'!$L$2:$L$201)</f>
        <v>#N/A</v>
      </c>
      <c r="H48" s="97" t="str">
        <f t="array" ref="H48">XLOOKUP('Core Values Input'!$A48,'Robot Design Input'!$A$2:$A$201,'Robot Design Input'!$D$2:$D$201)</f>
        <v/>
      </c>
      <c r="I48" s="97" t="str">
        <f t="array" ref="I48">XLOOKUP('Core Values Input'!$A48,'Robot Design Input'!$A$2:$A$201,'Robot Design Input'!$E$2:$E$201)</f>
        <v/>
      </c>
      <c r="J48" s="97" t="str">
        <f t="array" ref="J48">XLOOKUP('Core Values Input'!$A48,'Robot Design Input'!$A$2:$A$201,'Robot Design Input'!$J$2:$J$201)</f>
        <v/>
      </c>
      <c r="K48" s="97" t="str">
        <f t="array" ref="K48">XLOOKUP('Core Values Input'!$A48,'Robot Design Input'!$A$2:$A$201,'Robot Design Input'!$K$2:$K$201)</f>
        <v/>
      </c>
      <c r="L48" s="97" t="str">
        <f t="array" ref="L48">XLOOKUP('Core Values Input'!$A48,'Robot Design Input'!$A$2:$A$201,'Robot Design Input'!$L$2:$L$201)</f>
        <v/>
      </c>
      <c r="M48" s="38"/>
      <c r="N48" s="38"/>
      <c r="O48" s="38"/>
      <c r="P48" s="38"/>
      <c r="Q48" s="38"/>
      <c r="R48" s="38" t="str">
        <f>IF('Core Values Input'!$M48="","",COUNTIF('Core Values Input'!$M48:$Q48,""))</f>
        <v/>
      </c>
      <c r="S48" s="38" t="str">
        <f>IF('Core Values Input'!$M48="","",SUM('Core Values Input'!$M48:$Q48))</f>
        <v/>
      </c>
      <c r="T48" s="38" t="str">
        <f>IF('Core Values Input'!$R48=3,SUM('Core Values Input'!$M48:$Q48),IF('Core Values Input'!$R48=4,SUM('Core Values Input'!$M48:$Q48),IF('Core Values Input'!$R48=2,'Core Values Input'!$S48,IF('Core Values Input'!$R48=1,'Core Values Input'!$S48*0.75,IF('Core Values Input'!$R48=0,'Core Values Input'!$S48*0.6,"")))))</f>
        <v/>
      </c>
      <c r="U48" s="98" t="str">
        <f>SUM('Core Values Input'!$C48:$L48,'Core Values Input'!$T48)</f>
        <v>#N/A</v>
      </c>
      <c r="V48" s="80">
        <f>IF('Core Values Input'!$A48&gt;0,MIN(_xlfn.RANK.EQ('Core Values Input'!$U48,'Core Values Input'!$U$2:$U$201,0),NumberOfTeams),NumberOfTeams+1)</f>
        <v>1</v>
      </c>
      <c r="W48" s="99"/>
      <c r="X48" s="99"/>
      <c r="Y48" s="99"/>
    </row>
    <row r="49" ht="30.0" customHeight="1">
      <c r="A49" s="38" t="str">
        <f t="array" ref="A49">XLOOKUP(48,'Team and Program Information'!$B$3:$B$202,'Team and Program Information'!$C$3:$C$202,"ERROR",0)</f>
        <v/>
      </c>
      <c r="B49" s="68" t="str">
        <f t="array" ref="B49">XLOOKUP('Core Values Input'!$A49,'Team and Program Information'!$C$3:$C$202,'Team and Program Information'!$D$3:$D$202,"",0,)</f>
        <v>#VALUE!</v>
      </c>
      <c r="C49" s="97" t="str">
        <f t="array" ref="C49">XLOOKUP('Core Values Input'!$A49,'Innovation Project Input'!$A$2:$A$201,'Innovation Project Input'!$D$2:$D$201)</f>
        <v>#N/A</v>
      </c>
      <c r="D49" s="97" t="str">
        <f t="array" ref="D49">XLOOKUP('Core Values Input'!$A49,'Innovation Project Input'!$A$2:$A$201,'Innovation Project Input'!$F$2:$F$201)</f>
        <v>#N/A</v>
      </c>
      <c r="E49" s="97" t="str">
        <f t="array" ref="E49">XLOOKUP('Core Values Input'!$A49,'Innovation Project Input'!$A$2:$A$201,'Innovation Project Input'!$G$2:$G$201)</f>
        <v>#N/A</v>
      </c>
      <c r="F49" s="97" t="str">
        <f t="array" ref="F49">XLOOKUP('Core Values Input'!$A49,'Innovation Project Input'!$A$2:$A$201,'Innovation Project Input'!$K$2:$K$201)</f>
        <v>#N/A</v>
      </c>
      <c r="G49" s="97" t="str">
        <f t="array" ref="G49">XLOOKUP('Core Values Input'!$A49,'Innovation Project Input'!$A$2:$A$201,'Innovation Project Input'!$L$2:$L$201)</f>
        <v>#N/A</v>
      </c>
      <c r="H49" s="97" t="str">
        <f t="array" ref="H49">XLOOKUP('Core Values Input'!$A49,'Robot Design Input'!$A$2:$A$201,'Robot Design Input'!$D$2:$D$201)</f>
        <v/>
      </c>
      <c r="I49" s="97" t="str">
        <f t="array" ref="I49">XLOOKUP('Core Values Input'!$A49,'Robot Design Input'!$A$2:$A$201,'Robot Design Input'!$E$2:$E$201)</f>
        <v/>
      </c>
      <c r="J49" s="97" t="str">
        <f t="array" ref="J49">XLOOKUP('Core Values Input'!$A49,'Robot Design Input'!$A$2:$A$201,'Robot Design Input'!$J$2:$J$201)</f>
        <v/>
      </c>
      <c r="K49" s="97" t="str">
        <f t="array" ref="K49">XLOOKUP('Core Values Input'!$A49,'Robot Design Input'!$A$2:$A$201,'Robot Design Input'!$K$2:$K$201)</f>
        <v/>
      </c>
      <c r="L49" s="97" t="str">
        <f t="array" ref="L49">XLOOKUP('Core Values Input'!$A49,'Robot Design Input'!$A$2:$A$201,'Robot Design Input'!$L$2:$L$201)</f>
        <v/>
      </c>
      <c r="M49" s="38"/>
      <c r="N49" s="38"/>
      <c r="O49" s="38"/>
      <c r="P49" s="38"/>
      <c r="Q49" s="38"/>
      <c r="R49" s="38" t="str">
        <f>IF('Core Values Input'!$M49="","",COUNTIF('Core Values Input'!$M49:$Q49,""))</f>
        <v/>
      </c>
      <c r="S49" s="38" t="str">
        <f>IF('Core Values Input'!$M49="","",SUM('Core Values Input'!$M49:$Q49))</f>
        <v/>
      </c>
      <c r="T49" s="38" t="str">
        <f>IF('Core Values Input'!$R49=3,SUM('Core Values Input'!$M49:$Q49),IF('Core Values Input'!$R49=4,SUM('Core Values Input'!$M49:$Q49),IF('Core Values Input'!$R49=2,'Core Values Input'!$S49,IF('Core Values Input'!$R49=1,'Core Values Input'!$S49*0.75,IF('Core Values Input'!$R49=0,'Core Values Input'!$S49*0.6,"")))))</f>
        <v/>
      </c>
      <c r="U49" s="98" t="str">
        <f>SUM('Core Values Input'!$C49:$L49,'Core Values Input'!$T49)</f>
        <v>#N/A</v>
      </c>
      <c r="V49" s="80">
        <f>IF('Core Values Input'!$A49&gt;0,MIN(_xlfn.RANK.EQ('Core Values Input'!$U49,'Core Values Input'!$U$2:$U$201,0),NumberOfTeams),NumberOfTeams+1)</f>
        <v>1</v>
      </c>
      <c r="W49" s="99"/>
      <c r="X49" s="99"/>
      <c r="Y49" s="99"/>
    </row>
    <row r="50" ht="30.0" customHeight="1">
      <c r="A50" s="38" t="str">
        <f t="array" ref="A50">XLOOKUP(49,'Team and Program Information'!$B$3:$B$202,'Team and Program Information'!$C$3:$C$202,"ERROR",0)</f>
        <v/>
      </c>
      <c r="B50" s="68" t="str">
        <f t="array" ref="B50">XLOOKUP('Core Values Input'!$A50,'Team and Program Information'!$C$3:$C$202,'Team and Program Information'!$D$3:$D$202,"",0,)</f>
        <v>#VALUE!</v>
      </c>
      <c r="C50" s="97" t="str">
        <f t="array" ref="C50">XLOOKUP('Core Values Input'!$A50,'Innovation Project Input'!$A$2:$A$201,'Innovation Project Input'!$D$2:$D$201)</f>
        <v>#N/A</v>
      </c>
      <c r="D50" s="97" t="str">
        <f t="array" ref="D50">XLOOKUP('Core Values Input'!$A50,'Innovation Project Input'!$A$2:$A$201,'Innovation Project Input'!$F$2:$F$201)</f>
        <v>#N/A</v>
      </c>
      <c r="E50" s="97" t="str">
        <f t="array" ref="E50">XLOOKUP('Core Values Input'!$A50,'Innovation Project Input'!$A$2:$A$201,'Innovation Project Input'!$G$2:$G$201)</f>
        <v>#N/A</v>
      </c>
      <c r="F50" s="97" t="str">
        <f t="array" ref="F50">XLOOKUP('Core Values Input'!$A50,'Innovation Project Input'!$A$2:$A$201,'Innovation Project Input'!$K$2:$K$201)</f>
        <v>#N/A</v>
      </c>
      <c r="G50" s="97" t="str">
        <f t="array" ref="G50">XLOOKUP('Core Values Input'!$A50,'Innovation Project Input'!$A$2:$A$201,'Innovation Project Input'!$L$2:$L$201)</f>
        <v>#N/A</v>
      </c>
      <c r="H50" s="97" t="str">
        <f t="array" ref="H50">XLOOKUP('Core Values Input'!$A50,'Robot Design Input'!$A$2:$A$201,'Robot Design Input'!$D$2:$D$201)</f>
        <v/>
      </c>
      <c r="I50" s="97" t="str">
        <f t="array" ref="I50">XLOOKUP('Core Values Input'!$A50,'Robot Design Input'!$A$2:$A$201,'Robot Design Input'!$E$2:$E$201)</f>
        <v/>
      </c>
      <c r="J50" s="97" t="str">
        <f t="array" ref="J50">XLOOKUP('Core Values Input'!$A50,'Robot Design Input'!$A$2:$A$201,'Robot Design Input'!$J$2:$J$201)</f>
        <v/>
      </c>
      <c r="K50" s="97" t="str">
        <f t="array" ref="K50">XLOOKUP('Core Values Input'!$A50,'Robot Design Input'!$A$2:$A$201,'Robot Design Input'!$K$2:$K$201)</f>
        <v/>
      </c>
      <c r="L50" s="97" t="str">
        <f t="array" ref="L50">XLOOKUP('Core Values Input'!$A50,'Robot Design Input'!$A$2:$A$201,'Robot Design Input'!$L$2:$L$201)</f>
        <v/>
      </c>
      <c r="M50" s="38"/>
      <c r="N50" s="38"/>
      <c r="O50" s="38"/>
      <c r="P50" s="38"/>
      <c r="Q50" s="38"/>
      <c r="R50" s="38" t="str">
        <f>IF('Core Values Input'!$M50="","",COUNTIF('Core Values Input'!$M50:$Q50,""))</f>
        <v/>
      </c>
      <c r="S50" s="38" t="str">
        <f>IF('Core Values Input'!$M50="","",SUM('Core Values Input'!$M50:$Q50))</f>
        <v/>
      </c>
      <c r="T50" s="38" t="str">
        <f>IF('Core Values Input'!$R50=3,SUM('Core Values Input'!$M50:$Q50),IF('Core Values Input'!$R50=4,SUM('Core Values Input'!$M50:$Q50),IF('Core Values Input'!$R50=2,'Core Values Input'!$S50,IF('Core Values Input'!$R50=1,'Core Values Input'!$S50*0.75,IF('Core Values Input'!$R50=0,'Core Values Input'!$S50*0.6,"")))))</f>
        <v/>
      </c>
      <c r="U50" s="98" t="str">
        <f>SUM('Core Values Input'!$C50:$L50,'Core Values Input'!$T50)</f>
        <v>#N/A</v>
      </c>
      <c r="V50" s="80">
        <f>IF('Core Values Input'!$A50&gt;0,MIN(_xlfn.RANK.EQ('Core Values Input'!$U50,'Core Values Input'!$U$2:$U$201,0),NumberOfTeams),NumberOfTeams+1)</f>
        <v>1</v>
      </c>
      <c r="W50" s="99"/>
      <c r="X50" s="99"/>
      <c r="Y50" s="99"/>
    </row>
    <row r="51" ht="30.0" customHeight="1">
      <c r="A51" s="38" t="str">
        <f t="array" ref="A51">XLOOKUP(50,'Team and Program Information'!$B$3:$B$202,'Team and Program Information'!$C$3:$C$202,"ERROR",0)</f>
        <v/>
      </c>
      <c r="B51" s="68" t="str">
        <f t="array" ref="B51">XLOOKUP('Core Values Input'!$A51,'Team and Program Information'!$C$3:$C$202,'Team and Program Information'!$D$3:$D$202,"",0,)</f>
        <v>#VALUE!</v>
      </c>
      <c r="C51" s="97" t="str">
        <f t="array" ref="C51">XLOOKUP('Core Values Input'!$A51,'Innovation Project Input'!$A$2:$A$201,'Innovation Project Input'!$D$2:$D$201)</f>
        <v>#N/A</v>
      </c>
      <c r="D51" s="97" t="str">
        <f t="array" ref="D51">XLOOKUP('Core Values Input'!$A51,'Innovation Project Input'!$A$2:$A$201,'Innovation Project Input'!$F$2:$F$201)</f>
        <v>#N/A</v>
      </c>
      <c r="E51" s="97" t="str">
        <f t="array" ref="E51">XLOOKUP('Core Values Input'!$A51,'Innovation Project Input'!$A$2:$A$201,'Innovation Project Input'!$G$2:$G$201)</f>
        <v>#N/A</v>
      </c>
      <c r="F51" s="97" t="str">
        <f t="array" ref="F51">XLOOKUP('Core Values Input'!$A51,'Innovation Project Input'!$A$2:$A$201,'Innovation Project Input'!$K$2:$K$201)</f>
        <v>#N/A</v>
      </c>
      <c r="G51" s="97" t="str">
        <f t="array" ref="G51">XLOOKUP('Core Values Input'!$A51,'Innovation Project Input'!$A$2:$A$201,'Innovation Project Input'!$L$2:$L$201)</f>
        <v>#N/A</v>
      </c>
      <c r="H51" s="97" t="str">
        <f t="array" ref="H51">XLOOKUP('Core Values Input'!$A51,'Robot Design Input'!$A$2:$A$201,'Robot Design Input'!$D$2:$D$201)</f>
        <v/>
      </c>
      <c r="I51" s="97" t="str">
        <f t="array" ref="I51">XLOOKUP('Core Values Input'!$A51,'Robot Design Input'!$A$2:$A$201,'Robot Design Input'!$E$2:$E$201)</f>
        <v/>
      </c>
      <c r="J51" s="97" t="str">
        <f t="array" ref="J51">XLOOKUP('Core Values Input'!$A51,'Robot Design Input'!$A$2:$A$201,'Robot Design Input'!$J$2:$J$201)</f>
        <v/>
      </c>
      <c r="K51" s="97" t="str">
        <f t="array" ref="K51">XLOOKUP('Core Values Input'!$A51,'Robot Design Input'!$A$2:$A$201,'Robot Design Input'!$K$2:$K$201)</f>
        <v/>
      </c>
      <c r="L51" s="97" t="str">
        <f t="array" ref="L51">XLOOKUP('Core Values Input'!$A51,'Robot Design Input'!$A$2:$A$201,'Robot Design Input'!$L$2:$L$201)</f>
        <v/>
      </c>
      <c r="M51" s="38"/>
      <c r="N51" s="38"/>
      <c r="O51" s="38"/>
      <c r="P51" s="38"/>
      <c r="Q51" s="38"/>
      <c r="R51" s="38" t="str">
        <f>IF('Core Values Input'!$M51="","",COUNTIF('Core Values Input'!$M51:$Q51,""))</f>
        <v/>
      </c>
      <c r="S51" s="38" t="str">
        <f>IF('Core Values Input'!$M51="","",SUM('Core Values Input'!$M51:$Q51))</f>
        <v/>
      </c>
      <c r="T51" s="38" t="str">
        <f>IF('Core Values Input'!$R51=3,SUM('Core Values Input'!$M51:$Q51),IF('Core Values Input'!$R51=4,SUM('Core Values Input'!$M51:$Q51),IF('Core Values Input'!$R51=2,'Core Values Input'!$S51,IF('Core Values Input'!$R51=1,'Core Values Input'!$S51*0.75,IF('Core Values Input'!$R51=0,'Core Values Input'!$S51*0.6,"")))))</f>
        <v/>
      </c>
      <c r="U51" s="98" t="str">
        <f>SUM('Core Values Input'!$C51:$L51,'Core Values Input'!$T51)</f>
        <v>#N/A</v>
      </c>
      <c r="V51" s="80">
        <f>IF('Core Values Input'!$A51&gt;0,MIN(_xlfn.RANK.EQ('Core Values Input'!$U51,'Core Values Input'!$U$2:$U$201,0),NumberOfTeams),NumberOfTeams+1)</f>
        <v>1</v>
      </c>
      <c r="W51" s="99"/>
      <c r="X51" s="99"/>
      <c r="Y51" s="99"/>
    </row>
    <row r="52" ht="30.0" customHeight="1">
      <c r="A52" s="38" t="str">
        <f t="array" ref="A52">XLOOKUP(51,'Team and Program Information'!$B$3:$B$202,'Team and Program Information'!$C$3:$C$202,"ERROR",0)</f>
        <v/>
      </c>
      <c r="B52" s="68" t="str">
        <f t="array" ref="B52">XLOOKUP('Core Values Input'!$A52,'Team and Program Information'!$C$3:$C$202,'Team and Program Information'!$D$3:$D$202,"",0,)</f>
        <v>#VALUE!</v>
      </c>
      <c r="C52" s="97" t="str">
        <f t="array" ref="C52">XLOOKUP('Core Values Input'!$A52,'Innovation Project Input'!$A$2:$A$201,'Innovation Project Input'!$D$2:$D$201)</f>
        <v>#N/A</v>
      </c>
      <c r="D52" s="97" t="str">
        <f t="array" ref="D52">XLOOKUP('Core Values Input'!$A52,'Innovation Project Input'!$A$2:$A$201,'Innovation Project Input'!$F$2:$F$201)</f>
        <v>#N/A</v>
      </c>
      <c r="E52" s="97" t="str">
        <f t="array" ref="E52">XLOOKUP('Core Values Input'!$A52,'Innovation Project Input'!$A$2:$A$201,'Innovation Project Input'!$G$2:$G$201)</f>
        <v>#N/A</v>
      </c>
      <c r="F52" s="97" t="str">
        <f t="array" ref="F52">XLOOKUP('Core Values Input'!$A52,'Innovation Project Input'!$A$2:$A$201,'Innovation Project Input'!$K$2:$K$201)</f>
        <v>#N/A</v>
      </c>
      <c r="G52" s="97" t="str">
        <f t="array" ref="G52">XLOOKUP('Core Values Input'!$A52,'Innovation Project Input'!$A$2:$A$201,'Innovation Project Input'!$L$2:$L$201)</f>
        <v>#N/A</v>
      </c>
      <c r="H52" s="97" t="str">
        <f t="array" ref="H52">XLOOKUP('Core Values Input'!$A52,'Robot Design Input'!$A$2:$A$201,'Robot Design Input'!$D$2:$D$201)</f>
        <v/>
      </c>
      <c r="I52" s="97" t="str">
        <f t="array" ref="I52">XLOOKUP('Core Values Input'!$A52,'Robot Design Input'!$A$2:$A$201,'Robot Design Input'!$E$2:$E$201)</f>
        <v/>
      </c>
      <c r="J52" s="97" t="str">
        <f t="array" ref="J52">XLOOKUP('Core Values Input'!$A52,'Robot Design Input'!$A$2:$A$201,'Robot Design Input'!$J$2:$J$201)</f>
        <v/>
      </c>
      <c r="K52" s="97" t="str">
        <f t="array" ref="K52">XLOOKUP('Core Values Input'!$A52,'Robot Design Input'!$A$2:$A$201,'Robot Design Input'!$K$2:$K$201)</f>
        <v/>
      </c>
      <c r="L52" s="97" t="str">
        <f t="array" ref="L52">XLOOKUP('Core Values Input'!$A52,'Robot Design Input'!$A$2:$A$201,'Robot Design Input'!$L$2:$L$201)</f>
        <v/>
      </c>
      <c r="M52" s="38"/>
      <c r="N52" s="38"/>
      <c r="O52" s="38"/>
      <c r="P52" s="38"/>
      <c r="Q52" s="38"/>
      <c r="R52" s="38" t="str">
        <f>IF('Core Values Input'!$M52="","",COUNTIF('Core Values Input'!$M52:$Q52,""))</f>
        <v/>
      </c>
      <c r="S52" s="38" t="str">
        <f>IF('Core Values Input'!$M52="","",SUM('Core Values Input'!$M52:$Q52))</f>
        <v/>
      </c>
      <c r="T52" s="38" t="str">
        <f>IF('Core Values Input'!$R52=3,SUM('Core Values Input'!$M52:$Q52),IF('Core Values Input'!$R52=4,SUM('Core Values Input'!$M52:$Q52),IF('Core Values Input'!$R52=2,'Core Values Input'!$S52,IF('Core Values Input'!$R52=1,'Core Values Input'!$S52*0.75,IF('Core Values Input'!$R52=0,'Core Values Input'!$S52*0.6,"")))))</f>
        <v/>
      </c>
      <c r="U52" s="98" t="str">
        <f>SUM('Core Values Input'!$C52:$L52,'Core Values Input'!$T52)</f>
        <v>#N/A</v>
      </c>
      <c r="V52" s="80">
        <f>IF('Core Values Input'!$A52&gt;0,MIN(_xlfn.RANK.EQ('Core Values Input'!$U52,'Core Values Input'!$U$2:$U$201,0),NumberOfTeams),NumberOfTeams+1)</f>
        <v>1</v>
      </c>
      <c r="W52" s="99"/>
      <c r="X52" s="99"/>
      <c r="Y52" s="99"/>
    </row>
    <row r="53" ht="30.0" customHeight="1">
      <c r="A53" s="38" t="str">
        <f t="array" ref="A53">XLOOKUP(52,'Team and Program Information'!$B$3:$B$202,'Team and Program Information'!$C$3:$C$202,"ERROR",0)</f>
        <v/>
      </c>
      <c r="B53" s="68" t="str">
        <f t="array" ref="B53">XLOOKUP('Core Values Input'!$A53,'Team and Program Information'!$C$3:$C$202,'Team and Program Information'!$D$3:$D$202,"",0,)</f>
        <v>#VALUE!</v>
      </c>
      <c r="C53" s="97" t="str">
        <f t="array" ref="C53">XLOOKUP('Core Values Input'!$A53,'Innovation Project Input'!$A$2:$A$201,'Innovation Project Input'!$D$2:$D$201)</f>
        <v>#N/A</v>
      </c>
      <c r="D53" s="97" t="str">
        <f t="array" ref="D53">XLOOKUP('Core Values Input'!$A53,'Innovation Project Input'!$A$2:$A$201,'Innovation Project Input'!$F$2:$F$201)</f>
        <v>#N/A</v>
      </c>
      <c r="E53" s="97" t="str">
        <f t="array" ref="E53">XLOOKUP('Core Values Input'!$A53,'Innovation Project Input'!$A$2:$A$201,'Innovation Project Input'!$G$2:$G$201)</f>
        <v>#N/A</v>
      </c>
      <c r="F53" s="97" t="str">
        <f t="array" ref="F53">XLOOKUP('Core Values Input'!$A53,'Innovation Project Input'!$A$2:$A$201,'Innovation Project Input'!$K$2:$K$201)</f>
        <v>#N/A</v>
      </c>
      <c r="G53" s="97" t="str">
        <f t="array" ref="G53">XLOOKUP('Core Values Input'!$A53,'Innovation Project Input'!$A$2:$A$201,'Innovation Project Input'!$L$2:$L$201)</f>
        <v>#N/A</v>
      </c>
      <c r="H53" s="97" t="str">
        <f t="array" ref="H53">XLOOKUP('Core Values Input'!$A53,'Robot Design Input'!$A$2:$A$201,'Robot Design Input'!$D$2:$D$201)</f>
        <v/>
      </c>
      <c r="I53" s="97" t="str">
        <f t="array" ref="I53">XLOOKUP('Core Values Input'!$A53,'Robot Design Input'!$A$2:$A$201,'Robot Design Input'!$E$2:$E$201)</f>
        <v/>
      </c>
      <c r="J53" s="97" t="str">
        <f t="array" ref="J53">XLOOKUP('Core Values Input'!$A53,'Robot Design Input'!$A$2:$A$201,'Robot Design Input'!$J$2:$J$201)</f>
        <v/>
      </c>
      <c r="K53" s="97" t="str">
        <f t="array" ref="K53">XLOOKUP('Core Values Input'!$A53,'Robot Design Input'!$A$2:$A$201,'Robot Design Input'!$K$2:$K$201)</f>
        <v/>
      </c>
      <c r="L53" s="97" t="str">
        <f t="array" ref="L53">XLOOKUP('Core Values Input'!$A53,'Robot Design Input'!$A$2:$A$201,'Robot Design Input'!$L$2:$L$201)</f>
        <v/>
      </c>
      <c r="M53" s="38"/>
      <c r="N53" s="38"/>
      <c r="O53" s="38"/>
      <c r="P53" s="38"/>
      <c r="Q53" s="38"/>
      <c r="R53" s="38" t="str">
        <f>IF('Core Values Input'!$M53="","",COUNTIF('Core Values Input'!$M53:$Q53,""))</f>
        <v/>
      </c>
      <c r="S53" s="38" t="str">
        <f>IF('Core Values Input'!$M53="","",SUM('Core Values Input'!$M53:$Q53))</f>
        <v/>
      </c>
      <c r="T53" s="38" t="str">
        <f>IF('Core Values Input'!$R53=3,SUM('Core Values Input'!$M53:$Q53),IF('Core Values Input'!$R53=4,SUM('Core Values Input'!$M53:$Q53),IF('Core Values Input'!$R53=2,'Core Values Input'!$S53,IF('Core Values Input'!$R53=1,'Core Values Input'!$S53*0.75,IF('Core Values Input'!$R53=0,'Core Values Input'!$S53*0.6,"")))))</f>
        <v/>
      </c>
      <c r="U53" s="98" t="str">
        <f>SUM('Core Values Input'!$C53:$L53,'Core Values Input'!$T53)</f>
        <v>#N/A</v>
      </c>
      <c r="V53" s="80">
        <f>IF('Core Values Input'!$A53&gt;0,MIN(_xlfn.RANK.EQ('Core Values Input'!$U53,'Core Values Input'!$U$2:$U$201,0),NumberOfTeams),NumberOfTeams+1)</f>
        <v>1</v>
      </c>
      <c r="W53" s="99"/>
      <c r="X53" s="99"/>
      <c r="Y53" s="99"/>
    </row>
    <row r="54" ht="30.0" customHeight="1">
      <c r="A54" s="38" t="str">
        <f t="array" ref="A54">XLOOKUP(53,'Team and Program Information'!$B$3:$B$202,'Team and Program Information'!$C$3:$C$202,"ERROR",0)</f>
        <v/>
      </c>
      <c r="B54" s="68" t="str">
        <f t="array" ref="B54">XLOOKUP('Core Values Input'!$A54,'Team and Program Information'!$C$3:$C$202,'Team and Program Information'!$D$3:$D$202,"",0,)</f>
        <v>#VALUE!</v>
      </c>
      <c r="C54" s="97" t="str">
        <f t="array" ref="C54">XLOOKUP('Core Values Input'!$A54,'Innovation Project Input'!$A$2:$A$201,'Innovation Project Input'!$D$2:$D$201)</f>
        <v>#N/A</v>
      </c>
      <c r="D54" s="97" t="str">
        <f t="array" ref="D54">XLOOKUP('Core Values Input'!$A54,'Innovation Project Input'!$A$2:$A$201,'Innovation Project Input'!$F$2:$F$201)</f>
        <v>#N/A</v>
      </c>
      <c r="E54" s="97" t="str">
        <f t="array" ref="E54">XLOOKUP('Core Values Input'!$A54,'Innovation Project Input'!$A$2:$A$201,'Innovation Project Input'!$G$2:$G$201)</f>
        <v>#N/A</v>
      </c>
      <c r="F54" s="97" t="str">
        <f t="array" ref="F54">XLOOKUP('Core Values Input'!$A54,'Innovation Project Input'!$A$2:$A$201,'Innovation Project Input'!$K$2:$K$201)</f>
        <v>#N/A</v>
      </c>
      <c r="G54" s="97" t="str">
        <f t="array" ref="G54">XLOOKUP('Core Values Input'!$A54,'Innovation Project Input'!$A$2:$A$201,'Innovation Project Input'!$L$2:$L$201)</f>
        <v>#N/A</v>
      </c>
      <c r="H54" s="97" t="str">
        <f t="array" ref="H54">XLOOKUP('Core Values Input'!$A54,'Robot Design Input'!$A$2:$A$201,'Robot Design Input'!$D$2:$D$201)</f>
        <v/>
      </c>
      <c r="I54" s="97" t="str">
        <f t="array" ref="I54">XLOOKUP('Core Values Input'!$A54,'Robot Design Input'!$A$2:$A$201,'Robot Design Input'!$E$2:$E$201)</f>
        <v/>
      </c>
      <c r="J54" s="97" t="str">
        <f t="array" ref="J54">XLOOKUP('Core Values Input'!$A54,'Robot Design Input'!$A$2:$A$201,'Robot Design Input'!$J$2:$J$201)</f>
        <v/>
      </c>
      <c r="K54" s="97" t="str">
        <f t="array" ref="K54">XLOOKUP('Core Values Input'!$A54,'Robot Design Input'!$A$2:$A$201,'Robot Design Input'!$K$2:$K$201)</f>
        <v/>
      </c>
      <c r="L54" s="97" t="str">
        <f t="array" ref="L54">XLOOKUP('Core Values Input'!$A54,'Robot Design Input'!$A$2:$A$201,'Robot Design Input'!$L$2:$L$201)</f>
        <v/>
      </c>
      <c r="M54" s="38"/>
      <c r="N54" s="38"/>
      <c r="O54" s="38"/>
      <c r="P54" s="38"/>
      <c r="Q54" s="38"/>
      <c r="R54" s="38" t="str">
        <f>IF('Core Values Input'!$M54="","",COUNTIF('Core Values Input'!$M54:$Q54,""))</f>
        <v/>
      </c>
      <c r="S54" s="38" t="str">
        <f>IF('Core Values Input'!$M54="","",SUM('Core Values Input'!$M54:$Q54))</f>
        <v/>
      </c>
      <c r="T54" s="38" t="str">
        <f>IF('Core Values Input'!$R54=3,SUM('Core Values Input'!$M54:$Q54),IF('Core Values Input'!$R54=4,SUM('Core Values Input'!$M54:$Q54),IF('Core Values Input'!$R54=2,'Core Values Input'!$S54,IF('Core Values Input'!$R54=1,'Core Values Input'!$S54*0.75,IF('Core Values Input'!$R54=0,'Core Values Input'!$S54*0.6,"")))))</f>
        <v/>
      </c>
      <c r="U54" s="98" t="str">
        <f>SUM('Core Values Input'!$C54:$L54,'Core Values Input'!$T54)</f>
        <v>#N/A</v>
      </c>
      <c r="V54" s="80">
        <f>IF('Core Values Input'!$A54&gt;0,MIN(_xlfn.RANK.EQ('Core Values Input'!$U54,'Core Values Input'!$U$2:$U$201,0),NumberOfTeams),NumberOfTeams+1)</f>
        <v>1</v>
      </c>
      <c r="W54" s="99"/>
      <c r="X54" s="99"/>
      <c r="Y54" s="99"/>
    </row>
    <row r="55" ht="30.0" customHeight="1">
      <c r="A55" s="38" t="str">
        <f t="array" ref="A55">XLOOKUP(54,'Team and Program Information'!$B$3:$B$202,'Team and Program Information'!$C$3:$C$202,"ERROR",0)</f>
        <v/>
      </c>
      <c r="B55" s="68" t="str">
        <f t="array" ref="B55">XLOOKUP('Core Values Input'!$A55,'Team and Program Information'!$C$3:$C$202,'Team and Program Information'!$D$3:$D$202,"",0,)</f>
        <v>#VALUE!</v>
      </c>
      <c r="C55" s="97" t="str">
        <f t="array" ref="C55">XLOOKUP('Core Values Input'!$A55,'Innovation Project Input'!$A$2:$A$201,'Innovation Project Input'!$D$2:$D$201)</f>
        <v>#N/A</v>
      </c>
      <c r="D55" s="97" t="str">
        <f t="array" ref="D55">XLOOKUP('Core Values Input'!$A55,'Innovation Project Input'!$A$2:$A$201,'Innovation Project Input'!$F$2:$F$201)</f>
        <v>#N/A</v>
      </c>
      <c r="E55" s="97" t="str">
        <f t="array" ref="E55">XLOOKUP('Core Values Input'!$A55,'Innovation Project Input'!$A$2:$A$201,'Innovation Project Input'!$G$2:$G$201)</f>
        <v>#N/A</v>
      </c>
      <c r="F55" s="97" t="str">
        <f t="array" ref="F55">XLOOKUP('Core Values Input'!$A55,'Innovation Project Input'!$A$2:$A$201,'Innovation Project Input'!$K$2:$K$201)</f>
        <v>#N/A</v>
      </c>
      <c r="G55" s="97" t="str">
        <f t="array" ref="G55">XLOOKUP('Core Values Input'!$A55,'Innovation Project Input'!$A$2:$A$201,'Innovation Project Input'!$L$2:$L$201)</f>
        <v>#N/A</v>
      </c>
      <c r="H55" s="97" t="str">
        <f t="array" ref="H55">XLOOKUP('Core Values Input'!$A55,'Robot Design Input'!$A$2:$A$201,'Robot Design Input'!$D$2:$D$201)</f>
        <v/>
      </c>
      <c r="I55" s="97" t="str">
        <f t="array" ref="I55">XLOOKUP('Core Values Input'!$A55,'Robot Design Input'!$A$2:$A$201,'Robot Design Input'!$E$2:$E$201)</f>
        <v/>
      </c>
      <c r="J55" s="97" t="str">
        <f t="array" ref="J55">XLOOKUP('Core Values Input'!$A55,'Robot Design Input'!$A$2:$A$201,'Robot Design Input'!$J$2:$J$201)</f>
        <v/>
      </c>
      <c r="K55" s="97" t="str">
        <f t="array" ref="K55">XLOOKUP('Core Values Input'!$A55,'Robot Design Input'!$A$2:$A$201,'Robot Design Input'!$K$2:$K$201)</f>
        <v/>
      </c>
      <c r="L55" s="97" t="str">
        <f t="array" ref="L55">XLOOKUP('Core Values Input'!$A55,'Robot Design Input'!$A$2:$A$201,'Robot Design Input'!$L$2:$L$201)</f>
        <v/>
      </c>
      <c r="M55" s="38"/>
      <c r="N55" s="38"/>
      <c r="O55" s="38"/>
      <c r="P55" s="38"/>
      <c r="Q55" s="38"/>
      <c r="R55" s="38" t="str">
        <f>IF('Core Values Input'!$M55="","",COUNTIF('Core Values Input'!$M55:$Q55,""))</f>
        <v/>
      </c>
      <c r="S55" s="38" t="str">
        <f>IF('Core Values Input'!$M55="","",SUM('Core Values Input'!$M55:$Q55))</f>
        <v/>
      </c>
      <c r="T55" s="38" t="str">
        <f>IF('Core Values Input'!$R55=3,SUM('Core Values Input'!$M55:$Q55),IF('Core Values Input'!$R55=4,SUM('Core Values Input'!$M55:$Q55),IF('Core Values Input'!$R55=2,'Core Values Input'!$S55,IF('Core Values Input'!$R55=1,'Core Values Input'!$S55*0.75,IF('Core Values Input'!$R55=0,'Core Values Input'!$S55*0.6,"")))))</f>
        <v/>
      </c>
      <c r="U55" s="98" t="str">
        <f>SUM('Core Values Input'!$C55:$L55,'Core Values Input'!$T55)</f>
        <v>#N/A</v>
      </c>
      <c r="V55" s="80">
        <f>IF('Core Values Input'!$A55&gt;0,MIN(_xlfn.RANK.EQ('Core Values Input'!$U55,'Core Values Input'!$U$2:$U$201,0),NumberOfTeams),NumberOfTeams+1)</f>
        <v>1</v>
      </c>
      <c r="W55" s="99"/>
      <c r="X55" s="99"/>
      <c r="Y55" s="99"/>
    </row>
    <row r="56" ht="30.0" customHeight="1">
      <c r="A56" s="38" t="str">
        <f t="array" ref="A56">XLOOKUP(55,'Team and Program Information'!$B$3:$B$202,'Team and Program Information'!$C$3:$C$202,"ERROR",0)</f>
        <v/>
      </c>
      <c r="B56" s="68" t="str">
        <f t="array" ref="B56">XLOOKUP('Core Values Input'!$A56,'Team and Program Information'!$C$3:$C$202,'Team and Program Information'!$D$3:$D$202,"",0,)</f>
        <v>#VALUE!</v>
      </c>
      <c r="C56" s="97" t="str">
        <f t="array" ref="C56">XLOOKUP('Core Values Input'!$A56,'Innovation Project Input'!$A$2:$A$201,'Innovation Project Input'!$D$2:$D$201)</f>
        <v>#N/A</v>
      </c>
      <c r="D56" s="97" t="str">
        <f t="array" ref="D56">XLOOKUP('Core Values Input'!$A56,'Innovation Project Input'!$A$2:$A$201,'Innovation Project Input'!$F$2:$F$201)</f>
        <v>#N/A</v>
      </c>
      <c r="E56" s="97" t="str">
        <f t="array" ref="E56">XLOOKUP('Core Values Input'!$A56,'Innovation Project Input'!$A$2:$A$201,'Innovation Project Input'!$G$2:$G$201)</f>
        <v>#N/A</v>
      </c>
      <c r="F56" s="97" t="str">
        <f t="array" ref="F56">XLOOKUP('Core Values Input'!$A56,'Innovation Project Input'!$A$2:$A$201,'Innovation Project Input'!$K$2:$K$201)</f>
        <v>#N/A</v>
      </c>
      <c r="G56" s="97" t="str">
        <f t="array" ref="G56">XLOOKUP('Core Values Input'!$A56,'Innovation Project Input'!$A$2:$A$201,'Innovation Project Input'!$L$2:$L$201)</f>
        <v>#N/A</v>
      </c>
      <c r="H56" s="97" t="str">
        <f t="array" ref="H56">XLOOKUP('Core Values Input'!$A56,'Robot Design Input'!$A$2:$A$201,'Robot Design Input'!$D$2:$D$201)</f>
        <v/>
      </c>
      <c r="I56" s="97" t="str">
        <f t="array" ref="I56">XLOOKUP('Core Values Input'!$A56,'Robot Design Input'!$A$2:$A$201,'Robot Design Input'!$E$2:$E$201)</f>
        <v/>
      </c>
      <c r="J56" s="97" t="str">
        <f t="array" ref="J56">XLOOKUP('Core Values Input'!$A56,'Robot Design Input'!$A$2:$A$201,'Robot Design Input'!$J$2:$J$201)</f>
        <v/>
      </c>
      <c r="K56" s="97" t="str">
        <f t="array" ref="K56">XLOOKUP('Core Values Input'!$A56,'Robot Design Input'!$A$2:$A$201,'Robot Design Input'!$K$2:$K$201)</f>
        <v/>
      </c>
      <c r="L56" s="97" t="str">
        <f t="array" ref="L56">XLOOKUP('Core Values Input'!$A56,'Robot Design Input'!$A$2:$A$201,'Robot Design Input'!$L$2:$L$201)</f>
        <v/>
      </c>
      <c r="M56" s="38"/>
      <c r="N56" s="38"/>
      <c r="O56" s="38"/>
      <c r="P56" s="38"/>
      <c r="Q56" s="38"/>
      <c r="R56" s="38" t="str">
        <f>IF('Core Values Input'!$M56="","",COUNTIF('Core Values Input'!$M56:$Q56,""))</f>
        <v/>
      </c>
      <c r="S56" s="38" t="str">
        <f>IF('Core Values Input'!$M56="","",SUM('Core Values Input'!$M56:$Q56))</f>
        <v/>
      </c>
      <c r="T56" s="38" t="str">
        <f>IF('Core Values Input'!$R56=3,SUM('Core Values Input'!$M56:$Q56),IF('Core Values Input'!$R56=4,SUM('Core Values Input'!$M56:$Q56),IF('Core Values Input'!$R56=2,'Core Values Input'!$S56,IF('Core Values Input'!$R56=1,'Core Values Input'!$S56*0.75,IF('Core Values Input'!$R56=0,'Core Values Input'!$S56*0.6,"")))))</f>
        <v/>
      </c>
      <c r="U56" s="98" t="str">
        <f>SUM('Core Values Input'!$C56:$L56,'Core Values Input'!$T56)</f>
        <v>#N/A</v>
      </c>
      <c r="V56" s="80">
        <f>IF('Core Values Input'!$A56&gt;0,MIN(_xlfn.RANK.EQ('Core Values Input'!$U56,'Core Values Input'!$U$2:$U$201,0),NumberOfTeams),NumberOfTeams+1)</f>
        <v>1</v>
      </c>
      <c r="W56" s="99"/>
      <c r="X56" s="99"/>
      <c r="Y56" s="99"/>
    </row>
    <row r="57" ht="30.0" customHeight="1">
      <c r="A57" s="38" t="str">
        <f t="array" ref="A57">XLOOKUP(56,'Team and Program Information'!$B$3:$B$202,'Team and Program Information'!$C$3:$C$202,"ERROR",0)</f>
        <v/>
      </c>
      <c r="B57" s="68" t="str">
        <f t="array" ref="B57">XLOOKUP('Core Values Input'!$A57,'Team and Program Information'!$C$3:$C$202,'Team and Program Information'!$D$3:$D$202,"",0,)</f>
        <v>#VALUE!</v>
      </c>
      <c r="C57" s="97" t="str">
        <f t="array" ref="C57">XLOOKUP('Core Values Input'!$A57,'Innovation Project Input'!$A$2:$A$201,'Innovation Project Input'!$D$2:$D$201)</f>
        <v>#N/A</v>
      </c>
      <c r="D57" s="97" t="str">
        <f t="array" ref="D57">XLOOKUP('Core Values Input'!$A57,'Innovation Project Input'!$A$2:$A$201,'Innovation Project Input'!$F$2:$F$201)</f>
        <v>#N/A</v>
      </c>
      <c r="E57" s="97" t="str">
        <f t="array" ref="E57">XLOOKUP('Core Values Input'!$A57,'Innovation Project Input'!$A$2:$A$201,'Innovation Project Input'!$G$2:$G$201)</f>
        <v>#N/A</v>
      </c>
      <c r="F57" s="97" t="str">
        <f t="array" ref="F57">XLOOKUP('Core Values Input'!$A57,'Innovation Project Input'!$A$2:$A$201,'Innovation Project Input'!$K$2:$K$201)</f>
        <v>#N/A</v>
      </c>
      <c r="G57" s="97" t="str">
        <f t="array" ref="G57">XLOOKUP('Core Values Input'!$A57,'Innovation Project Input'!$A$2:$A$201,'Innovation Project Input'!$L$2:$L$201)</f>
        <v>#N/A</v>
      </c>
      <c r="H57" s="97" t="str">
        <f t="array" ref="H57">XLOOKUP('Core Values Input'!$A57,'Robot Design Input'!$A$2:$A$201,'Robot Design Input'!$D$2:$D$201)</f>
        <v/>
      </c>
      <c r="I57" s="97" t="str">
        <f t="array" ref="I57">XLOOKUP('Core Values Input'!$A57,'Robot Design Input'!$A$2:$A$201,'Robot Design Input'!$E$2:$E$201)</f>
        <v/>
      </c>
      <c r="J57" s="97" t="str">
        <f t="array" ref="J57">XLOOKUP('Core Values Input'!$A57,'Robot Design Input'!$A$2:$A$201,'Robot Design Input'!$J$2:$J$201)</f>
        <v/>
      </c>
      <c r="K57" s="97" t="str">
        <f t="array" ref="K57">XLOOKUP('Core Values Input'!$A57,'Robot Design Input'!$A$2:$A$201,'Robot Design Input'!$K$2:$K$201)</f>
        <v/>
      </c>
      <c r="L57" s="97" t="str">
        <f t="array" ref="L57">XLOOKUP('Core Values Input'!$A57,'Robot Design Input'!$A$2:$A$201,'Robot Design Input'!$L$2:$L$201)</f>
        <v/>
      </c>
      <c r="M57" s="38"/>
      <c r="N57" s="38"/>
      <c r="O57" s="38"/>
      <c r="P57" s="38"/>
      <c r="Q57" s="38"/>
      <c r="R57" s="38" t="str">
        <f>IF('Core Values Input'!$M57="","",COUNTIF('Core Values Input'!$M57:$Q57,""))</f>
        <v/>
      </c>
      <c r="S57" s="38" t="str">
        <f>IF('Core Values Input'!$M57="","",SUM('Core Values Input'!$M57:$Q57))</f>
        <v/>
      </c>
      <c r="T57" s="38" t="str">
        <f>IF('Core Values Input'!$R57=3,SUM('Core Values Input'!$M57:$Q57),IF('Core Values Input'!$R57=4,SUM('Core Values Input'!$M57:$Q57),IF('Core Values Input'!$R57=2,'Core Values Input'!$S57,IF('Core Values Input'!$R57=1,'Core Values Input'!$S57*0.75,IF('Core Values Input'!$R57=0,'Core Values Input'!$S57*0.6,"")))))</f>
        <v/>
      </c>
      <c r="U57" s="98" t="str">
        <f>SUM('Core Values Input'!$C57:$L57,'Core Values Input'!$T57)</f>
        <v>#N/A</v>
      </c>
      <c r="V57" s="80">
        <f>IF('Core Values Input'!$A57&gt;0,MIN(_xlfn.RANK.EQ('Core Values Input'!$U57,'Core Values Input'!$U$2:$U$201,0),NumberOfTeams),NumberOfTeams+1)</f>
        <v>1</v>
      </c>
      <c r="W57" s="99"/>
      <c r="X57" s="99"/>
      <c r="Y57" s="99"/>
    </row>
    <row r="58" ht="30.0" customHeight="1">
      <c r="A58" s="38" t="str">
        <f t="array" ref="A58">XLOOKUP(57,'Team and Program Information'!$B$3:$B$202,'Team and Program Information'!$C$3:$C$202,"ERROR",0)</f>
        <v/>
      </c>
      <c r="B58" s="68" t="str">
        <f t="array" ref="B58">XLOOKUP('Core Values Input'!$A58,'Team and Program Information'!$C$3:$C$202,'Team and Program Information'!$D$3:$D$202,"",0,)</f>
        <v>#VALUE!</v>
      </c>
      <c r="C58" s="97" t="str">
        <f t="array" ref="C58">XLOOKUP('Core Values Input'!$A58,'Innovation Project Input'!$A$2:$A$201,'Innovation Project Input'!$D$2:$D$201)</f>
        <v>#N/A</v>
      </c>
      <c r="D58" s="97" t="str">
        <f t="array" ref="D58">XLOOKUP('Core Values Input'!$A58,'Innovation Project Input'!$A$2:$A$201,'Innovation Project Input'!$F$2:$F$201)</f>
        <v>#N/A</v>
      </c>
      <c r="E58" s="97" t="str">
        <f t="array" ref="E58">XLOOKUP('Core Values Input'!$A58,'Innovation Project Input'!$A$2:$A$201,'Innovation Project Input'!$G$2:$G$201)</f>
        <v>#N/A</v>
      </c>
      <c r="F58" s="97" t="str">
        <f t="array" ref="F58">XLOOKUP('Core Values Input'!$A58,'Innovation Project Input'!$A$2:$A$201,'Innovation Project Input'!$K$2:$K$201)</f>
        <v>#N/A</v>
      </c>
      <c r="G58" s="97" t="str">
        <f t="array" ref="G58">XLOOKUP('Core Values Input'!$A58,'Innovation Project Input'!$A$2:$A$201,'Innovation Project Input'!$L$2:$L$201)</f>
        <v>#N/A</v>
      </c>
      <c r="H58" s="97" t="str">
        <f t="array" ref="H58">XLOOKUP('Core Values Input'!$A58,'Robot Design Input'!$A$2:$A$201,'Robot Design Input'!$D$2:$D$201)</f>
        <v/>
      </c>
      <c r="I58" s="97" t="str">
        <f t="array" ref="I58">XLOOKUP('Core Values Input'!$A58,'Robot Design Input'!$A$2:$A$201,'Robot Design Input'!$E$2:$E$201)</f>
        <v/>
      </c>
      <c r="J58" s="97" t="str">
        <f t="array" ref="J58">XLOOKUP('Core Values Input'!$A58,'Robot Design Input'!$A$2:$A$201,'Robot Design Input'!$J$2:$J$201)</f>
        <v/>
      </c>
      <c r="K58" s="97" t="str">
        <f t="array" ref="K58">XLOOKUP('Core Values Input'!$A58,'Robot Design Input'!$A$2:$A$201,'Robot Design Input'!$K$2:$K$201)</f>
        <v/>
      </c>
      <c r="L58" s="97" t="str">
        <f t="array" ref="L58">XLOOKUP('Core Values Input'!$A58,'Robot Design Input'!$A$2:$A$201,'Robot Design Input'!$L$2:$L$201)</f>
        <v/>
      </c>
      <c r="M58" s="38"/>
      <c r="N58" s="38"/>
      <c r="O58" s="38"/>
      <c r="P58" s="38"/>
      <c r="Q58" s="38"/>
      <c r="R58" s="38" t="str">
        <f>IF('Core Values Input'!$M58="","",COUNTIF('Core Values Input'!$M58:$Q58,""))</f>
        <v/>
      </c>
      <c r="S58" s="38" t="str">
        <f>IF('Core Values Input'!$M58="","",SUM('Core Values Input'!$M58:$Q58))</f>
        <v/>
      </c>
      <c r="T58" s="38" t="str">
        <f>IF('Core Values Input'!$R58=3,SUM('Core Values Input'!$M58:$Q58),IF('Core Values Input'!$R58=4,SUM('Core Values Input'!$M58:$Q58),IF('Core Values Input'!$R58=2,'Core Values Input'!$S58,IF('Core Values Input'!$R58=1,'Core Values Input'!$S58*0.75,IF('Core Values Input'!$R58=0,'Core Values Input'!$S58*0.6,"")))))</f>
        <v/>
      </c>
      <c r="U58" s="98" t="str">
        <f>SUM('Core Values Input'!$C58:$L58,'Core Values Input'!$T58)</f>
        <v>#N/A</v>
      </c>
      <c r="V58" s="80">
        <f>IF('Core Values Input'!$A58&gt;0,MIN(_xlfn.RANK.EQ('Core Values Input'!$U58,'Core Values Input'!$U$2:$U$201,0),NumberOfTeams),NumberOfTeams+1)</f>
        <v>1</v>
      </c>
      <c r="W58" s="99"/>
      <c r="X58" s="99"/>
      <c r="Y58" s="99"/>
    </row>
    <row r="59" ht="30.0" customHeight="1">
      <c r="A59" s="38" t="str">
        <f t="array" ref="A59">XLOOKUP(58,'Team and Program Information'!$B$3:$B$202,'Team and Program Information'!$C$3:$C$202,"ERROR",0)</f>
        <v/>
      </c>
      <c r="B59" s="68" t="str">
        <f t="array" ref="B59">XLOOKUP('Core Values Input'!$A59,'Team and Program Information'!$C$3:$C$202,'Team and Program Information'!$D$3:$D$202,"",0,)</f>
        <v>#VALUE!</v>
      </c>
      <c r="C59" s="97" t="str">
        <f t="array" ref="C59">XLOOKUP('Core Values Input'!$A59,'Innovation Project Input'!$A$2:$A$201,'Innovation Project Input'!$D$2:$D$201)</f>
        <v>#N/A</v>
      </c>
      <c r="D59" s="97" t="str">
        <f t="array" ref="D59">XLOOKUP('Core Values Input'!$A59,'Innovation Project Input'!$A$2:$A$201,'Innovation Project Input'!$F$2:$F$201)</f>
        <v>#N/A</v>
      </c>
      <c r="E59" s="97" t="str">
        <f t="array" ref="E59">XLOOKUP('Core Values Input'!$A59,'Innovation Project Input'!$A$2:$A$201,'Innovation Project Input'!$G$2:$G$201)</f>
        <v>#N/A</v>
      </c>
      <c r="F59" s="97" t="str">
        <f t="array" ref="F59">XLOOKUP('Core Values Input'!$A59,'Innovation Project Input'!$A$2:$A$201,'Innovation Project Input'!$K$2:$K$201)</f>
        <v>#N/A</v>
      </c>
      <c r="G59" s="97" t="str">
        <f t="array" ref="G59">XLOOKUP('Core Values Input'!$A59,'Innovation Project Input'!$A$2:$A$201,'Innovation Project Input'!$L$2:$L$201)</f>
        <v>#N/A</v>
      </c>
      <c r="H59" s="97" t="str">
        <f t="array" ref="H59">XLOOKUP('Core Values Input'!$A59,'Robot Design Input'!$A$2:$A$201,'Robot Design Input'!$D$2:$D$201)</f>
        <v/>
      </c>
      <c r="I59" s="97" t="str">
        <f t="array" ref="I59">XLOOKUP('Core Values Input'!$A59,'Robot Design Input'!$A$2:$A$201,'Robot Design Input'!$E$2:$E$201)</f>
        <v/>
      </c>
      <c r="J59" s="97" t="str">
        <f t="array" ref="J59">XLOOKUP('Core Values Input'!$A59,'Robot Design Input'!$A$2:$A$201,'Robot Design Input'!$J$2:$J$201)</f>
        <v/>
      </c>
      <c r="K59" s="97" t="str">
        <f t="array" ref="K59">XLOOKUP('Core Values Input'!$A59,'Robot Design Input'!$A$2:$A$201,'Robot Design Input'!$K$2:$K$201)</f>
        <v/>
      </c>
      <c r="L59" s="97" t="str">
        <f t="array" ref="L59">XLOOKUP('Core Values Input'!$A59,'Robot Design Input'!$A$2:$A$201,'Robot Design Input'!$L$2:$L$201)</f>
        <v/>
      </c>
      <c r="M59" s="38"/>
      <c r="N59" s="38"/>
      <c r="O59" s="38"/>
      <c r="P59" s="38"/>
      <c r="Q59" s="38"/>
      <c r="R59" s="38" t="str">
        <f>IF('Core Values Input'!$M59="","",COUNTIF('Core Values Input'!$M59:$Q59,""))</f>
        <v/>
      </c>
      <c r="S59" s="38" t="str">
        <f>IF('Core Values Input'!$M59="","",SUM('Core Values Input'!$M59:$Q59))</f>
        <v/>
      </c>
      <c r="T59" s="38" t="str">
        <f>IF('Core Values Input'!$R59=3,SUM('Core Values Input'!$M59:$Q59),IF('Core Values Input'!$R59=4,SUM('Core Values Input'!$M59:$Q59),IF('Core Values Input'!$R59=2,'Core Values Input'!$S59,IF('Core Values Input'!$R59=1,'Core Values Input'!$S59*0.75,IF('Core Values Input'!$R59=0,'Core Values Input'!$S59*0.6,"")))))</f>
        <v/>
      </c>
      <c r="U59" s="98" t="str">
        <f>SUM('Core Values Input'!$C59:$L59,'Core Values Input'!$T59)</f>
        <v>#N/A</v>
      </c>
      <c r="V59" s="80">
        <f>IF('Core Values Input'!$A59&gt;0,MIN(_xlfn.RANK.EQ('Core Values Input'!$U59,'Core Values Input'!$U$2:$U$201,0),NumberOfTeams),NumberOfTeams+1)</f>
        <v>1</v>
      </c>
      <c r="W59" s="99"/>
      <c r="X59" s="99"/>
      <c r="Y59" s="99"/>
    </row>
    <row r="60" ht="30.0" customHeight="1">
      <c r="A60" s="38" t="str">
        <f t="array" ref="A60">XLOOKUP(59,'Team and Program Information'!$B$3:$B$202,'Team and Program Information'!$C$3:$C$202,"ERROR",0)</f>
        <v/>
      </c>
      <c r="B60" s="68" t="str">
        <f t="array" ref="B60">XLOOKUP('Core Values Input'!$A60,'Team and Program Information'!$C$3:$C$202,'Team and Program Information'!$D$3:$D$202,"",0,)</f>
        <v>#VALUE!</v>
      </c>
      <c r="C60" s="97" t="str">
        <f t="array" ref="C60">XLOOKUP('Core Values Input'!$A60,'Innovation Project Input'!$A$2:$A$201,'Innovation Project Input'!$D$2:$D$201)</f>
        <v>#N/A</v>
      </c>
      <c r="D60" s="97" t="str">
        <f t="array" ref="D60">XLOOKUP('Core Values Input'!$A60,'Innovation Project Input'!$A$2:$A$201,'Innovation Project Input'!$F$2:$F$201)</f>
        <v>#N/A</v>
      </c>
      <c r="E60" s="97" t="str">
        <f t="array" ref="E60">XLOOKUP('Core Values Input'!$A60,'Innovation Project Input'!$A$2:$A$201,'Innovation Project Input'!$G$2:$G$201)</f>
        <v>#N/A</v>
      </c>
      <c r="F60" s="97" t="str">
        <f t="array" ref="F60">XLOOKUP('Core Values Input'!$A60,'Innovation Project Input'!$A$2:$A$201,'Innovation Project Input'!$K$2:$K$201)</f>
        <v>#N/A</v>
      </c>
      <c r="G60" s="97" t="str">
        <f t="array" ref="G60">XLOOKUP('Core Values Input'!$A60,'Innovation Project Input'!$A$2:$A$201,'Innovation Project Input'!$L$2:$L$201)</f>
        <v>#N/A</v>
      </c>
      <c r="H60" s="97" t="str">
        <f t="array" ref="H60">XLOOKUP('Core Values Input'!$A60,'Robot Design Input'!$A$2:$A$201,'Robot Design Input'!$D$2:$D$201)</f>
        <v/>
      </c>
      <c r="I60" s="97" t="str">
        <f t="array" ref="I60">XLOOKUP('Core Values Input'!$A60,'Robot Design Input'!$A$2:$A$201,'Robot Design Input'!$E$2:$E$201)</f>
        <v/>
      </c>
      <c r="J60" s="97" t="str">
        <f t="array" ref="J60">XLOOKUP('Core Values Input'!$A60,'Robot Design Input'!$A$2:$A$201,'Robot Design Input'!$J$2:$J$201)</f>
        <v/>
      </c>
      <c r="K60" s="97" t="str">
        <f t="array" ref="K60">XLOOKUP('Core Values Input'!$A60,'Robot Design Input'!$A$2:$A$201,'Robot Design Input'!$K$2:$K$201)</f>
        <v/>
      </c>
      <c r="L60" s="97" t="str">
        <f t="array" ref="L60">XLOOKUP('Core Values Input'!$A60,'Robot Design Input'!$A$2:$A$201,'Robot Design Input'!$L$2:$L$201)</f>
        <v/>
      </c>
      <c r="M60" s="38"/>
      <c r="N60" s="38"/>
      <c r="O60" s="38"/>
      <c r="P60" s="38"/>
      <c r="Q60" s="38"/>
      <c r="R60" s="38" t="str">
        <f>IF('Core Values Input'!$M60="","",COUNTIF('Core Values Input'!$M60:$Q60,""))</f>
        <v/>
      </c>
      <c r="S60" s="38" t="str">
        <f>IF('Core Values Input'!$M60="","",SUM('Core Values Input'!$M60:$Q60))</f>
        <v/>
      </c>
      <c r="T60" s="38" t="str">
        <f>IF('Core Values Input'!$R60=3,SUM('Core Values Input'!$M60:$Q60),IF('Core Values Input'!$R60=4,SUM('Core Values Input'!$M60:$Q60),IF('Core Values Input'!$R60=2,'Core Values Input'!$S60,IF('Core Values Input'!$R60=1,'Core Values Input'!$S60*0.75,IF('Core Values Input'!$R60=0,'Core Values Input'!$S60*0.6,"")))))</f>
        <v/>
      </c>
      <c r="U60" s="98" t="str">
        <f>SUM('Core Values Input'!$C60:$L60,'Core Values Input'!$T60)</f>
        <v>#N/A</v>
      </c>
      <c r="V60" s="80">
        <f>IF('Core Values Input'!$A60&gt;0,MIN(_xlfn.RANK.EQ('Core Values Input'!$U60,'Core Values Input'!$U$2:$U$201,0),NumberOfTeams),NumberOfTeams+1)</f>
        <v>1</v>
      </c>
      <c r="W60" s="99"/>
      <c r="X60" s="99"/>
      <c r="Y60" s="99"/>
    </row>
    <row r="61" ht="30.0" customHeight="1">
      <c r="A61" s="38" t="str">
        <f t="array" ref="A61">XLOOKUP(60,'Team and Program Information'!$B$3:$B$202,'Team and Program Information'!$C$3:$C$202,"ERROR",0)</f>
        <v/>
      </c>
      <c r="B61" s="68" t="str">
        <f t="array" ref="B61">XLOOKUP('Core Values Input'!$A61,'Team and Program Information'!$C$3:$C$202,'Team and Program Information'!$D$3:$D$202,"",0,)</f>
        <v>#VALUE!</v>
      </c>
      <c r="C61" s="97" t="str">
        <f t="array" ref="C61">XLOOKUP('Core Values Input'!$A61,'Innovation Project Input'!$A$2:$A$201,'Innovation Project Input'!$D$2:$D$201)</f>
        <v>#N/A</v>
      </c>
      <c r="D61" s="97" t="str">
        <f t="array" ref="D61">XLOOKUP('Core Values Input'!$A61,'Innovation Project Input'!$A$2:$A$201,'Innovation Project Input'!$F$2:$F$201)</f>
        <v>#N/A</v>
      </c>
      <c r="E61" s="97" t="str">
        <f t="array" ref="E61">XLOOKUP('Core Values Input'!$A61,'Innovation Project Input'!$A$2:$A$201,'Innovation Project Input'!$G$2:$G$201)</f>
        <v>#N/A</v>
      </c>
      <c r="F61" s="97" t="str">
        <f t="array" ref="F61">XLOOKUP('Core Values Input'!$A61,'Innovation Project Input'!$A$2:$A$201,'Innovation Project Input'!$K$2:$K$201)</f>
        <v>#N/A</v>
      </c>
      <c r="G61" s="97" t="str">
        <f t="array" ref="G61">XLOOKUP('Core Values Input'!$A61,'Innovation Project Input'!$A$2:$A$201,'Innovation Project Input'!$L$2:$L$201)</f>
        <v>#N/A</v>
      </c>
      <c r="H61" s="97" t="str">
        <f t="array" ref="H61">XLOOKUP('Core Values Input'!$A61,'Robot Design Input'!$A$2:$A$201,'Robot Design Input'!$D$2:$D$201)</f>
        <v/>
      </c>
      <c r="I61" s="97" t="str">
        <f t="array" ref="I61">XLOOKUP('Core Values Input'!$A61,'Robot Design Input'!$A$2:$A$201,'Robot Design Input'!$E$2:$E$201)</f>
        <v/>
      </c>
      <c r="J61" s="97" t="str">
        <f t="array" ref="J61">XLOOKUP('Core Values Input'!$A61,'Robot Design Input'!$A$2:$A$201,'Robot Design Input'!$J$2:$J$201)</f>
        <v/>
      </c>
      <c r="K61" s="97" t="str">
        <f t="array" ref="K61">XLOOKUP('Core Values Input'!$A61,'Robot Design Input'!$A$2:$A$201,'Robot Design Input'!$K$2:$K$201)</f>
        <v/>
      </c>
      <c r="L61" s="97" t="str">
        <f t="array" ref="L61">XLOOKUP('Core Values Input'!$A61,'Robot Design Input'!$A$2:$A$201,'Robot Design Input'!$L$2:$L$201)</f>
        <v/>
      </c>
      <c r="M61" s="38"/>
      <c r="N61" s="38"/>
      <c r="O61" s="38"/>
      <c r="P61" s="38"/>
      <c r="Q61" s="38"/>
      <c r="R61" s="38" t="str">
        <f>IF('Core Values Input'!$M61="","",COUNTIF('Core Values Input'!$M61:$Q61,""))</f>
        <v/>
      </c>
      <c r="S61" s="38" t="str">
        <f>IF('Core Values Input'!$M61="","",SUM('Core Values Input'!$M61:$Q61))</f>
        <v/>
      </c>
      <c r="T61" s="38" t="str">
        <f>IF('Core Values Input'!$R61=3,SUM('Core Values Input'!$M61:$Q61),IF('Core Values Input'!$R61=4,SUM('Core Values Input'!$M61:$Q61),IF('Core Values Input'!$R61=2,'Core Values Input'!$S61,IF('Core Values Input'!$R61=1,'Core Values Input'!$S61*0.75,IF('Core Values Input'!$R61=0,'Core Values Input'!$S61*0.6,"")))))</f>
        <v/>
      </c>
      <c r="U61" s="98" t="str">
        <f>SUM('Core Values Input'!$C61:$L61,'Core Values Input'!$T61)</f>
        <v>#N/A</v>
      </c>
      <c r="V61" s="80">
        <f>IF('Core Values Input'!$A61&gt;0,MIN(_xlfn.RANK.EQ('Core Values Input'!$U61,'Core Values Input'!$U$2:$U$201,0),NumberOfTeams),NumberOfTeams+1)</f>
        <v>1</v>
      </c>
      <c r="W61" s="99"/>
      <c r="X61" s="99"/>
      <c r="Y61" s="99"/>
    </row>
    <row r="62" ht="30.0" customHeight="1">
      <c r="A62" s="38" t="str">
        <f t="array" ref="A62">XLOOKUP(61,'Team and Program Information'!$B$3:$B$202,'Team and Program Information'!$C$3:$C$202,"ERROR",0)</f>
        <v/>
      </c>
      <c r="B62" s="68" t="str">
        <f t="array" ref="B62">XLOOKUP('Core Values Input'!$A62,'Team and Program Information'!$C$3:$C$202,'Team and Program Information'!$D$3:$D$202,"",0,)</f>
        <v>#VALUE!</v>
      </c>
      <c r="C62" s="97" t="str">
        <f t="array" ref="C62">XLOOKUP('Core Values Input'!$A62,'Innovation Project Input'!$A$2:$A$201,'Innovation Project Input'!$D$2:$D$201)</f>
        <v>#N/A</v>
      </c>
      <c r="D62" s="97" t="str">
        <f t="array" ref="D62">XLOOKUP('Core Values Input'!$A62,'Innovation Project Input'!$A$2:$A$201,'Innovation Project Input'!$F$2:$F$201)</f>
        <v>#N/A</v>
      </c>
      <c r="E62" s="97" t="str">
        <f t="array" ref="E62">XLOOKUP('Core Values Input'!$A62,'Innovation Project Input'!$A$2:$A$201,'Innovation Project Input'!$G$2:$G$201)</f>
        <v>#N/A</v>
      </c>
      <c r="F62" s="97" t="str">
        <f t="array" ref="F62">XLOOKUP('Core Values Input'!$A62,'Innovation Project Input'!$A$2:$A$201,'Innovation Project Input'!$K$2:$K$201)</f>
        <v>#N/A</v>
      </c>
      <c r="G62" s="97" t="str">
        <f t="array" ref="G62">XLOOKUP('Core Values Input'!$A62,'Innovation Project Input'!$A$2:$A$201,'Innovation Project Input'!$L$2:$L$201)</f>
        <v>#N/A</v>
      </c>
      <c r="H62" s="97" t="str">
        <f t="array" ref="H62">XLOOKUP('Core Values Input'!$A62,'Robot Design Input'!$A$2:$A$201,'Robot Design Input'!$D$2:$D$201)</f>
        <v/>
      </c>
      <c r="I62" s="97" t="str">
        <f t="array" ref="I62">XLOOKUP('Core Values Input'!$A62,'Robot Design Input'!$A$2:$A$201,'Robot Design Input'!$E$2:$E$201)</f>
        <v/>
      </c>
      <c r="J62" s="97" t="str">
        <f t="array" ref="J62">XLOOKUP('Core Values Input'!$A62,'Robot Design Input'!$A$2:$A$201,'Robot Design Input'!$J$2:$J$201)</f>
        <v/>
      </c>
      <c r="K62" s="97" t="str">
        <f t="array" ref="K62">XLOOKUP('Core Values Input'!$A62,'Robot Design Input'!$A$2:$A$201,'Robot Design Input'!$K$2:$K$201)</f>
        <v/>
      </c>
      <c r="L62" s="97" t="str">
        <f t="array" ref="L62">XLOOKUP('Core Values Input'!$A62,'Robot Design Input'!$A$2:$A$201,'Robot Design Input'!$L$2:$L$201)</f>
        <v/>
      </c>
      <c r="M62" s="38"/>
      <c r="N62" s="38"/>
      <c r="O62" s="38"/>
      <c r="P62" s="38"/>
      <c r="Q62" s="38"/>
      <c r="R62" s="38" t="str">
        <f>IF('Core Values Input'!$M62="","",COUNTIF('Core Values Input'!$M62:$Q62,""))</f>
        <v/>
      </c>
      <c r="S62" s="38" t="str">
        <f>IF('Core Values Input'!$M62="","",SUM('Core Values Input'!$M62:$Q62))</f>
        <v/>
      </c>
      <c r="T62" s="38" t="str">
        <f>IF('Core Values Input'!$R62=3,SUM('Core Values Input'!$M62:$Q62),IF('Core Values Input'!$R62=4,SUM('Core Values Input'!$M62:$Q62),IF('Core Values Input'!$R62=2,'Core Values Input'!$S62,IF('Core Values Input'!$R62=1,'Core Values Input'!$S62*0.75,IF('Core Values Input'!$R62=0,'Core Values Input'!$S62*0.6,"")))))</f>
        <v/>
      </c>
      <c r="U62" s="98" t="str">
        <f>SUM('Core Values Input'!$C62:$L62,'Core Values Input'!$T62)</f>
        <v>#N/A</v>
      </c>
      <c r="V62" s="80">
        <f>IF('Core Values Input'!$A62&gt;0,MIN(_xlfn.RANK.EQ('Core Values Input'!$U62,'Core Values Input'!$U$2:$U$201,0),NumberOfTeams),NumberOfTeams+1)</f>
        <v>1</v>
      </c>
      <c r="W62" s="99"/>
      <c r="X62" s="99"/>
      <c r="Y62" s="99"/>
    </row>
    <row r="63" ht="30.0" customHeight="1">
      <c r="A63" s="38" t="str">
        <f t="array" ref="A63">XLOOKUP(62,'Team and Program Information'!$B$3:$B$202,'Team and Program Information'!$C$3:$C$202,"ERROR",0)</f>
        <v/>
      </c>
      <c r="B63" s="68" t="str">
        <f t="array" ref="B63">XLOOKUP('Core Values Input'!$A63,'Team and Program Information'!$C$3:$C$202,'Team and Program Information'!$D$3:$D$202,"",0,)</f>
        <v>#VALUE!</v>
      </c>
      <c r="C63" s="97" t="str">
        <f t="array" ref="C63">XLOOKUP('Core Values Input'!$A63,'Innovation Project Input'!$A$2:$A$201,'Innovation Project Input'!$D$2:$D$201)</f>
        <v>#N/A</v>
      </c>
      <c r="D63" s="97" t="str">
        <f t="array" ref="D63">XLOOKUP('Core Values Input'!$A63,'Innovation Project Input'!$A$2:$A$201,'Innovation Project Input'!$F$2:$F$201)</f>
        <v>#N/A</v>
      </c>
      <c r="E63" s="97" t="str">
        <f t="array" ref="E63">XLOOKUP('Core Values Input'!$A63,'Innovation Project Input'!$A$2:$A$201,'Innovation Project Input'!$G$2:$G$201)</f>
        <v>#N/A</v>
      </c>
      <c r="F63" s="97" t="str">
        <f t="array" ref="F63">XLOOKUP('Core Values Input'!$A63,'Innovation Project Input'!$A$2:$A$201,'Innovation Project Input'!$K$2:$K$201)</f>
        <v>#N/A</v>
      </c>
      <c r="G63" s="97" t="str">
        <f t="array" ref="G63">XLOOKUP('Core Values Input'!$A63,'Innovation Project Input'!$A$2:$A$201,'Innovation Project Input'!$L$2:$L$201)</f>
        <v>#N/A</v>
      </c>
      <c r="H63" s="97" t="str">
        <f t="array" ref="H63">XLOOKUP('Core Values Input'!$A63,'Robot Design Input'!$A$2:$A$201,'Robot Design Input'!$D$2:$D$201)</f>
        <v/>
      </c>
      <c r="I63" s="97" t="str">
        <f t="array" ref="I63">XLOOKUP('Core Values Input'!$A63,'Robot Design Input'!$A$2:$A$201,'Robot Design Input'!$E$2:$E$201)</f>
        <v/>
      </c>
      <c r="J63" s="97" t="str">
        <f t="array" ref="J63">XLOOKUP('Core Values Input'!$A63,'Robot Design Input'!$A$2:$A$201,'Robot Design Input'!$J$2:$J$201)</f>
        <v/>
      </c>
      <c r="K63" s="97" t="str">
        <f t="array" ref="K63">XLOOKUP('Core Values Input'!$A63,'Robot Design Input'!$A$2:$A$201,'Robot Design Input'!$K$2:$K$201)</f>
        <v/>
      </c>
      <c r="L63" s="97" t="str">
        <f t="array" ref="L63">XLOOKUP('Core Values Input'!$A63,'Robot Design Input'!$A$2:$A$201,'Robot Design Input'!$L$2:$L$201)</f>
        <v/>
      </c>
      <c r="M63" s="38"/>
      <c r="N63" s="38"/>
      <c r="O63" s="38"/>
      <c r="P63" s="38"/>
      <c r="Q63" s="38"/>
      <c r="R63" s="38" t="str">
        <f>IF('Core Values Input'!$M63="","",COUNTIF('Core Values Input'!$M63:$Q63,""))</f>
        <v/>
      </c>
      <c r="S63" s="38" t="str">
        <f>IF('Core Values Input'!$M63="","",SUM('Core Values Input'!$M63:$Q63))</f>
        <v/>
      </c>
      <c r="T63" s="38" t="str">
        <f>IF('Core Values Input'!$R63=3,SUM('Core Values Input'!$M63:$Q63),IF('Core Values Input'!$R63=4,SUM('Core Values Input'!$M63:$Q63),IF('Core Values Input'!$R63=2,'Core Values Input'!$S63,IF('Core Values Input'!$R63=1,'Core Values Input'!$S63*0.75,IF('Core Values Input'!$R63=0,'Core Values Input'!$S63*0.6,"")))))</f>
        <v/>
      </c>
      <c r="U63" s="98" t="str">
        <f>SUM('Core Values Input'!$C63:$L63,'Core Values Input'!$T63)</f>
        <v>#N/A</v>
      </c>
      <c r="V63" s="80">
        <f>IF('Core Values Input'!$A63&gt;0,MIN(_xlfn.RANK.EQ('Core Values Input'!$U63,'Core Values Input'!$U$2:$U$201,0),NumberOfTeams),NumberOfTeams+1)</f>
        <v>1</v>
      </c>
      <c r="W63" s="99"/>
      <c r="X63" s="99"/>
      <c r="Y63" s="99"/>
    </row>
    <row r="64" ht="30.0" customHeight="1">
      <c r="A64" s="38" t="str">
        <f t="array" ref="A64">XLOOKUP(63,'Team and Program Information'!$B$3:$B$202,'Team and Program Information'!$C$3:$C$202,"ERROR",0)</f>
        <v/>
      </c>
      <c r="B64" s="68" t="str">
        <f t="array" ref="B64">XLOOKUP('Core Values Input'!$A64,'Team and Program Information'!$C$3:$C$202,'Team and Program Information'!$D$3:$D$202,"",0,)</f>
        <v>#VALUE!</v>
      </c>
      <c r="C64" s="97" t="str">
        <f t="array" ref="C64">XLOOKUP('Core Values Input'!$A64,'Innovation Project Input'!$A$2:$A$201,'Innovation Project Input'!$D$2:$D$201)</f>
        <v>#N/A</v>
      </c>
      <c r="D64" s="97" t="str">
        <f t="array" ref="D64">XLOOKUP('Core Values Input'!$A64,'Innovation Project Input'!$A$2:$A$201,'Innovation Project Input'!$F$2:$F$201)</f>
        <v>#N/A</v>
      </c>
      <c r="E64" s="97" t="str">
        <f t="array" ref="E64">XLOOKUP('Core Values Input'!$A64,'Innovation Project Input'!$A$2:$A$201,'Innovation Project Input'!$G$2:$G$201)</f>
        <v>#N/A</v>
      </c>
      <c r="F64" s="97" t="str">
        <f t="array" ref="F64">XLOOKUP('Core Values Input'!$A64,'Innovation Project Input'!$A$2:$A$201,'Innovation Project Input'!$K$2:$K$201)</f>
        <v>#N/A</v>
      </c>
      <c r="G64" s="97" t="str">
        <f t="array" ref="G64">XLOOKUP('Core Values Input'!$A64,'Innovation Project Input'!$A$2:$A$201,'Innovation Project Input'!$L$2:$L$201)</f>
        <v>#N/A</v>
      </c>
      <c r="H64" s="97" t="str">
        <f t="array" ref="H64">XLOOKUP('Core Values Input'!$A64,'Robot Design Input'!$A$2:$A$201,'Robot Design Input'!$D$2:$D$201)</f>
        <v/>
      </c>
      <c r="I64" s="97" t="str">
        <f t="array" ref="I64">XLOOKUP('Core Values Input'!$A64,'Robot Design Input'!$A$2:$A$201,'Robot Design Input'!$E$2:$E$201)</f>
        <v/>
      </c>
      <c r="J64" s="97" t="str">
        <f t="array" ref="J64">XLOOKUP('Core Values Input'!$A64,'Robot Design Input'!$A$2:$A$201,'Robot Design Input'!$J$2:$J$201)</f>
        <v/>
      </c>
      <c r="K64" s="97" t="str">
        <f t="array" ref="K64">XLOOKUP('Core Values Input'!$A64,'Robot Design Input'!$A$2:$A$201,'Robot Design Input'!$K$2:$K$201)</f>
        <v/>
      </c>
      <c r="L64" s="97" t="str">
        <f t="array" ref="L64">XLOOKUP('Core Values Input'!$A64,'Robot Design Input'!$A$2:$A$201,'Robot Design Input'!$L$2:$L$201)</f>
        <v/>
      </c>
      <c r="M64" s="38"/>
      <c r="N64" s="38"/>
      <c r="O64" s="38"/>
      <c r="P64" s="38"/>
      <c r="Q64" s="38"/>
      <c r="R64" s="38" t="str">
        <f>IF('Core Values Input'!$M64="","",COUNTIF('Core Values Input'!$M64:$Q64,""))</f>
        <v/>
      </c>
      <c r="S64" s="38" t="str">
        <f>IF('Core Values Input'!$M64="","",SUM('Core Values Input'!$M64:$Q64))</f>
        <v/>
      </c>
      <c r="T64" s="38" t="str">
        <f>IF('Core Values Input'!$R64=3,SUM('Core Values Input'!$M64:$Q64),IF('Core Values Input'!$R64=4,SUM('Core Values Input'!$M64:$Q64),IF('Core Values Input'!$R64=2,'Core Values Input'!$S64,IF('Core Values Input'!$R64=1,'Core Values Input'!$S64*0.75,IF('Core Values Input'!$R64=0,'Core Values Input'!$S64*0.6,"")))))</f>
        <v/>
      </c>
      <c r="U64" s="98" t="str">
        <f>SUM('Core Values Input'!$C64:$L64,'Core Values Input'!$T64)</f>
        <v>#N/A</v>
      </c>
      <c r="V64" s="80">
        <f>IF('Core Values Input'!$A64&gt;0,MIN(_xlfn.RANK.EQ('Core Values Input'!$U64,'Core Values Input'!$U$2:$U$201,0),NumberOfTeams),NumberOfTeams+1)</f>
        <v>1</v>
      </c>
      <c r="W64" s="99"/>
      <c r="X64" s="99"/>
      <c r="Y64" s="99"/>
    </row>
    <row r="65" ht="30.0" customHeight="1">
      <c r="A65" s="38" t="str">
        <f t="array" ref="A65">XLOOKUP(64,'Team and Program Information'!$B$3:$B$202,'Team and Program Information'!$C$3:$C$202,"ERROR",0)</f>
        <v/>
      </c>
      <c r="B65" s="68" t="str">
        <f t="array" ref="B65">XLOOKUP('Core Values Input'!$A65,'Team and Program Information'!$C$3:$C$202,'Team and Program Information'!$D$3:$D$202,"",0,)</f>
        <v>#VALUE!</v>
      </c>
      <c r="C65" s="97" t="str">
        <f t="array" ref="C65">XLOOKUP('Core Values Input'!$A65,'Innovation Project Input'!$A$2:$A$201,'Innovation Project Input'!$D$2:$D$201)</f>
        <v>#N/A</v>
      </c>
      <c r="D65" s="97" t="str">
        <f t="array" ref="D65">XLOOKUP('Core Values Input'!$A65,'Innovation Project Input'!$A$2:$A$201,'Innovation Project Input'!$F$2:$F$201)</f>
        <v>#N/A</v>
      </c>
      <c r="E65" s="97" t="str">
        <f t="array" ref="E65">XLOOKUP('Core Values Input'!$A65,'Innovation Project Input'!$A$2:$A$201,'Innovation Project Input'!$G$2:$G$201)</f>
        <v>#N/A</v>
      </c>
      <c r="F65" s="97" t="str">
        <f t="array" ref="F65">XLOOKUP('Core Values Input'!$A65,'Innovation Project Input'!$A$2:$A$201,'Innovation Project Input'!$K$2:$K$201)</f>
        <v>#N/A</v>
      </c>
      <c r="G65" s="97" t="str">
        <f t="array" ref="G65">XLOOKUP('Core Values Input'!$A65,'Innovation Project Input'!$A$2:$A$201,'Innovation Project Input'!$L$2:$L$201)</f>
        <v>#N/A</v>
      </c>
      <c r="H65" s="97" t="str">
        <f t="array" ref="H65">XLOOKUP('Core Values Input'!$A65,'Robot Design Input'!$A$2:$A$201,'Robot Design Input'!$D$2:$D$201)</f>
        <v/>
      </c>
      <c r="I65" s="97" t="str">
        <f t="array" ref="I65">XLOOKUP('Core Values Input'!$A65,'Robot Design Input'!$A$2:$A$201,'Robot Design Input'!$E$2:$E$201)</f>
        <v/>
      </c>
      <c r="J65" s="97" t="str">
        <f t="array" ref="J65">XLOOKUP('Core Values Input'!$A65,'Robot Design Input'!$A$2:$A$201,'Robot Design Input'!$J$2:$J$201)</f>
        <v/>
      </c>
      <c r="K65" s="97" t="str">
        <f t="array" ref="K65">XLOOKUP('Core Values Input'!$A65,'Robot Design Input'!$A$2:$A$201,'Robot Design Input'!$K$2:$K$201)</f>
        <v/>
      </c>
      <c r="L65" s="97" t="str">
        <f t="array" ref="L65">XLOOKUP('Core Values Input'!$A65,'Robot Design Input'!$A$2:$A$201,'Robot Design Input'!$L$2:$L$201)</f>
        <v/>
      </c>
      <c r="M65" s="38"/>
      <c r="N65" s="38"/>
      <c r="O65" s="38"/>
      <c r="P65" s="38"/>
      <c r="Q65" s="38"/>
      <c r="R65" s="38" t="str">
        <f>IF('Core Values Input'!$M65="","",COUNTIF('Core Values Input'!$M65:$Q65,""))</f>
        <v/>
      </c>
      <c r="S65" s="38" t="str">
        <f>IF('Core Values Input'!$M65="","",SUM('Core Values Input'!$M65:$Q65))</f>
        <v/>
      </c>
      <c r="T65" s="38" t="str">
        <f>IF('Core Values Input'!$R65=3,SUM('Core Values Input'!$M65:$Q65),IF('Core Values Input'!$R65=4,SUM('Core Values Input'!$M65:$Q65),IF('Core Values Input'!$R65=2,'Core Values Input'!$S65,IF('Core Values Input'!$R65=1,'Core Values Input'!$S65*0.75,IF('Core Values Input'!$R65=0,'Core Values Input'!$S65*0.6,"")))))</f>
        <v/>
      </c>
      <c r="U65" s="98" t="str">
        <f>SUM('Core Values Input'!$C65:$L65,'Core Values Input'!$T65)</f>
        <v>#N/A</v>
      </c>
      <c r="V65" s="80">
        <f>IF('Core Values Input'!$A65&gt;0,MIN(_xlfn.RANK.EQ('Core Values Input'!$U65,'Core Values Input'!$U$2:$U$201,0),NumberOfTeams),NumberOfTeams+1)</f>
        <v>1</v>
      </c>
      <c r="W65" s="99"/>
      <c r="X65" s="99"/>
      <c r="Y65" s="99"/>
    </row>
    <row r="66" ht="30.0" customHeight="1">
      <c r="A66" s="38" t="str">
        <f t="array" ref="A66">XLOOKUP(65,'Team and Program Information'!$B$3:$B$202,'Team and Program Information'!$C$3:$C$202,"ERROR",0)</f>
        <v/>
      </c>
      <c r="B66" s="68" t="str">
        <f t="array" ref="B66">XLOOKUP('Core Values Input'!$A66,'Team and Program Information'!$C$3:$C$202,'Team and Program Information'!$D$3:$D$202,"",0,)</f>
        <v>#VALUE!</v>
      </c>
      <c r="C66" s="97" t="str">
        <f t="array" ref="C66">XLOOKUP('Core Values Input'!$A66,'Innovation Project Input'!$A$2:$A$201,'Innovation Project Input'!$D$2:$D$201)</f>
        <v>#N/A</v>
      </c>
      <c r="D66" s="97" t="str">
        <f t="array" ref="D66">XLOOKUP('Core Values Input'!$A66,'Innovation Project Input'!$A$2:$A$201,'Innovation Project Input'!$F$2:$F$201)</f>
        <v>#N/A</v>
      </c>
      <c r="E66" s="97" t="str">
        <f t="array" ref="E66">XLOOKUP('Core Values Input'!$A66,'Innovation Project Input'!$A$2:$A$201,'Innovation Project Input'!$G$2:$G$201)</f>
        <v>#N/A</v>
      </c>
      <c r="F66" s="97" t="str">
        <f t="array" ref="F66">XLOOKUP('Core Values Input'!$A66,'Innovation Project Input'!$A$2:$A$201,'Innovation Project Input'!$K$2:$K$201)</f>
        <v>#N/A</v>
      </c>
      <c r="G66" s="97" t="str">
        <f t="array" ref="G66">XLOOKUP('Core Values Input'!$A66,'Innovation Project Input'!$A$2:$A$201,'Innovation Project Input'!$L$2:$L$201)</f>
        <v>#N/A</v>
      </c>
      <c r="H66" s="97" t="str">
        <f t="array" ref="H66">XLOOKUP('Core Values Input'!$A66,'Robot Design Input'!$A$2:$A$201,'Robot Design Input'!$D$2:$D$201)</f>
        <v/>
      </c>
      <c r="I66" s="97" t="str">
        <f t="array" ref="I66">XLOOKUP('Core Values Input'!$A66,'Robot Design Input'!$A$2:$A$201,'Robot Design Input'!$E$2:$E$201)</f>
        <v/>
      </c>
      <c r="J66" s="97" t="str">
        <f t="array" ref="J66">XLOOKUP('Core Values Input'!$A66,'Robot Design Input'!$A$2:$A$201,'Robot Design Input'!$J$2:$J$201)</f>
        <v/>
      </c>
      <c r="K66" s="97" t="str">
        <f t="array" ref="K66">XLOOKUP('Core Values Input'!$A66,'Robot Design Input'!$A$2:$A$201,'Robot Design Input'!$K$2:$K$201)</f>
        <v/>
      </c>
      <c r="L66" s="97" t="str">
        <f t="array" ref="L66">XLOOKUP('Core Values Input'!$A66,'Robot Design Input'!$A$2:$A$201,'Robot Design Input'!$L$2:$L$201)</f>
        <v/>
      </c>
      <c r="M66" s="38"/>
      <c r="N66" s="38"/>
      <c r="O66" s="38"/>
      <c r="P66" s="38"/>
      <c r="Q66" s="38"/>
      <c r="R66" s="38" t="str">
        <f>IF('Core Values Input'!$M66="","",COUNTIF('Core Values Input'!$M66:$Q66,""))</f>
        <v/>
      </c>
      <c r="S66" s="38" t="str">
        <f>IF('Core Values Input'!$M66="","",SUM('Core Values Input'!$M66:$Q66))</f>
        <v/>
      </c>
      <c r="T66" s="38" t="str">
        <f>IF('Core Values Input'!$R66=3,SUM('Core Values Input'!$M66:$Q66),IF('Core Values Input'!$R66=4,SUM('Core Values Input'!$M66:$Q66),IF('Core Values Input'!$R66=2,'Core Values Input'!$S66,IF('Core Values Input'!$R66=1,'Core Values Input'!$S66*0.75,IF('Core Values Input'!$R66=0,'Core Values Input'!$S66*0.6,"")))))</f>
        <v/>
      </c>
      <c r="U66" s="98" t="str">
        <f>SUM('Core Values Input'!$C66:$L66,'Core Values Input'!$T66)</f>
        <v>#N/A</v>
      </c>
      <c r="V66" s="80">
        <f>IF('Core Values Input'!$A66&gt;0,MIN(_xlfn.RANK.EQ('Core Values Input'!$U66,'Core Values Input'!$U$2:$U$201,0),NumberOfTeams),NumberOfTeams+1)</f>
        <v>1</v>
      </c>
      <c r="W66" s="99"/>
      <c r="X66" s="99"/>
      <c r="Y66" s="99"/>
    </row>
    <row r="67" ht="30.0" customHeight="1">
      <c r="A67" s="38" t="str">
        <f t="array" ref="A67">XLOOKUP(66,'Team and Program Information'!$B$3:$B$202,'Team and Program Information'!$C$3:$C$202,"ERROR",0)</f>
        <v/>
      </c>
      <c r="B67" s="68" t="str">
        <f t="array" ref="B67">XLOOKUP('Core Values Input'!$A67,'Team and Program Information'!$C$3:$C$202,'Team and Program Information'!$D$3:$D$202,"",0,)</f>
        <v>#VALUE!</v>
      </c>
      <c r="C67" s="97" t="str">
        <f t="array" ref="C67">XLOOKUP('Core Values Input'!$A67,'Innovation Project Input'!$A$2:$A$201,'Innovation Project Input'!$D$2:$D$201)</f>
        <v>#N/A</v>
      </c>
      <c r="D67" s="97" t="str">
        <f t="array" ref="D67">XLOOKUP('Core Values Input'!$A67,'Innovation Project Input'!$A$2:$A$201,'Innovation Project Input'!$F$2:$F$201)</f>
        <v>#N/A</v>
      </c>
      <c r="E67" s="97" t="str">
        <f t="array" ref="E67">XLOOKUP('Core Values Input'!$A67,'Innovation Project Input'!$A$2:$A$201,'Innovation Project Input'!$G$2:$G$201)</f>
        <v>#N/A</v>
      </c>
      <c r="F67" s="97" t="str">
        <f t="array" ref="F67">XLOOKUP('Core Values Input'!$A67,'Innovation Project Input'!$A$2:$A$201,'Innovation Project Input'!$K$2:$K$201)</f>
        <v>#N/A</v>
      </c>
      <c r="G67" s="97" t="str">
        <f t="array" ref="G67">XLOOKUP('Core Values Input'!$A67,'Innovation Project Input'!$A$2:$A$201,'Innovation Project Input'!$L$2:$L$201)</f>
        <v>#N/A</v>
      </c>
      <c r="H67" s="97" t="str">
        <f t="array" ref="H67">XLOOKUP('Core Values Input'!$A67,'Robot Design Input'!$A$2:$A$201,'Robot Design Input'!$D$2:$D$201)</f>
        <v/>
      </c>
      <c r="I67" s="97" t="str">
        <f t="array" ref="I67">XLOOKUP('Core Values Input'!$A67,'Robot Design Input'!$A$2:$A$201,'Robot Design Input'!$E$2:$E$201)</f>
        <v/>
      </c>
      <c r="J67" s="97" t="str">
        <f t="array" ref="J67">XLOOKUP('Core Values Input'!$A67,'Robot Design Input'!$A$2:$A$201,'Robot Design Input'!$J$2:$J$201)</f>
        <v/>
      </c>
      <c r="K67" s="97" t="str">
        <f t="array" ref="K67">XLOOKUP('Core Values Input'!$A67,'Robot Design Input'!$A$2:$A$201,'Robot Design Input'!$K$2:$K$201)</f>
        <v/>
      </c>
      <c r="L67" s="97" t="str">
        <f t="array" ref="L67">XLOOKUP('Core Values Input'!$A67,'Robot Design Input'!$A$2:$A$201,'Robot Design Input'!$L$2:$L$201)</f>
        <v/>
      </c>
      <c r="M67" s="38"/>
      <c r="N67" s="38"/>
      <c r="O67" s="38"/>
      <c r="P67" s="38"/>
      <c r="Q67" s="38"/>
      <c r="R67" s="38" t="str">
        <f>IF('Core Values Input'!$M67="","",COUNTIF('Core Values Input'!$M67:$Q67,""))</f>
        <v/>
      </c>
      <c r="S67" s="38" t="str">
        <f>IF('Core Values Input'!$M67="","",SUM('Core Values Input'!$M67:$Q67))</f>
        <v/>
      </c>
      <c r="T67" s="38" t="str">
        <f>IF('Core Values Input'!$R67=3,SUM('Core Values Input'!$M67:$Q67),IF('Core Values Input'!$R67=4,SUM('Core Values Input'!$M67:$Q67),IF('Core Values Input'!$R67=2,'Core Values Input'!$S67,IF('Core Values Input'!$R67=1,'Core Values Input'!$S67*0.75,IF('Core Values Input'!$R67=0,'Core Values Input'!$S67*0.6,"")))))</f>
        <v/>
      </c>
      <c r="U67" s="98" t="str">
        <f>SUM('Core Values Input'!$C67:$L67,'Core Values Input'!$T67)</f>
        <v>#N/A</v>
      </c>
      <c r="V67" s="80">
        <f>IF('Core Values Input'!$A67&gt;0,MIN(_xlfn.RANK.EQ('Core Values Input'!$U67,'Core Values Input'!$U$2:$U$201,0),NumberOfTeams),NumberOfTeams+1)</f>
        <v>1</v>
      </c>
      <c r="W67" s="99"/>
      <c r="X67" s="99"/>
      <c r="Y67" s="99"/>
    </row>
    <row r="68" ht="30.0" customHeight="1">
      <c r="A68" s="38" t="str">
        <f t="array" ref="A68">XLOOKUP(67,'Team and Program Information'!$B$3:$B$202,'Team and Program Information'!$C$3:$C$202,"ERROR",0)</f>
        <v/>
      </c>
      <c r="B68" s="68" t="str">
        <f t="array" ref="B68">XLOOKUP('Core Values Input'!$A68,'Team and Program Information'!$C$3:$C$202,'Team and Program Information'!$D$3:$D$202,"",0,)</f>
        <v>#VALUE!</v>
      </c>
      <c r="C68" s="97" t="str">
        <f t="array" ref="C68">XLOOKUP('Core Values Input'!$A68,'Innovation Project Input'!$A$2:$A$201,'Innovation Project Input'!$D$2:$D$201)</f>
        <v>#N/A</v>
      </c>
      <c r="D68" s="97" t="str">
        <f t="array" ref="D68">XLOOKUP('Core Values Input'!$A68,'Innovation Project Input'!$A$2:$A$201,'Innovation Project Input'!$F$2:$F$201)</f>
        <v>#N/A</v>
      </c>
      <c r="E68" s="97" t="str">
        <f t="array" ref="E68">XLOOKUP('Core Values Input'!$A68,'Innovation Project Input'!$A$2:$A$201,'Innovation Project Input'!$G$2:$G$201)</f>
        <v>#N/A</v>
      </c>
      <c r="F68" s="97" t="str">
        <f t="array" ref="F68">XLOOKUP('Core Values Input'!$A68,'Innovation Project Input'!$A$2:$A$201,'Innovation Project Input'!$K$2:$K$201)</f>
        <v>#N/A</v>
      </c>
      <c r="G68" s="97" t="str">
        <f t="array" ref="G68">XLOOKUP('Core Values Input'!$A68,'Innovation Project Input'!$A$2:$A$201,'Innovation Project Input'!$L$2:$L$201)</f>
        <v>#N/A</v>
      </c>
      <c r="H68" s="97" t="str">
        <f t="array" ref="H68">XLOOKUP('Core Values Input'!$A68,'Robot Design Input'!$A$2:$A$201,'Robot Design Input'!$D$2:$D$201)</f>
        <v/>
      </c>
      <c r="I68" s="97" t="str">
        <f t="array" ref="I68">XLOOKUP('Core Values Input'!$A68,'Robot Design Input'!$A$2:$A$201,'Robot Design Input'!$E$2:$E$201)</f>
        <v/>
      </c>
      <c r="J68" s="97" t="str">
        <f t="array" ref="J68">XLOOKUP('Core Values Input'!$A68,'Robot Design Input'!$A$2:$A$201,'Robot Design Input'!$J$2:$J$201)</f>
        <v/>
      </c>
      <c r="K68" s="97" t="str">
        <f t="array" ref="K68">XLOOKUP('Core Values Input'!$A68,'Robot Design Input'!$A$2:$A$201,'Robot Design Input'!$K$2:$K$201)</f>
        <v/>
      </c>
      <c r="L68" s="97" t="str">
        <f t="array" ref="L68">XLOOKUP('Core Values Input'!$A68,'Robot Design Input'!$A$2:$A$201,'Robot Design Input'!$L$2:$L$201)</f>
        <v/>
      </c>
      <c r="M68" s="38"/>
      <c r="N68" s="38"/>
      <c r="O68" s="38"/>
      <c r="P68" s="38"/>
      <c r="Q68" s="38"/>
      <c r="R68" s="38" t="str">
        <f>IF('Core Values Input'!$M68="","",COUNTIF('Core Values Input'!$M68:$Q68,""))</f>
        <v/>
      </c>
      <c r="S68" s="38" t="str">
        <f>IF('Core Values Input'!$M68="","",SUM('Core Values Input'!$M68:$Q68))</f>
        <v/>
      </c>
      <c r="T68" s="38" t="str">
        <f>IF('Core Values Input'!$R68=3,SUM('Core Values Input'!$M68:$Q68),IF('Core Values Input'!$R68=4,SUM('Core Values Input'!$M68:$Q68),IF('Core Values Input'!$R68=2,'Core Values Input'!$S68,IF('Core Values Input'!$R68=1,'Core Values Input'!$S68*0.75,IF('Core Values Input'!$R68=0,'Core Values Input'!$S68*0.6,"")))))</f>
        <v/>
      </c>
      <c r="U68" s="98" t="str">
        <f>SUM('Core Values Input'!$C68:$L68,'Core Values Input'!$T68)</f>
        <v>#N/A</v>
      </c>
      <c r="V68" s="80">
        <f>IF('Core Values Input'!$A68&gt;0,MIN(_xlfn.RANK.EQ('Core Values Input'!$U68,'Core Values Input'!$U$2:$U$201,0),NumberOfTeams),NumberOfTeams+1)</f>
        <v>1</v>
      </c>
      <c r="W68" s="99"/>
      <c r="X68" s="99"/>
      <c r="Y68" s="99"/>
    </row>
    <row r="69" ht="30.0" customHeight="1">
      <c r="A69" s="38" t="str">
        <f t="array" ref="A69">XLOOKUP(68,'Team and Program Information'!$B$3:$B$202,'Team and Program Information'!$C$3:$C$202,"ERROR",0)</f>
        <v/>
      </c>
      <c r="B69" s="68" t="str">
        <f t="array" ref="B69">XLOOKUP('Core Values Input'!$A69,'Team and Program Information'!$C$3:$C$202,'Team and Program Information'!$D$3:$D$202,"",0,)</f>
        <v>#VALUE!</v>
      </c>
      <c r="C69" s="97" t="str">
        <f t="array" ref="C69">XLOOKUP('Core Values Input'!$A69,'Innovation Project Input'!$A$2:$A$201,'Innovation Project Input'!$D$2:$D$201)</f>
        <v>#N/A</v>
      </c>
      <c r="D69" s="97" t="str">
        <f t="array" ref="D69">XLOOKUP('Core Values Input'!$A69,'Innovation Project Input'!$A$2:$A$201,'Innovation Project Input'!$F$2:$F$201)</f>
        <v>#N/A</v>
      </c>
      <c r="E69" s="97" t="str">
        <f t="array" ref="E69">XLOOKUP('Core Values Input'!$A69,'Innovation Project Input'!$A$2:$A$201,'Innovation Project Input'!$G$2:$G$201)</f>
        <v>#N/A</v>
      </c>
      <c r="F69" s="97" t="str">
        <f t="array" ref="F69">XLOOKUP('Core Values Input'!$A69,'Innovation Project Input'!$A$2:$A$201,'Innovation Project Input'!$K$2:$K$201)</f>
        <v>#N/A</v>
      </c>
      <c r="G69" s="97" t="str">
        <f t="array" ref="G69">XLOOKUP('Core Values Input'!$A69,'Innovation Project Input'!$A$2:$A$201,'Innovation Project Input'!$L$2:$L$201)</f>
        <v>#N/A</v>
      </c>
      <c r="H69" s="97" t="str">
        <f t="array" ref="H69">XLOOKUP('Core Values Input'!$A69,'Robot Design Input'!$A$2:$A$201,'Robot Design Input'!$D$2:$D$201)</f>
        <v/>
      </c>
      <c r="I69" s="97" t="str">
        <f t="array" ref="I69">XLOOKUP('Core Values Input'!$A69,'Robot Design Input'!$A$2:$A$201,'Robot Design Input'!$E$2:$E$201)</f>
        <v/>
      </c>
      <c r="J69" s="97" t="str">
        <f t="array" ref="J69">XLOOKUP('Core Values Input'!$A69,'Robot Design Input'!$A$2:$A$201,'Robot Design Input'!$J$2:$J$201)</f>
        <v/>
      </c>
      <c r="K69" s="97" t="str">
        <f t="array" ref="K69">XLOOKUP('Core Values Input'!$A69,'Robot Design Input'!$A$2:$A$201,'Robot Design Input'!$K$2:$K$201)</f>
        <v/>
      </c>
      <c r="L69" s="97" t="str">
        <f t="array" ref="L69">XLOOKUP('Core Values Input'!$A69,'Robot Design Input'!$A$2:$A$201,'Robot Design Input'!$L$2:$L$201)</f>
        <v/>
      </c>
      <c r="M69" s="38"/>
      <c r="N69" s="38"/>
      <c r="O69" s="38"/>
      <c r="P69" s="38"/>
      <c r="Q69" s="38"/>
      <c r="R69" s="38" t="str">
        <f>IF('Core Values Input'!$M69="","",COUNTIF('Core Values Input'!$M69:$Q69,""))</f>
        <v/>
      </c>
      <c r="S69" s="38" t="str">
        <f>IF('Core Values Input'!$M69="","",SUM('Core Values Input'!$M69:$Q69))</f>
        <v/>
      </c>
      <c r="T69" s="38" t="str">
        <f>IF('Core Values Input'!$R69=3,SUM('Core Values Input'!$M69:$Q69),IF('Core Values Input'!$R69=4,SUM('Core Values Input'!$M69:$Q69),IF('Core Values Input'!$R69=2,'Core Values Input'!$S69,IF('Core Values Input'!$R69=1,'Core Values Input'!$S69*0.75,IF('Core Values Input'!$R69=0,'Core Values Input'!$S69*0.6,"")))))</f>
        <v/>
      </c>
      <c r="U69" s="98" t="str">
        <f>SUM('Core Values Input'!$C69:$L69,'Core Values Input'!$T69)</f>
        <v>#N/A</v>
      </c>
      <c r="V69" s="80">
        <f>IF('Core Values Input'!$A69&gt;0,MIN(_xlfn.RANK.EQ('Core Values Input'!$U69,'Core Values Input'!$U$2:$U$201,0),NumberOfTeams),NumberOfTeams+1)</f>
        <v>1</v>
      </c>
      <c r="W69" s="99"/>
      <c r="X69" s="99"/>
      <c r="Y69" s="99"/>
    </row>
    <row r="70" ht="30.0" customHeight="1">
      <c r="A70" s="38" t="str">
        <f t="array" ref="A70">XLOOKUP(69,'Team and Program Information'!$B$3:$B$202,'Team and Program Information'!$C$3:$C$202,"ERROR",0)</f>
        <v/>
      </c>
      <c r="B70" s="68" t="str">
        <f t="array" ref="B70">XLOOKUP('Core Values Input'!$A70,'Team and Program Information'!$C$3:$C$202,'Team and Program Information'!$D$3:$D$202,"",0,)</f>
        <v>#VALUE!</v>
      </c>
      <c r="C70" s="97" t="str">
        <f t="array" ref="C70">XLOOKUP('Core Values Input'!$A70,'Innovation Project Input'!$A$2:$A$201,'Innovation Project Input'!$D$2:$D$201)</f>
        <v>#N/A</v>
      </c>
      <c r="D70" s="97" t="str">
        <f t="array" ref="D70">XLOOKUP('Core Values Input'!$A70,'Innovation Project Input'!$A$2:$A$201,'Innovation Project Input'!$F$2:$F$201)</f>
        <v>#N/A</v>
      </c>
      <c r="E70" s="97" t="str">
        <f t="array" ref="E70">XLOOKUP('Core Values Input'!$A70,'Innovation Project Input'!$A$2:$A$201,'Innovation Project Input'!$G$2:$G$201)</f>
        <v>#N/A</v>
      </c>
      <c r="F70" s="97" t="str">
        <f t="array" ref="F70">XLOOKUP('Core Values Input'!$A70,'Innovation Project Input'!$A$2:$A$201,'Innovation Project Input'!$K$2:$K$201)</f>
        <v>#N/A</v>
      </c>
      <c r="G70" s="97" t="str">
        <f t="array" ref="G70">XLOOKUP('Core Values Input'!$A70,'Innovation Project Input'!$A$2:$A$201,'Innovation Project Input'!$L$2:$L$201)</f>
        <v>#N/A</v>
      </c>
      <c r="H70" s="97" t="str">
        <f t="array" ref="H70">XLOOKUP('Core Values Input'!$A70,'Robot Design Input'!$A$2:$A$201,'Robot Design Input'!$D$2:$D$201)</f>
        <v/>
      </c>
      <c r="I70" s="97" t="str">
        <f t="array" ref="I70">XLOOKUP('Core Values Input'!$A70,'Robot Design Input'!$A$2:$A$201,'Robot Design Input'!$E$2:$E$201)</f>
        <v/>
      </c>
      <c r="J70" s="97" t="str">
        <f t="array" ref="J70">XLOOKUP('Core Values Input'!$A70,'Robot Design Input'!$A$2:$A$201,'Robot Design Input'!$J$2:$J$201)</f>
        <v/>
      </c>
      <c r="K70" s="97" t="str">
        <f t="array" ref="K70">XLOOKUP('Core Values Input'!$A70,'Robot Design Input'!$A$2:$A$201,'Robot Design Input'!$K$2:$K$201)</f>
        <v/>
      </c>
      <c r="L70" s="97" t="str">
        <f t="array" ref="L70">XLOOKUP('Core Values Input'!$A70,'Robot Design Input'!$A$2:$A$201,'Robot Design Input'!$L$2:$L$201)</f>
        <v/>
      </c>
      <c r="M70" s="38"/>
      <c r="N70" s="38"/>
      <c r="O70" s="38"/>
      <c r="P70" s="38"/>
      <c r="Q70" s="38"/>
      <c r="R70" s="38" t="str">
        <f>IF('Core Values Input'!$M70="","",COUNTIF('Core Values Input'!$M70:$Q70,""))</f>
        <v/>
      </c>
      <c r="S70" s="38" t="str">
        <f>IF('Core Values Input'!$M70="","",SUM('Core Values Input'!$M70:$Q70))</f>
        <v/>
      </c>
      <c r="T70" s="38" t="str">
        <f>IF('Core Values Input'!$R70=3,SUM('Core Values Input'!$M70:$Q70),IF('Core Values Input'!$R70=4,SUM('Core Values Input'!$M70:$Q70),IF('Core Values Input'!$R70=2,'Core Values Input'!$S70,IF('Core Values Input'!$R70=1,'Core Values Input'!$S70*0.75,IF('Core Values Input'!$R70=0,'Core Values Input'!$S70*0.6,"")))))</f>
        <v/>
      </c>
      <c r="U70" s="98" t="str">
        <f>SUM('Core Values Input'!$C70:$L70,'Core Values Input'!$T70)</f>
        <v>#N/A</v>
      </c>
      <c r="V70" s="80">
        <f>IF('Core Values Input'!$A70&gt;0,MIN(_xlfn.RANK.EQ('Core Values Input'!$U70,'Core Values Input'!$U$2:$U$201,0),NumberOfTeams),NumberOfTeams+1)</f>
        <v>1</v>
      </c>
      <c r="W70" s="99"/>
      <c r="X70" s="99"/>
      <c r="Y70" s="99"/>
    </row>
    <row r="71" ht="30.0" customHeight="1">
      <c r="A71" s="38" t="str">
        <f t="array" ref="A71">XLOOKUP(70,'Team and Program Information'!$B$3:$B$202,'Team and Program Information'!$C$3:$C$202,"ERROR",0)</f>
        <v/>
      </c>
      <c r="B71" s="68" t="str">
        <f t="array" ref="B71">XLOOKUP('Core Values Input'!$A71,'Team and Program Information'!$C$3:$C$202,'Team and Program Information'!$D$3:$D$202,"",0,)</f>
        <v>#VALUE!</v>
      </c>
      <c r="C71" s="97" t="str">
        <f t="array" ref="C71">XLOOKUP('Core Values Input'!$A71,'Innovation Project Input'!$A$2:$A$201,'Innovation Project Input'!$D$2:$D$201)</f>
        <v>#N/A</v>
      </c>
      <c r="D71" s="97" t="str">
        <f t="array" ref="D71">XLOOKUP('Core Values Input'!$A71,'Innovation Project Input'!$A$2:$A$201,'Innovation Project Input'!$F$2:$F$201)</f>
        <v>#N/A</v>
      </c>
      <c r="E71" s="97" t="str">
        <f t="array" ref="E71">XLOOKUP('Core Values Input'!$A71,'Innovation Project Input'!$A$2:$A$201,'Innovation Project Input'!$G$2:$G$201)</f>
        <v>#N/A</v>
      </c>
      <c r="F71" s="97" t="str">
        <f t="array" ref="F71">XLOOKUP('Core Values Input'!$A71,'Innovation Project Input'!$A$2:$A$201,'Innovation Project Input'!$K$2:$K$201)</f>
        <v>#N/A</v>
      </c>
      <c r="G71" s="97" t="str">
        <f t="array" ref="G71">XLOOKUP('Core Values Input'!$A71,'Innovation Project Input'!$A$2:$A$201,'Innovation Project Input'!$L$2:$L$201)</f>
        <v>#N/A</v>
      </c>
      <c r="H71" s="97" t="str">
        <f t="array" ref="H71">XLOOKUP('Core Values Input'!$A71,'Robot Design Input'!$A$2:$A$201,'Robot Design Input'!$D$2:$D$201)</f>
        <v/>
      </c>
      <c r="I71" s="97" t="str">
        <f t="array" ref="I71">XLOOKUP('Core Values Input'!$A71,'Robot Design Input'!$A$2:$A$201,'Robot Design Input'!$E$2:$E$201)</f>
        <v/>
      </c>
      <c r="J71" s="97" t="str">
        <f t="array" ref="J71">XLOOKUP('Core Values Input'!$A71,'Robot Design Input'!$A$2:$A$201,'Robot Design Input'!$J$2:$J$201)</f>
        <v/>
      </c>
      <c r="K71" s="97" t="str">
        <f t="array" ref="K71">XLOOKUP('Core Values Input'!$A71,'Robot Design Input'!$A$2:$A$201,'Robot Design Input'!$K$2:$K$201)</f>
        <v/>
      </c>
      <c r="L71" s="97" t="str">
        <f t="array" ref="L71">XLOOKUP('Core Values Input'!$A71,'Robot Design Input'!$A$2:$A$201,'Robot Design Input'!$L$2:$L$201)</f>
        <v/>
      </c>
      <c r="M71" s="38"/>
      <c r="N71" s="38"/>
      <c r="O71" s="38"/>
      <c r="P71" s="38"/>
      <c r="Q71" s="38"/>
      <c r="R71" s="38" t="str">
        <f>IF('Core Values Input'!$M71="","",COUNTIF('Core Values Input'!$M71:$Q71,""))</f>
        <v/>
      </c>
      <c r="S71" s="38" t="str">
        <f>IF('Core Values Input'!$M71="","",SUM('Core Values Input'!$M71:$Q71))</f>
        <v/>
      </c>
      <c r="T71" s="38" t="str">
        <f>IF('Core Values Input'!$R71=3,SUM('Core Values Input'!$M71:$Q71),IF('Core Values Input'!$R71=4,SUM('Core Values Input'!$M71:$Q71),IF('Core Values Input'!$R71=2,'Core Values Input'!$S71,IF('Core Values Input'!$R71=1,'Core Values Input'!$S71*0.75,IF('Core Values Input'!$R71=0,'Core Values Input'!$S71*0.6,"")))))</f>
        <v/>
      </c>
      <c r="U71" s="98" t="str">
        <f>SUM('Core Values Input'!$C71:$L71,'Core Values Input'!$T71)</f>
        <v>#N/A</v>
      </c>
      <c r="V71" s="80">
        <f>IF('Core Values Input'!$A71&gt;0,MIN(_xlfn.RANK.EQ('Core Values Input'!$U71,'Core Values Input'!$U$2:$U$201,0),NumberOfTeams),NumberOfTeams+1)</f>
        <v>1</v>
      </c>
      <c r="W71" s="99"/>
      <c r="X71" s="99"/>
      <c r="Y71" s="99"/>
    </row>
    <row r="72" ht="30.0" customHeight="1">
      <c r="A72" s="38" t="str">
        <f t="array" ref="A72">XLOOKUP(71,'Team and Program Information'!$B$3:$B$202,'Team and Program Information'!$C$3:$C$202,"ERROR",0)</f>
        <v/>
      </c>
      <c r="B72" s="68" t="str">
        <f t="array" ref="B72">XLOOKUP('Core Values Input'!$A72,'Team and Program Information'!$C$3:$C$202,'Team and Program Information'!$D$3:$D$202,"",0,)</f>
        <v>#VALUE!</v>
      </c>
      <c r="C72" s="97" t="str">
        <f t="array" ref="C72">XLOOKUP('Core Values Input'!$A72,'Innovation Project Input'!$A$2:$A$201,'Innovation Project Input'!$D$2:$D$201)</f>
        <v>#N/A</v>
      </c>
      <c r="D72" s="97" t="str">
        <f t="array" ref="D72">XLOOKUP('Core Values Input'!$A72,'Innovation Project Input'!$A$2:$A$201,'Innovation Project Input'!$F$2:$F$201)</f>
        <v>#N/A</v>
      </c>
      <c r="E72" s="97" t="str">
        <f t="array" ref="E72">XLOOKUP('Core Values Input'!$A72,'Innovation Project Input'!$A$2:$A$201,'Innovation Project Input'!$G$2:$G$201)</f>
        <v>#N/A</v>
      </c>
      <c r="F72" s="97" t="str">
        <f t="array" ref="F72">XLOOKUP('Core Values Input'!$A72,'Innovation Project Input'!$A$2:$A$201,'Innovation Project Input'!$K$2:$K$201)</f>
        <v>#N/A</v>
      </c>
      <c r="G72" s="97" t="str">
        <f t="array" ref="G72">XLOOKUP('Core Values Input'!$A72,'Innovation Project Input'!$A$2:$A$201,'Innovation Project Input'!$L$2:$L$201)</f>
        <v>#N/A</v>
      </c>
      <c r="H72" s="97" t="str">
        <f t="array" ref="H72">XLOOKUP('Core Values Input'!$A72,'Robot Design Input'!$A$2:$A$201,'Robot Design Input'!$D$2:$D$201)</f>
        <v/>
      </c>
      <c r="I72" s="97" t="str">
        <f t="array" ref="I72">XLOOKUP('Core Values Input'!$A72,'Robot Design Input'!$A$2:$A$201,'Robot Design Input'!$E$2:$E$201)</f>
        <v/>
      </c>
      <c r="J72" s="97" t="str">
        <f t="array" ref="J72">XLOOKUP('Core Values Input'!$A72,'Robot Design Input'!$A$2:$A$201,'Robot Design Input'!$J$2:$J$201)</f>
        <v/>
      </c>
      <c r="K72" s="97" t="str">
        <f t="array" ref="K72">XLOOKUP('Core Values Input'!$A72,'Robot Design Input'!$A$2:$A$201,'Robot Design Input'!$K$2:$K$201)</f>
        <v/>
      </c>
      <c r="L72" s="97" t="str">
        <f t="array" ref="L72">XLOOKUP('Core Values Input'!$A72,'Robot Design Input'!$A$2:$A$201,'Robot Design Input'!$L$2:$L$201)</f>
        <v/>
      </c>
      <c r="M72" s="38"/>
      <c r="N72" s="38"/>
      <c r="O72" s="38"/>
      <c r="P72" s="38"/>
      <c r="Q72" s="38"/>
      <c r="R72" s="38" t="str">
        <f>IF('Core Values Input'!$M72="","",COUNTIF('Core Values Input'!$M72:$Q72,""))</f>
        <v/>
      </c>
      <c r="S72" s="38" t="str">
        <f>IF('Core Values Input'!$M72="","",SUM('Core Values Input'!$M72:$Q72))</f>
        <v/>
      </c>
      <c r="T72" s="38" t="str">
        <f>IF('Core Values Input'!$R72=3,SUM('Core Values Input'!$M72:$Q72),IF('Core Values Input'!$R72=4,SUM('Core Values Input'!$M72:$Q72),IF('Core Values Input'!$R72=2,'Core Values Input'!$S72,IF('Core Values Input'!$R72=1,'Core Values Input'!$S72*0.75,IF('Core Values Input'!$R72=0,'Core Values Input'!$S72*0.6,"")))))</f>
        <v/>
      </c>
      <c r="U72" s="98" t="str">
        <f>SUM('Core Values Input'!$C72:$L72,'Core Values Input'!$T72)</f>
        <v>#N/A</v>
      </c>
      <c r="V72" s="80">
        <f>IF('Core Values Input'!$A72&gt;0,MIN(_xlfn.RANK.EQ('Core Values Input'!$U72,'Core Values Input'!$U$2:$U$201,0),NumberOfTeams),NumberOfTeams+1)</f>
        <v>1</v>
      </c>
      <c r="W72" s="99"/>
      <c r="X72" s="99"/>
      <c r="Y72" s="99"/>
    </row>
    <row r="73" ht="30.0" customHeight="1">
      <c r="A73" s="38" t="str">
        <f t="array" ref="A73">XLOOKUP(72,'Team and Program Information'!$B$3:$B$202,'Team and Program Information'!$C$3:$C$202,"ERROR",0)</f>
        <v/>
      </c>
      <c r="B73" s="68" t="str">
        <f t="array" ref="B73">XLOOKUP('Core Values Input'!$A73,'Team and Program Information'!$C$3:$C$202,'Team and Program Information'!$D$3:$D$202,"",0,)</f>
        <v>#VALUE!</v>
      </c>
      <c r="C73" s="97" t="str">
        <f t="array" ref="C73">XLOOKUP('Core Values Input'!$A73,'Innovation Project Input'!$A$2:$A$201,'Innovation Project Input'!$D$2:$D$201)</f>
        <v>#N/A</v>
      </c>
      <c r="D73" s="97" t="str">
        <f t="array" ref="D73">XLOOKUP('Core Values Input'!$A73,'Innovation Project Input'!$A$2:$A$201,'Innovation Project Input'!$F$2:$F$201)</f>
        <v>#N/A</v>
      </c>
      <c r="E73" s="97" t="str">
        <f t="array" ref="E73">XLOOKUP('Core Values Input'!$A73,'Innovation Project Input'!$A$2:$A$201,'Innovation Project Input'!$G$2:$G$201)</f>
        <v>#N/A</v>
      </c>
      <c r="F73" s="97" t="str">
        <f t="array" ref="F73">XLOOKUP('Core Values Input'!$A73,'Innovation Project Input'!$A$2:$A$201,'Innovation Project Input'!$K$2:$K$201)</f>
        <v>#N/A</v>
      </c>
      <c r="G73" s="97" t="str">
        <f t="array" ref="G73">XLOOKUP('Core Values Input'!$A73,'Innovation Project Input'!$A$2:$A$201,'Innovation Project Input'!$L$2:$L$201)</f>
        <v>#N/A</v>
      </c>
      <c r="H73" s="97" t="str">
        <f t="array" ref="H73">XLOOKUP('Core Values Input'!$A73,'Robot Design Input'!$A$2:$A$201,'Robot Design Input'!$D$2:$D$201)</f>
        <v/>
      </c>
      <c r="I73" s="97" t="str">
        <f t="array" ref="I73">XLOOKUP('Core Values Input'!$A73,'Robot Design Input'!$A$2:$A$201,'Robot Design Input'!$E$2:$E$201)</f>
        <v/>
      </c>
      <c r="J73" s="97" t="str">
        <f t="array" ref="J73">XLOOKUP('Core Values Input'!$A73,'Robot Design Input'!$A$2:$A$201,'Robot Design Input'!$J$2:$J$201)</f>
        <v/>
      </c>
      <c r="K73" s="97" t="str">
        <f t="array" ref="K73">XLOOKUP('Core Values Input'!$A73,'Robot Design Input'!$A$2:$A$201,'Robot Design Input'!$K$2:$K$201)</f>
        <v/>
      </c>
      <c r="L73" s="97" t="str">
        <f t="array" ref="L73">XLOOKUP('Core Values Input'!$A73,'Robot Design Input'!$A$2:$A$201,'Robot Design Input'!$L$2:$L$201)</f>
        <v/>
      </c>
      <c r="M73" s="38"/>
      <c r="N73" s="38"/>
      <c r="O73" s="38"/>
      <c r="P73" s="38"/>
      <c r="Q73" s="38"/>
      <c r="R73" s="38"/>
      <c r="S73" s="38"/>
      <c r="T73" s="38"/>
      <c r="U73" s="98" t="str">
        <f>SUM('Core Values Input'!$C73:$L73,'Core Values Input'!$T73)</f>
        <v>#N/A</v>
      </c>
      <c r="V73" s="80">
        <f>IF('Core Values Input'!$A73&gt;0,MIN(_xlfn.RANK.EQ('Core Values Input'!$U73,'Core Values Input'!$U$2:$U$201,0),NumberOfTeams),NumberOfTeams+1)</f>
        <v>1</v>
      </c>
      <c r="W73" s="99"/>
      <c r="X73" s="99"/>
      <c r="Y73" s="99"/>
    </row>
    <row r="74" ht="30.0" customHeight="1">
      <c r="A74" s="38" t="str">
        <f t="array" ref="A74">XLOOKUP(73,'Team and Program Information'!$B$3:$B$202,'Team and Program Information'!$C$3:$C$202,"ERROR",0)</f>
        <v/>
      </c>
      <c r="B74" s="68" t="str">
        <f t="array" ref="B74">XLOOKUP('Core Values Input'!$A74,'Team and Program Information'!$C$3:$C$202,'Team and Program Information'!$D$3:$D$202,"",0,)</f>
        <v>#VALUE!</v>
      </c>
      <c r="C74" s="97" t="str">
        <f t="array" ref="C74">XLOOKUP('Core Values Input'!$A74,'Innovation Project Input'!$A$2:$A$201,'Innovation Project Input'!$D$2:$D$201)</f>
        <v>#N/A</v>
      </c>
      <c r="D74" s="97" t="str">
        <f t="array" ref="D74">XLOOKUP('Core Values Input'!$A74,'Innovation Project Input'!$A$2:$A$201,'Innovation Project Input'!$F$2:$F$201)</f>
        <v>#N/A</v>
      </c>
      <c r="E74" s="97" t="str">
        <f t="array" ref="E74">XLOOKUP('Core Values Input'!$A74,'Innovation Project Input'!$A$2:$A$201,'Innovation Project Input'!$G$2:$G$201)</f>
        <v>#N/A</v>
      </c>
      <c r="F74" s="97" t="str">
        <f t="array" ref="F74">XLOOKUP('Core Values Input'!$A74,'Innovation Project Input'!$A$2:$A$201,'Innovation Project Input'!$K$2:$K$201)</f>
        <v>#N/A</v>
      </c>
      <c r="G74" s="97" t="str">
        <f t="array" ref="G74">XLOOKUP('Core Values Input'!$A74,'Innovation Project Input'!$A$2:$A$201,'Innovation Project Input'!$L$2:$L$201)</f>
        <v>#N/A</v>
      </c>
      <c r="H74" s="97" t="str">
        <f t="array" ref="H74">XLOOKUP('Core Values Input'!$A74,'Robot Design Input'!$A$2:$A$201,'Robot Design Input'!$D$2:$D$201)</f>
        <v/>
      </c>
      <c r="I74" s="97" t="str">
        <f t="array" ref="I74">XLOOKUP('Core Values Input'!$A74,'Robot Design Input'!$A$2:$A$201,'Robot Design Input'!$E$2:$E$201)</f>
        <v/>
      </c>
      <c r="J74" s="97" t="str">
        <f t="array" ref="J74">XLOOKUP('Core Values Input'!$A74,'Robot Design Input'!$A$2:$A$201,'Robot Design Input'!$J$2:$J$201)</f>
        <v/>
      </c>
      <c r="K74" s="97" t="str">
        <f t="array" ref="K74">XLOOKUP('Core Values Input'!$A74,'Robot Design Input'!$A$2:$A$201,'Robot Design Input'!$K$2:$K$201)</f>
        <v/>
      </c>
      <c r="L74" s="97" t="str">
        <f t="array" ref="L74">XLOOKUP('Core Values Input'!$A74,'Robot Design Input'!$A$2:$A$201,'Robot Design Input'!$L$2:$L$201)</f>
        <v/>
      </c>
      <c r="M74" s="38"/>
      <c r="N74" s="38"/>
      <c r="O74" s="38"/>
      <c r="P74" s="38"/>
      <c r="Q74" s="38"/>
      <c r="R74" s="38"/>
      <c r="S74" s="38"/>
      <c r="T74" s="38"/>
      <c r="U74" s="98" t="str">
        <f>SUM('Core Values Input'!$C74:$L74,'Core Values Input'!$T74)</f>
        <v>#N/A</v>
      </c>
      <c r="V74" s="80">
        <f>IF('Core Values Input'!$A74&gt;0,MIN(_xlfn.RANK.EQ('Core Values Input'!$U74,'Core Values Input'!$U$2:$U$201,0),NumberOfTeams),NumberOfTeams+1)</f>
        <v>1</v>
      </c>
      <c r="W74" s="99"/>
      <c r="X74" s="99"/>
      <c r="Y74" s="99"/>
    </row>
    <row r="75" ht="30.0" customHeight="1">
      <c r="A75" s="38" t="str">
        <f t="array" ref="A75">XLOOKUP(74,'Team and Program Information'!$B$3:$B$202,'Team and Program Information'!$C$3:$C$202,"ERROR",0)</f>
        <v/>
      </c>
      <c r="B75" s="68" t="str">
        <f t="array" ref="B75">XLOOKUP('Core Values Input'!$A75,'Team and Program Information'!$C$3:$C$202,'Team and Program Information'!$D$3:$D$202,"",0,)</f>
        <v>#VALUE!</v>
      </c>
      <c r="C75" s="97" t="str">
        <f t="array" ref="C75">XLOOKUP('Core Values Input'!$A75,'Innovation Project Input'!$A$2:$A$201,'Innovation Project Input'!$D$2:$D$201)</f>
        <v>#N/A</v>
      </c>
      <c r="D75" s="97" t="str">
        <f t="array" ref="D75">XLOOKUP('Core Values Input'!$A75,'Innovation Project Input'!$A$2:$A$201,'Innovation Project Input'!$F$2:$F$201)</f>
        <v>#N/A</v>
      </c>
      <c r="E75" s="97" t="str">
        <f t="array" ref="E75">XLOOKUP('Core Values Input'!$A75,'Innovation Project Input'!$A$2:$A$201,'Innovation Project Input'!$G$2:$G$201)</f>
        <v>#N/A</v>
      </c>
      <c r="F75" s="97" t="str">
        <f t="array" ref="F75">XLOOKUP('Core Values Input'!$A75,'Innovation Project Input'!$A$2:$A$201,'Innovation Project Input'!$K$2:$K$201)</f>
        <v>#N/A</v>
      </c>
      <c r="G75" s="97" t="str">
        <f t="array" ref="G75">XLOOKUP('Core Values Input'!$A75,'Innovation Project Input'!$A$2:$A$201,'Innovation Project Input'!$L$2:$L$201)</f>
        <v>#N/A</v>
      </c>
      <c r="H75" s="97" t="str">
        <f t="array" ref="H75">XLOOKUP('Core Values Input'!$A75,'Robot Design Input'!$A$2:$A$201,'Robot Design Input'!$D$2:$D$201)</f>
        <v/>
      </c>
      <c r="I75" s="97" t="str">
        <f t="array" ref="I75">XLOOKUP('Core Values Input'!$A75,'Robot Design Input'!$A$2:$A$201,'Robot Design Input'!$E$2:$E$201)</f>
        <v/>
      </c>
      <c r="J75" s="97" t="str">
        <f t="array" ref="J75">XLOOKUP('Core Values Input'!$A75,'Robot Design Input'!$A$2:$A$201,'Robot Design Input'!$J$2:$J$201)</f>
        <v/>
      </c>
      <c r="K75" s="97" t="str">
        <f t="array" ref="K75">XLOOKUP('Core Values Input'!$A75,'Robot Design Input'!$A$2:$A$201,'Robot Design Input'!$K$2:$K$201)</f>
        <v/>
      </c>
      <c r="L75" s="97" t="str">
        <f t="array" ref="L75">XLOOKUP('Core Values Input'!$A75,'Robot Design Input'!$A$2:$A$201,'Robot Design Input'!$L$2:$L$201)</f>
        <v/>
      </c>
      <c r="M75" s="38"/>
      <c r="N75" s="38"/>
      <c r="O75" s="38"/>
      <c r="P75" s="38"/>
      <c r="Q75" s="38"/>
      <c r="R75" s="38"/>
      <c r="S75" s="38"/>
      <c r="T75" s="38"/>
      <c r="U75" s="98" t="str">
        <f>SUM('Core Values Input'!$C75:$L75,'Core Values Input'!$T75)</f>
        <v>#N/A</v>
      </c>
      <c r="V75" s="80">
        <f>IF('Core Values Input'!$A75&gt;0,MIN(_xlfn.RANK.EQ('Core Values Input'!$U75,'Core Values Input'!$U$2:$U$201,0),NumberOfTeams),NumberOfTeams+1)</f>
        <v>1</v>
      </c>
      <c r="W75" s="99"/>
      <c r="X75" s="99"/>
      <c r="Y75" s="99"/>
    </row>
    <row r="76" ht="30.0" customHeight="1">
      <c r="A76" s="38" t="str">
        <f t="array" ref="A76">XLOOKUP(75,'Team and Program Information'!$B$3:$B$202,'Team and Program Information'!$C$3:$C$202,"ERROR",0)</f>
        <v/>
      </c>
      <c r="B76" s="68" t="str">
        <f t="array" ref="B76">XLOOKUP('Core Values Input'!$A76,'Team and Program Information'!$C$3:$C$202,'Team and Program Information'!$D$3:$D$202,"",0,)</f>
        <v>#VALUE!</v>
      </c>
      <c r="C76" s="97" t="str">
        <f t="array" ref="C76">XLOOKUP('Core Values Input'!$A76,'Innovation Project Input'!$A$2:$A$201,'Innovation Project Input'!$D$2:$D$201)</f>
        <v>#N/A</v>
      </c>
      <c r="D76" s="97" t="str">
        <f t="array" ref="D76">XLOOKUP('Core Values Input'!$A76,'Innovation Project Input'!$A$2:$A$201,'Innovation Project Input'!$F$2:$F$201)</f>
        <v>#N/A</v>
      </c>
      <c r="E76" s="97" t="str">
        <f t="array" ref="E76">XLOOKUP('Core Values Input'!$A76,'Innovation Project Input'!$A$2:$A$201,'Innovation Project Input'!$G$2:$G$201)</f>
        <v>#N/A</v>
      </c>
      <c r="F76" s="97" t="str">
        <f t="array" ref="F76">XLOOKUP('Core Values Input'!$A76,'Innovation Project Input'!$A$2:$A$201,'Innovation Project Input'!$K$2:$K$201)</f>
        <v>#N/A</v>
      </c>
      <c r="G76" s="97" t="str">
        <f t="array" ref="G76">XLOOKUP('Core Values Input'!$A76,'Innovation Project Input'!$A$2:$A$201,'Innovation Project Input'!$L$2:$L$201)</f>
        <v>#N/A</v>
      </c>
      <c r="H76" s="97" t="str">
        <f t="array" ref="H76">XLOOKUP('Core Values Input'!$A76,'Robot Design Input'!$A$2:$A$201,'Robot Design Input'!$D$2:$D$201)</f>
        <v/>
      </c>
      <c r="I76" s="97" t="str">
        <f t="array" ref="I76">XLOOKUP('Core Values Input'!$A76,'Robot Design Input'!$A$2:$A$201,'Robot Design Input'!$E$2:$E$201)</f>
        <v/>
      </c>
      <c r="J76" s="97" t="str">
        <f t="array" ref="J76">XLOOKUP('Core Values Input'!$A76,'Robot Design Input'!$A$2:$A$201,'Robot Design Input'!$J$2:$J$201)</f>
        <v/>
      </c>
      <c r="K76" s="97" t="str">
        <f t="array" ref="K76">XLOOKUP('Core Values Input'!$A76,'Robot Design Input'!$A$2:$A$201,'Robot Design Input'!$K$2:$K$201)</f>
        <v/>
      </c>
      <c r="L76" s="97" t="str">
        <f t="array" ref="L76">XLOOKUP('Core Values Input'!$A76,'Robot Design Input'!$A$2:$A$201,'Robot Design Input'!$L$2:$L$201)</f>
        <v/>
      </c>
      <c r="M76" s="38"/>
      <c r="N76" s="38"/>
      <c r="O76" s="38"/>
      <c r="P76" s="38"/>
      <c r="Q76" s="38"/>
      <c r="R76" s="38"/>
      <c r="S76" s="38"/>
      <c r="T76" s="38"/>
      <c r="U76" s="98" t="str">
        <f>SUM('Core Values Input'!$C76:$L76,'Core Values Input'!$T76)</f>
        <v>#N/A</v>
      </c>
      <c r="V76" s="80">
        <f>IF('Core Values Input'!$A76&gt;0,MIN(_xlfn.RANK.EQ('Core Values Input'!$U76,'Core Values Input'!$U$2:$U$201,0),NumberOfTeams),NumberOfTeams+1)</f>
        <v>1</v>
      </c>
      <c r="W76" s="99"/>
      <c r="X76" s="99"/>
      <c r="Y76" s="99"/>
    </row>
    <row r="77" ht="30.0" customHeight="1">
      <c r="A77" s="38" t="str">
        <f t="array" ref="A77">XLOOKUP(76,'Team and Program Information'!$B$3:$B$202,'Team and Program Information'!$C$3:$C$202,"ERROR",0)</f>
        <v/>
      </c>
      <c r="B77" s="68" t="str">
        <f t="array" ref="B77">XLOOKUP('Core Values Input'!$A77,'Team and Program Information'!$C$3:$C$202,'Team and Program Information'!$D$3:$D$202,"",0,)</f>
        <v>#VALUE!</v>
      </c>
      <c r="C77" s="97" t="str">
        <f t="array" ref="C77">XLOOKUP('Core Values Input'!$A77,'Innovation Project Input'!$A$2:$A$201,'Innovation Project Input'!$D$2:$D$201)</f>
        <v>#N/A</v>
      </c>
      <c r="D77" s="97" t="str">
        <f t="array" ref="D77">XLOOKUP('Core Values Input'!$A77,'Innovation Project Input'!$A$2:$A$201,'Innovation Project Input'!$F$2:$F$201)</f>
        <v>#N/A</v>
      </c>
      <c r="E77" s="97" t="str">
        <f t="array" ref="E77">XLOOKUP('Core Values Input'!$A77,'Innovation Project Input'!$A$2:$A$201,'Innovation Project Input'!$G$2:$G$201)</f>
        <v>#N/A</v>
      </c>
      <c r="F77" s="97" t="str">
        <f t="array" ref="F77">XLOOKUP('Core Values Input'!$A77,'Innovation Project Input'!$A$2:$A$201,'Innovation Project Input'!$K$2:$K$201)</f>
        <v>#N/A</v>
      </c>
      <c r="G77" s="97" t="str">
        <f t="array" ref="G77">XLOOKUP('Core Values Input'!$A77,'Innovation Project Input'!$A$2:$A$201,'Innovation Project Input'!$L$2:$L$201)</f>
        <v>#N/A</v>
      </c>
      <c r="H77" s="97" t="str">
        <f t="array" ref="H77">XLOOKUP('Core Values Input'!$A77,'Robot Design Input'!$A$2:$A$201,'Robot Design Input'!$D$2:$D$201)</f>
        <v/>
      </c>
      <c r="I77" s="97" t="str">
        <f t="array" ref="I77">XLOOKUP('Core Values Input'!$A77,'Robot Design Input'!$A$2:$A$201,'Robot Design Input'!$E$2:$E$201)</f>
        <v/>
      </c>
      <c r="J77" s="97" t="str">
        <f t="array" ref="J77">XLOOKUP('Core Values Input'!$A77,'Robot Design Input'!$A$2:$A$201,'Robot Design Input'!$J$2:$J$201)</f>
        <v/>
      </c>
      <c r="K77" s="97" t="str">
        <f t="array" ref="K77">XLOOKUP('Core Values Input'!$A77,'Robot Design Input'!$A$2:$A$201,'Robot Design Input'!$K$2:$K$201)</f>
        <v/>
      </c>
      <c r="L77" s="97" t="str">
        <f t="array" ref="L77">XLOOKUP('Core Values Input'!$A77,'Robot Design Input'!$A$2:$A$201,'Robot Design Input'!$L$2:$L$201)</f>
        <v/>
      </c>
      <c r="M77" s="38"/>
      <c r="N77" s="38"/>
      <c r="O77" s="38"/>
      <c r="P77" s="38"/>
      <c r="Q77" s="38"/>
      <c r="R77" s="38"/>
      <c r="S77" s="38"/>
      <c r="T77" s="38"/>
      <c r="U77" s="98" t="str">
        <f>SUM('Core Values Input'!$C77:$L77,'Core Values Input'!$T77)</f>
        <v>#N/A</v>
      </c>
      <c r="V77" s="80">
        <f>IF('Core Values Input'!$A77&gt;0,MIN(_xlfn.RANK.EQ('Core Values Input'!$U77,'Core Values Input'!$U$2:$U$201,0),NumberOfTeams),NumberOfTeams+1)</f>
        <v>1</v>
      </c>
      <c r="W77" s="99"/>
      <c r="X77" s="99"/>
      <c r="Y77" s="99"/>
    </row>
    <row r="78" ht="30.0" customHeight="1">
      <c r="A78" s="38" t="str">
        <f t="array" ref="A78">XLOOKUP(77,'Team and Program Information'!$B$3:$B$202,'Team and Program Information'!$C$3:$C$202,"ERROR",0)</f>
        <v/>
      </c>
      <c r="B78" s="68" t="str">
        <f t="array" ref="B78">XLOOKUP('Core Values Input'!$A78,'Team and Program Information'!$C$3:$C$202,'Team and Program Information'!$D$3:$D$202,"",0,)</f>
        <v>#VALUE!</v>
      </c>
      <c r="C78" s="97" t="str">
        <f t="array" ref="C78">XLOOKUP('Core Values Input'!$A78,'Innovation Project Input'!$A$2:$A$201,'Innovation Project Input'!$D$2:$D$201)</f>
        <v>#N/A</v>
      </c>
      <c r="D78" s="97" t="str">
        <f t="array" ref="D78">XLOOKUP('Core Values Input'!$A78,'Innovation Project Input'!$A$2:$A$201,'Innovation Project Input'!$F$2:$F$201)</f>
        <v>#N/A</v>
      </c>
      <c r="E78" s="97" t="str">
        <f t="array" ref="E78">XLOOKUP('Core Values Input'!$A78,'Innovation Project Input'!$A$2:$A$201,'Innovation Project Input'!$G$2:$G$201)</f>
        <v>#N/A</v>
      </c>
      <c r="F78" s="97" t="str">
        <f t="array" ref="F78">XLOOKUP('Core Values Input'!$A78,'Innovation Project Input'!$A$2:$A$201,'Innovation Project Input'!$K$2:$K$201)</f>
        <v>#N/A</v>
      </c>
      <c r="G78" s="97" t="str">
        <f t="array" ref="G78">XLOOKUP('Core Values Input'!$A78,'Innovation Project Input'!$A$2:$A$201,'Innovation Project Input'!$L$2:$L$201)</f>
        <v>#N/A</v>
      </c>
      <c r="H78" s="97" t="str">
        <f t="array" ref="H78">XLOOKUP('Core Values Input'!$A78,'Robot Design Input'!$A$2:$A$201,'Robot Design Input'!$D$2:$D$201)</f>
        <v/>
      </c>
      <c r="I78" s="97" t="str">
        <f t="array" ref="I78">XLOOKUP('Core Values Input'!$A78,'Robot Design Input'!$A$2:$A$201,'Robot Design Input'!$E$2:$E$201)</f>
        <v/>
      </c>
      <c r="J78" s="97" t="str">
        <f t="array" ref="J78">XLOOKUP('Core Values Input'!$A78,'Robot Design Input'!$A$2:$A$201,'Robot Design Input'!$J$2:$J$201)</f>
        <v/>
      </c>
      <c r="K78" s="97" t="str">
        <f t="array" ref="K78">XLOOKUP('Core Values Input'!$A78,'Robot Design Input'!$A$2:$A$201,'Robot Design Input'!$K$2:$K$201)</f>
        <v/>
      </c>
      <c r="L78" s="97" t="str">
        <f t="array" ref="L78">XLOOKUP('Core Values Input'!$A78,'Robot Design Input'!$A$2:$A$201,'Robot Design Input'!$L$2:$L$201)</f>
        <v/>
      </c>
      <c r="M78" s="38"/>
      <c r="N78" s="38"/>
      <c r="O78" s="38"/>
      <c r="P78" s="38"/>
      <c r="Q78" s="38"/>
      <c r="R78" s="38"/>
      <c r="S78" s="38"/>
      <c r="T78" s="38"/>
      <c r="U78" s="98" t="str">
        <f>SUM('Core Values Input'!$C78:$L78,'Core Values Input'!$T78)</f>
        <v>#N/A</v>
      </c>
      <c r="V78" s="80">
        <f>IF('Core Values Input'!$A78&gt;0,MIN(_xlfn.RANK.EQ('Core Values Input'!$U78,'Core Values Input'!$U$2:$U$201,0),NumberOfTeams),NumberOfTeams+1)</f>
        <v>1</v>
      </c>
      <c r="W78" s="99"/>
      <c r="X78" s="99"/>
      <c r="Y78" s="99"/>
    </row>
    <row r="79" ht="30.0" customHeight="1">
      <c r="A79" s="38" t="str">
        <f t="array" ref="A79">XLOOKUP(78,'Team and Program Information'!$B$3:$B$202,'Team and Program Information'!$C$3:$C$202,"ERROR",0)</f>
        <v/>
      </c>
      <c r="B79" s="68" t="str">
        <f t="array" ref="B79">XLOOKUP('Core Values Input'!$A79,'Team and Program Information'!$C$3:$C$202,'Team and Program Information'!$D$3:$D$202,"",0,)</f>
        <v>#VALUE!</v>
      </c>
      <c r="C79" s="97" t="str">
        <f t="array" ref="C79">XLOOKUP('Core Values Input'!$A79,'Innovation Project Input'!$A$2:$A$201,'Innovation Project Input'!$D$2:$D$201)</f>
        <v>#N/A</v>
      </c>
      <c r="D79" s="97" t="str">
        <f t="array" ref="D79">XLOOKUP('Core Values Input'!$A79,'Innovation Project Input'!$A$2:$A$201,'Innovation Project Input'!$F$2:$F$201)</f>
        <v>#N/A</v>
      </c>
      <c r="E79" s="97" t="str">
        <f t="array" ref="E79">XLOOKUP('Core Values Input'!$A79,'Innovation Project Input'!$A$2:$A$201,'Innovation Project Input'!$G$2:$G$201)</f>
        <v>#N/A</v>
      </c>
      <c r="F79" s="97" t="str">
        <f t="array" ref="F79">XLOOKUP('Core Values Input'!$A79,'Innovation Project Input'!$A$2:$A$201,'Innovation Project Input'!$K$2:$K$201)</f>
        <v>#N/A</v>
      </c>
      <c r="G79" s="97" t="str">
        <f t="array" ref="G79">XLOOKUP('Core Values Input'!$A79,'Innovation Project Input'!$A$2:$A$201,'Innovation Project Input'!$L$2:$L$201)</f>
        <v>#N/A</v>
      </c>
      <c r="H79" s="97" t="str">
        <f t="array" ref="H79">XLOOKUP('Core Values Input'!$A79,'Robot Design Input'!$A$2:$A$201,'Robot Design Input'!$D$2:$D$201)</f>
        <v/>
      </c>
      <c r="I79" s="97" t="str">
        <f t="array" ref="I79">XLOOKUP('Core Values Input'!$A79,'Robot Design Input'!$A$2:$A$201,'Robot Design Input'!$E$2:$E$201)</f>
        <v/>
      </c>
      <c r="J79" s="97" t="str">
        <f t="array" ref="J79">XLOOKUP('Core Values Input'!$A79,'Robot Design Input'!$A$2:$A$201,'Robot Design Input'!$J$2:$J$201)</f>
        <v/>
      </c>
      <c r="K79" s="97" t="str">
        <f t="array" ref="K79">XLOOKUP('Core Values Input'!$A79,'Robot Design Input'!$A$2:$A$201,'Robot Design Input'!$K$2:$K$201)</f>
        <v/>
      </c>
      <c r="L79" s="97" t="str">
        <f t="array" ref="L79">XLOOKUP('Core Values Input'!$A79,'Robot Design Input'!$A$2:$A$201,'Robot Design Input'!$L$2:$L$201)</f>
        <v/>
      </c>
      <c r="M79" s="38"/>
      <c r="N79" s="38"/>
      <c r="O79" s="38"/>
      <c r="P79" s="38"/>
      <c r="Q79" s="38"/>
      <c r="R79" s="38"/>
      <c r="S79" s="38"/>
      <c r="T79" s="38"/>
      <c r="U79" s="98" t="str">
        <f>SUM('Core Values Input'!$C79:$L79,'Core Values Input'!$T79)</f>
        <v>#N/A</v>
      </c>
      <c r="V79" s="80">
        <f>IF('Core Values Input'!$A79&gt;0,MIN(_xlfn.RANK.EQ('Core Values Input'!$U79,'Core Values Input'!$U$2:$U$201,0),NumberOfTeams),NumberOfTeams+1)</f>
        <v>1</v>
      </c>
      <c r="W79" s="99"/>
      <c r="X79" s="99"/>
      <c r="Y79" s="99"/>
    </row>
    <row r="80" ht="30.0" customHeight="1">
      <c r="A80" s="38" t="str">
        <f t="array" ref="A80">XLOOKUP(79,'Team and Program Information'!$B$3:$B$202,'Team and Program Information'!$C$3:$C$202,"ERROR",0)</f>
        <v/>
      </c>
      <c r="B80" s="68" t="str">
        <f t="array" ref="B80">XLOOKUP('Core Values Input'!$A80,'Team and Program Information'!$C$3:$C$202,'Team and Program Information'!$D$3:$D$202,"",0,)</f>
        <v>#VALUE!</v>
      </c>
      <c r="C80" s="97" t="str">
        <f t="array" ref="C80">XLOOKUP('Core Values Input'!$A80,'Innovation Project Input'!$A$2:$A$201,'Innovation Project Input'!$D$2:$D$201)</f>
        <v>#N/A</v>
      </c>
      <c r="D80" s="97" t="str">
        <f t="array" ref="D80">XLOOKUP('Core Values Input'!$A80,'Innovation Project Input'!$A$2:$A$201,'Innovation Project Input'!$F$2:$F$201)</f>
        <v>#N/A</v>
      </c>
      <c r="E80" s="97" t="str">
        <f t="array" ref="E80">XLOOKUP('Core Values Input'!$A80,'Innovation Project Input'!$A$2:$A$201,'Innovation Project Input'!$G$2:$G$201)</f>
        <v>#N/A</v>
      </c>
      <c r="F80" s="97" t="str">
        <f t="array" ref="F80">XLOOKUP('Core Values Input'!$A80,'Innovation Project Input'!$A$2:$A$201,'Innovation Project Input'!$K$2:$K$201)</f>
        <v>#N/A</v>
      </c>
      <c r="G80" s="97" t="str">
        <f t="array" ref="G80">XLOOKUP('Core Values Input'!$A80,'Innovation Project Input'!$A$2:$A$201,'Innovation Project Input'!$L$2:$L$201)</f>
        <v>#N/A</v>
      </c>
      <c r="H80" s="97" t="str">
        <f t="array" ref="H80">XLOOKUP('Core Values Input'!$A80,'Robot Design Input'!$A$2:$A$201,'Robot Design Input'!$D$2:$D$201)</f>
        <v/>
      </c>
      <c r="I80" s="97" t="str">
        <f t="array" ref="I80">XLOOKUP('Core Values Input'!$A80,'Robot Design Input'!$A$2:$A$201,'Robot Design Input'!$E$2:$E$201)</f>
        <v/>
      </c>
      <c r="J80" s="97" t="str">
        <f t="array" ref="J80">XLOOKUP('Core Values Input'!$A80,'Robot Design Input'!$A$2:$A$201,'Robot Design Input'!$J$2:$J$201)</f>
        <v/>
      </c>
      <c r="K80" s="97" t="str">
        <f t="array" ref="K80">XLOOKUP('Core Values Input'!$A80,'Robot Design Input'!$A$2:$A$201,'Robot Design Input'!$K$2:$K$201)</f>
        <v/>
      </c>
      <c r="L80" s="97" t="str">
        <f t="array" ref="L80">XLOOKUP('Core Values Input'!$A80,'Robot Design Input'!$A$2:$A$201,'Robot Design Input'!$L$2:$L$201)</f>
        <v/>
      </c>
      <c r="M80" s="38"/>
      <c r="N80" s="38"/>
      <c r="O80" s="38"/>
      <c r="P80" s="38"/>
      <c r="Q80" s="38"/>
      <c r="R80" s="38"/>
      <c r="S80" s="38"/>
      <c r="T80" s="38"/>
      <c r="U80" s="98" t="str">
        <f>SUM('Core Values Input'!$C80:$L80,'Core Values Input'!$T80)</f>
        <v>#N/A</v>
      </c>
      <c r="V80" s="80">
        <f>IF('Core Values Input'!$A80&gt;0,MIN(_xlfn.RANK.EQ('Core Values Input'!$U80,'Core Values Input'!$U$2:$U$201,0),NumberOfTeams),NumberOfTeams+1)</f>
        <v>1</v>
      </c>
      <c r="W80" s="99"/>
      <c r="X80" s="99"/>
      <c r="Y80" s="99"/>
    </row>
    <row r="81" ht="30.0" customHeight="1">
      <c r="A81" s="38" t="str">
        <f t="array" ref="A81">XLOOKUP(80,'Team and Program Information'!$B$3:$B$202,'Team and Program Information'!$C$3:$C$202,"ERROR",0)</f>
        <v/>
      </c>
      <c r="B81" s="68" t="str">
        <f t="array" ref="B81">XLOOKUP('Core Values Input'!$A81,'Team and Program Information'!$C$3:$C$202,'Team and Program Information'!$D$3:$D$202,"",0,)</f>
        <v>#VALUE!</v>
      </c>
      <c r="C81" s="97" t="str">
        <f t="array" ref="C81">XLOOKUP('Core Values Input'!$A81,'Innovation Project Input'!$A$2:$A$201,'Innovation Project Input'!$D$2:$D$201)</f>
        <v>#N/A</v>
      </c>
      <c r="D81" s="97" t="str">
        <f t="array" ref="D81">XLOOKUP('Core Values Input'!$A81,'Innovation Project Input'!$A$2:$A$201,'Innovation Project Input'!$F$2:$F$201)</f>
        <v>#N/A</v>
      </c>
      <c r="E81" s="97" t="str">
        <f t="array" ref="E81">XLOOKUP('Core Values Input'!$A81,'Innovation Project Input'!$A$2:$A$201,'Innovation Project Input'!$G$2:$G$201)</f>
        <v>#N/A</v>
      </c>
      <c r="F81" s="97" t="str">
        <f t="array" ref="F81">XLOOKUP('Core Values Input'!$A81,'Innovation Project Input'!$A$2:$A$201,'Innovation Project Input'!$K$2:$K$201)</f>
        <v>#N/A</v>
      </c>
      <c r="G81" s="97" t="str">
        <f t="array" ref="G81">XLOOKUP('Core Values Input'!$A81,'Innovation Project Input'!$A$2:$A$201,'Innovation Project Input'!$L$2:$L$201)</f>
        <v>#N/A</v>
      </c>
      <c r="H81" s="97" t="str">
        <f t="array" ref="H81">XLOOKUP('Core Values Input'!$A81,'Robot Design Input'!$A$2:$A$201,'Robot Design Input'!$D$2:$D$201)</f>
        <v/>
      </c>
      <c r="I81" s="97" t="str">
        <f t="array" ref="I81">XLOOKUP('Core Values Input'!$A81,'Robot Design Input'!$A$2:$A$201,'Robot Design Input'!$E$2:$E$201)</f>
        <v/>
      </c>
      <c r="J81" s="97" t="str">
        <f t="array" ref="J81">XLOOKUP('Core Values Input'!$A81,'Robot Design Input'!$A$2:$A$201,'Robot Design Input'!$J$2:$J$201)</f>
        <v/>
      </c>
      <c r="K81" s="97" t="str">
        <f t="array" ref="K81">XLOOKUP('Core Values Input'!$A81,'Robot Design Input'!$A$2:$A$201,'Robot Design Input'!$K$2:$K$201)</f>
        <v/>
      </c>
      <c r="L81" s="97" t="str">
        <f t="array" ref="L81">XLOOKUP('Core Values Input'!$A81,'Robot Design Input'!$A$2:$A$201,'Robot Design Input'!$L$2:$L$201)</f>
        <v/>
      </c>
      <c r="M81" s="38"/>
      <c r="N81" s="38"/>
      <c r="O81" s="38"/>
      <c r="P81" s="38"/>
      <c r="Q81" s="38"/>
      <c r="R81" s="38"/>
      <c r="S81" s="38"/>
      <c r="T81" s="38"/>
      <c r="U81" s="98" t="str">
        <f>SUM('Core Values Input'!$C81:$L81,'Core Values Input'!$T81)</f>
        <v>#N/A</v>
      </c>
      <c r="V81" s="80">
        <f>IF('Core Values Input'!$A81&gt;0,MIN(_xlfn.RANK.EQ('Core Values Input'!$U81,'Core Values Input'!$U$2:$U$201,0),NumberOfTeams),NumberOfTeams+1)</f>
        <v>1</v>
      </c>
      <c r="W81" s="99"/>
      <c r="X81" s="99"/>
      <c r="Y81" s="99"/>
    </row>
    <row r="82" ht="30.0" customHeight="1">
      <c r="A82" s="38" t="str">
        <f t="array" ref="A82">XLOOKUP(81,'Team and Program Information'!$B$3:$B$202,'Team and Program Information'!$C$3:$C$202,"ERROR",0)</f>
        <v/>
      </c>
      <c r="B82" s="68" t="str">
        <f t="array" ref="B82">XLOOKUP('Core Values Input'!$A82,'Team and Program Information'!$C$3:$C$202,'Team and Program Information'!$D$3:$D$202,"",0,)</f>
        <v>#VALUE!</v>
      </c>
      <c r="C82" s="97" t="str">
        <f t="array" ref="C82">XLOOKUP('Core Values Input'!$A82,'Innovation Project Input'!$A$2:$A$201,'Innovation Project Input'!$D$2:$D$201)</f>
        <v>#N/A</v>
      </c>
      <c r="D82" s="97" t="str">
        <f t="array" ref="D82">XLOOKUP('Core Values Input'!$A82,'Innovation Project Input'!$A$2:$A$201,'Innovation Project Input'!$F$2:$F$201)</f>
        <v>#N/A</v>
      </c>
      <c r="E82" s="97" t="str">
        <f t="array" ref="E82">XLOOKUP('Core Values Input'!$A82,'Innovation Project Input'!$A$2:$A$201,'Innovation Project Input'!$G$2:$G$201)</f>
        <v>#N/A</v>
      </c>
      <c r="F82" s="97" t="str">
        <f t="array" ref="F82">XLOOKUP('Core Values Input'!$A82,'Innovation Project Input'!$A$2:$A$201,'Innovation Project Input'!$K$2:$K$201)</f>
        <v>#N/A</v>
      </c>
      <c r="G82" s="97" t="str">
        <f t="array" ref="G82">XLOOKUP('Core Values Input'!$A82,'Innovation Project Input'!$A$2:$A$201,'Innovation Project Input'!$L$2:$L$201)</f>
        <v>#N/A</v>
      </c>
      <c r="H82" s="97" t="str">
        <f t="array" ref="H82">XLOOKUP('Core Values Input'!$A82,'Robot Design Input'!$A$2:$A$201,'Robot Design Input'!$D$2:$D$201)</f>
        <v/>
      </c>
      <c r="I82" s="97" t="str">
        <f t="array" ref="I82">XLOOKUP('Core Values Input'!$A82,'Robot Design Input'!$A$2:$A$201,'Robot Design Input'!$E$2:$E$201)</f>
        <v/>
      </c>
      <c r="J82" s="97" t="str">
        <f t="array" ref="J82">XLOOKUP('Core Values Input'!$A82,'Robot Design Input'!$A$2:$A$201,'Robot Design Input'!$J$2:$J$201)</f>
        <v/>
      </c>
      <c r="K82" s="97" t="str">
        <f t="array" ref="K82">XLOOKUP('Core Values Input'!$A82,'Robot Design Input'!$A$2:$A$201,'Robot Design Input'!$K$2:$K$201)</f>
        <v/>
      </c>
      <c r="L82" s="97" t="str">
        <f t="array" ref="L82">XLOOKUP('Core Values Input'!$A82,'Robot Design Input'!$A$2:$A$201,'Robot Design Input'!$L$2:$L$201)</f>
        <v/>
      </c>
      <c r="M82" s="38"/>
      <c r="N82" s="38"/>
      <c r="O82" s="38"/>
      <c r="P82" s="38"/>
      <c r="Q82" s="38"/>
      <c r="R82" s="38"/>
      <c r="S82" s="38"/>
      <c r="T82" s="38"/>
      <c r="U82" s="98" t="str">
        <f>SUM('Core Values Input'!$C82:$L82,'Core Values Input'!$T82)</f>
        <v>#N/A</v>
      </c>
      <c r="V82" s="80">
        <f>IF('Core Values Input'!$A82&gt;0,MIN(_xlfn.RANK.EQ('Core Values Input'!$U82,'Core Values Input'!$U$2:$U$201,0),NumberOfTeams),NumberOfTeams+1)</f>
        <v>1</v>
      </c>
      <c r="W82" s="99"/>
      <c r="X82" s="99"/>
      <c r="Y82" s="99"/>
    </row>
    <row r="83" ht="30.0" customHeight="1">
      <c r="A83" s="38" t="str">
        <f t="array" ref="A83">XLOOKUP(82,'Team and Program Information'!$B$3:$B$202,'Team and Program Information'!$C$3:$C$202,"ERROR",0)</f>
        <v/>
      </c>
      <c r="B83" s="68" t="str">
        <f t="array" ref="B83">XLOOKUP('Core Values Input'!$A83,'Team and Program Information'!$C$3:$C$202,'Team and Program Information'!$D$3:$D$202,"",0,)</f>
        <v>#VALUE!</v>
      </c>
      <c r="C83" s="97" t="str">
        <f t="array" ref="C83">XLOOKUP('Core Values Input'!$A83,'Innovation Project Input'!$A$2:$A$201,'Innovation Project Input'!$D$2:$D$201)</f>
        <v>#N/A</v>
      </c>
      <c r="D83" s="97" t="str">
        <f t="array" ref="D83">XLOOKUP('Core Values Input'!$A83,'Innovation Project Input'!$A$2:$A$201,'Innovation Project Input'!$F$2:$F$201)</f>
        <v>#N/A</v>
      </c>
      <c r="E83" s="97" t="str">
        <f t="array" ref="E83">XLOOKUP('Core Values Input'!$A83,'Innovation Project Input'!$A$2:$A$201,'Innovation Project Input'!$G$2:$G$201)</f>
        <v>#N/A</v>
      </c>
      <c r="F83" s="97" t="str">
        <f t="array" ref="F83">XLOOKUP('Core Values Input'!$A83,'Innovation Project Input'!$A$2:$A$201,'Innovation Project Input'!$K$2:$K$201)</f>
        <v>#N/A</v>
      </c>
      <c r="G83" s="97" t="str">
        <f t="array" ref="G83">XLOOKUP('Core Values Input'!$A83,'Innovation Project Input'!$A$2:$A$201,'Innovation Project Input'!$L$2:$L$201)</f>
        <v>#N/A</v>
      </c>
      <c r="H83" s="97" t="str">
        <f t="array" ref="H83">XLOOKUP('Core Values Input'!$A83,'Robot Design Input'!$A$2:$A$201,'Robot Design Input'!$D$2:$D$201)</f>
        <v/>
      </c>
      <c r="I83" s="97" t="str">
        <f t="array" ref="I83">XLOOKUP('Core Values Input'!$A83,'Robot Design Input'!$A$2:$A$201,'Robot Design Input'!$E$2:$E$201)</f>
        <v/>
      </c>
      <c r="J83" s="97" t="str">
        <f t="array" ref="J83">XLOOKUP('Core Values Input'!$A83,'Robot Design Input'!$A$2:$A$201,'Robot Design Input'!$J$2:$J$201)</f>
        <v/>
      </c>
      <c r="K83" s="97" t="str">
        <f t="array" ref="K83">XLOOKUP('Core Values Input'!$A83,'Robot Design Input'!$A$2:$A$201,'Robot Design Input'!$K$2:$K$201)</f>
        <v/>
      </c>
      <c r="L83" s="97" t="str">
        <f t="array" ref="L83">XLOOKUP('Core Values Input'!$A83,'Robot Design Input'!$A$2:$A$201,'Robot Design Input'!$L$2:$L$201)</f>
        <v/>
      </c>
      <c r="M83" s="38"/>
      <c r="N83" s="38"/>
      <c r="O83" s="38"/>
      <c r="P83" s="38"/>
      <c r="Q83" s="38"/>
      <c r="R83" s="38"/>
      <c r="S83" s="38"/>
      <c r="T83" s="38"/>
      <c r="U83" s="98" t="str">
        <f>SUM('Core Values Input'!$C83:$L83,'Core Values Input'!$T83)</f>
        <v>#N/A</v>
      </c>
      <c r="V83" s="80">
        <f>IF('Core Values Input'!$A83&gt;0,MIN(_xlfn.RANK.EQ('Core Values Input'!$U83,'Core Values Input'!$U$2:$U$201,0),NumberOfTeams),NumberOfTeams+1)</f>
        <v>1</v>
      </c>
      <c r="W83" s="99"/>
      <c r="X83" s="99"/>
      <c r="Y83" s="99"/>
    </row>
    <row r="84" ht="30.0" customHeight="1">
      <c r="A84" s="38" t="str">
        <f t="array" ref="A84">XLOOKUP(83,'Team and Program Information'!$B$3:$B$202,'Team and Program Information'!$C$3:$C$202,"ERROR",0)</f>
        <v/>
      </c>
      <c r="B84" s="68" t="str">
        <f t="array" ref="B84">XLOOKUP('Core Values Input'!$A84,'Team and Program Information'!$C$3:$C$202,'Team and Program Information'!$D$3:$D$202,"",0,)</f>
        <v>#VALUE!</v>
      </c>
      <c r="C84" s="97" t="str">
        <f t="array" ref="C84">XLOOKUP('Core Values Input'!$A84,'Innovation Project Input'!$A$2:$A$201,'Innovation Project Input'!$D$2:$D$201)</f>
        <v>#N/A</v>
      </c>
      <c r="D84" s="97" t="str">
        <f t="array" ref="D84">XLOOKUP('Core Values Input'!$A84,'Innovation Project Input'!$A$2:$A$201,'Innovation Project Input'!$F$2:$F$201)</f>
        <v>#N/A</v>
      </c>
      <c r="E84" s="97" t="str">
        <f t="array" ref="E84">XLOOKUP('Core Values Input'!$A84,'Innovation Project Input'!$A$2:$A$201,'Innovation Project Input'!$G$2:$G$201)</f>
        <v>#N/A</v>
      </c>
      <c r="F84" s="97" t="str">
        <f t="array" ref="F84">XLOOKUP('Core Values Input'!$A84,'Innovation Project Input'!$A$2:$A$201,'Innovation Project Input'!$K$2:$K$201)</f>
        <v>#N/A</v>
      </c>
      <c r="G84" s="97" t="str">
        <f t="array" ref="G84">XLOOKUP('Core Values Input'!$A84,'Innovation Project Input'!$A$2:$A$201,'Innovation Project Input'!$L$2:$L$201)</f>
        <v>#N/A</v>
      </c>
      <c r="H84" s="97" t="str">
        <f t="array" ref="H84">XLOOKUP('Core Values Input'!$A84,'Robot Design Input'!$A$2:$A$201,'Robot Design Input'!$D$2:$D$201)</f>
        <v/>
      </c>
      <c r="I84" s="97" t="str">
        <f t="array" ref="I84">XLOOKUP('Core Values Input'!$A84,'Robot Design Input'!$A$2:$A$201,'Robot Design Input'!$E$2:$E$201)</f>
        <v/>
      </c>
      <c r="J84" s="97" t="str">
        <f t="array" ref="J84">XLOOKUP('Core Values Input'!$A84,'Robot Design Input'!$A$2:$A$201,'Robot Design Input'!$J$2:$J$201)</f>
        <v/>
      </c>
      <c r="K84" s="97" t="str">
        <f t="array" ref="K84">XLOOKUP('Core Values Input'!$A84,'Robot Design Input'!$A$2:$A$201,'Robot Design Input'!$K$2:$K$201)</f>
        <v/>
      </c>
      <c r="L84" s="97" t="str">
        <f t="array" ref="L84">XLOOKUP('Core Values Input'!$A84,'Robot Design Input'!$A$2:$A$201,'Robot Design Input'!$L$2:$L$201)</f>
        <v/>
      </c>
      <c r="M84" s="38"/>
      <c r="N84" s="38"/>
      <c r="O84" s="38"/>
      <c r="P84" s="38"/>
      <c r="Q84" s="38"/>
      <c r="R84" s="38"/>
      <c r="S84" s="38"/>
      <c r="T84" s="38"/>
      <c r="U84" s="98" t="str">
        <f>SUM('Core Values Input'!$C84:$L84,'Core Values Input'!$T84)</f>
        <v>#N/A</v>
      </c>
      <c r="V84" s="80">
        <f>IF('Core Values Input'!$A84&gt;0,MIN(_xlfn.RANK.EQ('Core Values Input'!$U84,'Core Values Input'!$U$2:$U$201,0),NumberOfTeams),NumberOfTeams+1)</f>
        <v>1</v>
      </c>
      <c r="W84" s="99"/>
      <c r="X84" s="99"/>
      <c r="Y84" s="99"/>
    </row>
    <row r="85" ht="30.0" customHeight="1">
      <c r="A85" s="38" t="str">
        <f t="array" ref="A85">XLOOKUP(84,'Team and Program Information'!$B$3:$B$202,'Team and Program Information'!$C$3:$C$202,"ERROR",0)</f>
        <v/>
      </c>
      <c r="B85" s="68" t="str">
        <f t="array" ref="B85">XLOOKUP('Core Values Input'!$A85,'Team and Program Information'!$C$3:$C$202,'Team and Program Information'!$D$3:$D$202,"",0,)</f>
        <v>#VALUE!</v>
      </c>
      <c r="C85" s="97" t="str">
        <f t="array" ref="C85">XLOOKUP('Core Values Input'!$A85,'Innovation Project Input'!$A$2:$A$201,'Innovation Project Input'!$D$2:$D$201)</f>
        <v>#N/A</v>
      </c>
      <c r="D85" s="97" t="str">
        <f t="array" ref="D85">XLOOKUP('Core Values Input'!$A85,'Innovation Project Input'!$A$2:$A$201,'Innovation Project Input'!$F$2:$F$201)</f>
        <v>#N/A</v>
      </c>
      <c r="E85" s="97" t="str">
        <f t="array" ref="E85">XLOOKUP('Core Values Input'!$A85,'Innovation Project Input'!$A$2:$A$201,'Innovation Project Input'!$G$2:$G$201)</f>
        <v>#N/A</v>
      </c>
      <c r="F85" s="97" t="str">
        <f t="array" ref="F85">XLOOKUP('Core Values Input'!$A85,'Innovation Project Input'!$A$2:$A$201,'Innovation Project Input'!$K$2:$K$201)</f>
        <v>#N/A</v>
      </c>
      <c r="G85" s="97" t="str">
        <f t="array" ref="G85">XLOOKUP('Core Values Input'!$A85,'Innovation Project Input'!$A$2:$A$201,'Innovation Project Input'!$L$2:$L$201)</f>
        <v>#N/A</v>
      </c>
      <c r="H85" s="97" t="str">
        <f t="array" ref="H85">XLOOKUP('Core Values Input'!$A85,'Robot Design Input'!$A$2:$A$201,'Robot Design Input'!$D$2:$D$201)</f>
        <v/>
      </c>
      <c r="I85" s="97" t="str">
        <f t="array" ref="I85">XLOOKUP('Core Values Input'!$A85,'Robot Design Input'!$A$2:$A$201,'Robot Design Input'!$E$2:$E$201)</f>
        <v/>
      </c>
      <c r="J85" s="97" t="str">
        <f t="array" ref="J85">XLOOKUP('Core Values Input'!$A85,'Robot Design Input'!$A$2:$A$201,'Robot Design Input'!$J$2:$J$201)</f>
        <v/>
      </c>
      <c r="K85" s="97" t="str">
        <f t="array" ref="K85">XLOOKUP('Core Values Input'!$A85,'Robot Design Input'!$A$2:$A$201,'Robot Design Input'!$K$2:$K$201)</f>
        <v/>
      </c>
      <c r="L85" s="97" t="str">
        <f t="array" ref="L85">XLOOKUP('Core Values Input'!$A85,'Robot Design Input'!$A$2:$A$201,'Robot Design Input'!$L$2:$L$201)</f>
        <v/>
      </c>
      <c r="M85" s="38"/>
      <c r="N85" s="38"/>
      <c r="O85" s="38"/>
      <c r="P85" s="38"/>
      <c r="Q85" s="38"/>
      <c r="R85" s="38"/>
      <c r="S85" s="38"/>
      <c r="T85" s="38"/>
      <c r="U85" s="98" t="str">
        <f>SUM('Core Values Input'!$C85:$L85,'Core Values Input'!$T85)</f>
        <v>#N/A</v>
      </c>
      <c r="V85" s="80">
        <f>IF('Core Values Input'!$A85&gt;0,MIN(_xlfn.RANK.EQ('Core Values Input'!$U85,'Core Values Input'!$U$2:$U$201,0),NumberOfTeams),NumberOfTeams+1)</f>
        <v>1</v>
      </c>
      <c r="W85" s="99"/>
      <c r="X85" s="99"/>
      <c r="Y85" s="99"/>
    </row>
    <row r="86" ht="30.0" customHeight="1">
      <c r="A86" s="38" t="str">
        <f t="array" ref="A86">XLOOKUP(85,'Team and Program Information'!$B$3:$B$202,'Team and Program Information'!$C$3:$C$202,"ERROR",0)</f>
        <v/>
      </c>
      <c r="B86" s="68" t="str">
        <f t="array" ref="B86">XLOOKUP('Core Values Input'!$A86,'Team and Program Information'!$C$3:$C$202,'Team and Program Information'!$D$3:$D$202,"",0,)</f>
        <v>#VALUE!</v>
      </c>
      <c r="C86" s="97" t="str">
        <f t="array" ref="C86">XLOOKUP('Core Values Input'!$A86,'Innovation Project Input'!$A$2:$A$201,'Innovation Project Input'!$D$2:$D$201)</f>
        <v>#N/A</v>
      </c>
      <c r="D86" s="97" t="str">
        <f t="array" ref="D86">XLOOKUP('Core Values Input'!$A86,'Innovation Project Input'!$A$2:$A$201,'Innovation Project Input'!$F$2:$F$201)</f>
        <v>#N/A</v>
      </c>
      <c r="E86" s="97" t="str">
        <f t="array" ref="E86">XLOOKUP('Core Values Input'!$A86,'Innovation Project Input'!$A$2:$A$201,'Innovation Project Input'!$G$2:$G$201)</f>
        <v>#N/A</v>
      </c>
      <c r="F86" s="97" t="str">
        <f t="array" ref="F86">XLOOKUP('Core Values Input'!$A86,'Innovation Project Input'!$A$2:$A$201,'Innovation Project Input'!$K$2:$K$201)</f>
        <v>#N/A</v>
      </c>
      <c r="G86" s="97" t="str">
        <f t="array" ref="G86">XLOOKUP('Core Values Input'!$A86,'Innovation Project Input'!$A$2:$A$201,'Innovation Project Input'!$L$2:$L$201)</f>
        <v>#N/A</v>
      </c>
      <c r="H86" s="97" t="str">
        <f t="array" ref="H86">XLOOKUP('Core Values Input'!$A86,'Robot Design Input'!$A$2:$A$201,'Robot Design Input'!$D$2:$D$201)</f>
        <v/>
      </c>
      <c r="I86" s="97" t="str">
        <f t="array" ref="I86">XLOOKUP('Core Values Input'!$A86,'Robot Design Input'!$A$2:$A$201,'Robot Design Input'!$E$2:$E$201)</f>
        <v/>
      </c>
      <c r="J86" s="97" t="str">
        <f t="array" ref="J86">XLOOKUP('Core Values Input'!$A86,'Robot Design Input'!$A$2:$A$201,'Robot Design Input'!$J$2:$J$201)</f>
        <v/>
      </c>
      <c r="K86" s="97" t="str">
        <f t="array" ref="K86">XLOOKUP('Core Values Input'!$A86,'Robot Design Input'!$A$2:$A$201,'Robot Design Input'!$K$2:$K$201)</f>
        <v/>
      </c>
      <c r="L86" s="97" t="str">
        <f t="array" ref="L86">XLOOKUP('Core Values Input'!$A86,'Robot Design Input'!$A$2:$A$201,'Robot Design Input'!$L$2:$L$201)</f>
        <v/>
      </c>
      <c r="M86" s="38"/>
      <c r="N86" s="38"/>
      <c r="O86" s="38"/>
      <c r="P86" s="38"/>
      <c r="Q86" s="38"/>
      <c r="R86" s="38"/>
      <c r="S86" s="38"/>
      <c r="T86" s="38"/>
      <c r="U86" s="98" t="str">
        <f>SUM('Core Values Input'!$C86:$L86,'Core Values Input'!$T86)</f>
        <v>#N/A</v>
      </c>
      <c r="V86" s="80">
        <f>IF('Core Values Input'!$A86&gt;0,MIN(_xlfn.RANK.EQ('Core Values Input'!$U86,'Core Values Input'!$U$2:$U$201,0),NumberOfTeams),NumberOfTeams+1)</f>
        <v>1</v>
      </c>
      <c r="W86" s="99"/>
      <c r="X86" s="99"/>
      <c r="Y86" s="99"/>
    </row>
    <row r="87" ht="30.0" customHeight="1">
      <c r="A87" s="38" t="str">
        <f t="array" ref="A87">XLOOKUP(86,'Team and Program Information'!$B$3:$B$202,'Team and Program Information'!$C$3:$C$202,"ERROR",0)</f>
        <v/>
      </c>
      <c r="B87" s="68" t="str">
        <f t="array" ref="B87">XLOOKUP('Core Values Input'!$A87,'Team and Program Information'!$C$3:$C$202,'Team and Program Information'!$D$3:$D$202,"",0,)</f>
        <v>#VALUE!</v>
      </c>
      <c r="C87" s="97" t="str">
        <f t="array" ref="C87">XLOOKUP('Core Values Input'!$A87,'Innovation Project Input'!$A$2:$A$201,'Innovation Project Input'!$D$2:$D$201)</f>
        <v>#N/A</v>
      </c>
      <c r="D87" s="97" t="str">
        <f t="array" ref="D87">XLOOKUP('Core Values Input'!$A87,'Innovation Project Input'!$A$2:$A$201,'Innovation Project Input'!$F$2:$F$201)</f>
        <v>#N/A</v>
      </c>
      <c r="E87" s="97" t="str">
        <f t="array" ref="E87">XLOOKUP('Core Values Input'!$A87,'Innovation Project Input'!$A$2:$A$201,'Innovation Project Input'!$G$2:$G$201)</f>
        <v>#N/A</v>
      </c>
      <c r="F87" s="97" t="str">
        <f t="array" ref="F87">XLOOKUP('Core Values Input'!$A87,'Innovation Project Input'!$A$2:$A$201,'Innovation Project Input'!$K$2:$K$201)</f>
        <v>#N/A</v>
      </c>
      <c r="G87" s="97" t="str">
        <f t="array" ref="G87">XLOOKUP('Core Values Input'!$A87,'Innovation Project Input'!$A$2:$A$201,'Innovation Project Input'!$L$2:$L$201)</f>
        <v>#N/A</v>
      </c>
      <c r="H87" s="97" t="str">
        <f t="array" ref="H87">XLOOKUP('Core Values Input'!$A87,'Robot Design Input'!$A$2:$A$201,'Robot Design Input'!$D$2:$D$201)</f>
        <v/>
      </c>
      <c r="I87" s="97" t="str">
        <f t="array" ref="I87">XLOOKUP('Core Values Input'!$A87,'Robot Design Input'!$A$2:$A$201,'Robot Design Input'!$E$2:$E$201)</f>
        <v/>
      </c>
      <c r="J87" s="97" t="str">
        <f t="array" ref="J87">XLOOKUP('Core Values Input'!$A87,'Robot Design Input'!$A$2:$A$201,'Robot Design Input'!$J$2:$J$201)</f>
        <v/>
      </c>
      <c r="K87" s="97" t="str">
        <f t="array" ref="K87">XLOOKUP('Core Values Input'!$A87,'Robot Design Input'!$A$2:$A$201,'Robot Design Input'!$K$2:$K$201)</f>
        <v/>
      </c>
      <c r="L87" s="97" t="str">
        <f t="array" ref="L87">XLOOKUP('Core Values Input'!$A87,'Robot Design Input'!$A$2:$A$201,'Robot Design Input'!$L$2:$L$201)</f>
        <v/>
      </c>
      <c r="M87" s="38"/>
      <c r="N87" s="38"/>
      <c r="O87" s="38"/>
      <c r="P87" s="38"/>
      <c r="Q87" s="38"/>
      <c r="R87" s="38"/>
      <c r="S87" s="38"/>
      <c r="T87" s="38"/>
      <c r="U87" s="98" t="str">
        <f>SUM('Core Values Input'!$C87:$L87,'Core Values Input'!$T87)</f>
        <v>#N/A</v>
      </c>
      <c r="V87" s="80">
        <f>IF('Core Values Input'!$A87&gt;0,MIN(_xlfn.RANK.EQ('Core Values Input'!$U87,'Core Values Input'!$U$2:$U$201,0),NumberOfTeams),NumberOfTeams+1)</f>
        <v>1</v>
      </c>
      <c r="W87" s="99"/>
      <c r="X87" s="99"/>
      <c r="Y87" s="99"/>
    </row>
    <row r="88" ht="30.0" customHeight="1">
      <c r="A88" s="38" t="str">
        <f t="array" ref="A88">XLOOKUP(87,'Team and Program Information'!$B$3:$B$202,'Team and Program Information'!$C$3:$C$202,"ERROR",0)</f>
        <v/>
      </c>
      <c r="B88" s="68" t="str">
        <f t="array" ref="B88">XLOOKUP('Core Values Input'!$A88,'Team and Program Information'!$C$3:$C$202,'Team and Program Information'!$D$3:$D$202,"",0,)</f>
        <v>#VALUE!</v>
      </c>
      <c r="C88" s="97" t="str">
        <f t="array" ref="C88">XLOOKUP('Core Values Input'!$A88,'Innovation Project Input'!$A$2:$A$201,'Innovation Project Input'!$D$2:$D$201)</f>
        <v>#N/A</v>
      </c>
      <c r="D88" s="97" t="str">
        <f t="array" ref="D88">XLOOKUP('Core Values Input'!$A88,'Innovation Project Input'!$A$2:$A$201,'Innovation Project Input'!$F$2:$F$201)</f>
        <v>#N/A</v>
      </c>
      <c r="E88" s="97" t="str">
        <f t="array" ref="E88">XLOOKUP('Core Values Input'!$A88,'Innovation Project Input'!$A$2:$A$201,'Innovation Project Input'!$G$2:$G$201)</f>
        <v>#N/A</v>
      </c>
      <c r="F88" s="97" t="str">
        <f t="array" ref="F88">XLOOKUP('Core Values Input'!$A88,'Innovation Project Input'!$A$2:$A$201,'Innovation Project Input'!$K$2:$K$201)</f>
        <v>#N/A</v>
      </c>
      <c r="G88" s="97" t="str">
        <f t="array" ref="G88">XLOOKUP('Core Values Input'!$A88,'Innovation Project Input'!$A$2:$A$201,'Innovation Project Input'!$L$2:$L$201)</f>
        <v>#N/A</v>
      </c>
      <c r="H88" s="97" t="str">
        <f t="array" ref="H88">XLOOKUP('Core Values Input'!$A88,'Robot Design Input'!$A$2:$A$201,'Robot Design Input'!$D$2:$D$201)</f>
        <v/>
      </c>
      <c r="I88" s="97" t="str">
        <f t="array" ref="I88">XLOOKUP('Core Values Input'!$A88,'Robot Design Input'!$A$2:$A$201,'Robot Design Input'!$E$2:$E$201)</f>
        <v/>
      </c>
      <c r="J88" s="97" t="str">
        <f t="array" ref="J88">XLOOKUP('Core Values Input'!$A88,'Robot Design Input'!$A$2:$A$201,'Robot Design Input'!$J$2:$J$201)</f>
        <v/>
      </c>
      <c r="K88" s="97" t="str">
        <f t="array" ref="K88">XLOOKUP('Core Values Input'!$A88,'Robot Design Input'!$A$2:$A$201,'Robot Design Input'!$K$2:$K$201)</f>
        <v/>
      </c>
      <c r="L88" s="97" t="str">
        <f t="array" ref="L88">XLOOKUP('Core Values Input'!$A88,'Robot Design Input'!$A$2:$A$201,'Robot Design Input'!$L$2:$L$201)</f>
        <v/>
      </c>
      <c r="M88" s="38"/>
      <c r="N88" s="38"/>
      <c r="O88" s="38"/>
      <c r="P88" s="38"/>
      <c r="Q88" s="38"/>
      <c r="R88" s="38"/>
      <c r="S88" s="38"/>
      <c r="T88" s="38"/>
      <c r="U88" s="98" t="str">
        <f>SUM('Core Values Input'!$C88:$L88,'Core Values Input'!$T88)</f>
        <v>#N/A</v>
      </c>
      <c r="V88" s="80">
        <f>IF('Core Values Input'!$A88&gt;0,MIN(_xlfn.RANK.EQ('Core Values Input'!$U88,'Core Values Input'!$U$2:$U$201,0),NumberOfTeams),NumberOfTeams+1)</f>
        <v>1</v>
      </c>
      <c r="W88" s="99"/>
      <c r="X88" s="99"/>
      <c r="Y88" s="99"/>
    </row>
    <row r="89" ht="30.0" customHeight="1">
      <c r="A89" s="38" t="str">
        <f t="array" ref="A89">XLOOKUP(88,'Team and Program Information'!$B$3:$B$202,'Team and Program Information'!$C$3:$C$202,"ERROR",0)</f>
        <v/>
      </c>
      <c r="B89" s="68" t="str">
        <f t="array" ref="B89">XLOOKUP('Core Values Input'!$A89,'Team and Program Information'!$C$3:$C$202,'Team and Program Information'!$D$3:$D$202,"",0,)</f>
        <v>#VALUE!</v>
      </c>
      <c r="C89" s="97" t="str">
        <f t="array" ref="C89">XLOOKUP('Core Values Input'!$A89,'Innovation Project Input'!$A$2:$A$201,'Innovation Project Input'!$D$2:$D$201)</f>
        <v>#N/A</v>
      </c>
      <c r="D89" s="97" t="str">
        <f t="array" ref="D89">XLOOKUP('Core Values Input'!$A89,'Innovation Project Input'!$A$2:$A$201,'Innovation Project Input'!$F$2:$F$201)</f>
        <v>#N/A</v>
      </c>
      <c r="E89" s="97" t="str">
        <f t="array" ref="E89">XLOOKUP('Core Values Input'!$A89,'Innovation Project Input'!$A$2:$A$201,'Innovation Project Input'!$G$2:$G$201)</f>
        <v>#N/A</v>
      </c>
      <c r="F89" s="97" t="str">
        <f t="array" ref="F89">XLOOKUP('Core Values Input'!$A89,'Innovation Project Input'!$A$2:$A$201,'Innovation Project Input'!$K$2:$K$201)</f>
        <v>#N/A</v>
      </c>
      <c r="G89" s="97" t="str">
        <f t="array" ref="G89">XLOOKUP('Core Values Input'!$A89,'Innovation Project Input'!$A$2:$A$201,'Innovation Project Input'!$L$2:$L$201)</f>
        <v>#N/A</v>
      </c>
      <c r="H89" s="97" t="str">
        <f t="array" ref="H89">XLOOKUP('Core Values Input'!$A89,'Robot Design Input'!$A$2:$A$201,'Robot Design Input'!$D$2:$D$201)</f>
        <v/>
      </c>
      <c r="I89" s="97" t="str">
        <f t="array" ref="I89">XLOOKUP('Core Values Input'!$A89,'Robot Design Input'!$A$2:$A$201,'Robot Design Input'!$E$2:$E$201)</f>
        <v/>
      </c>
      <c r="J89" s="97" t="str">
        <f t="array" ref="J89">XLOOKUP('Core Values Input'!$A89,'Robot Design Input'!$A$2:$A$201,'Robot Design Input'!$J$2:$J$201)</f>
        <v/>
      </c>
      <c r="K89" s="97" t="str">
        <f t="array" ref="K89">XLOOKUP('Core Values Input'!$A89,'Robot Design Input'!$A$2:$A$201,'Robot Design Input'!$K$2:$K$201)</f>
        <v/>
      </c>
      <c r="L89" s="97" t="str">
        <f t="array" ref="L89">XLOOKUP('Core Values Input'!$A89,'Robot Design Input'!$A$2:$A$201,'Robot Design Input'!$L$2:$L$201)</f>
        <v/>
      </c>
      <c r="M89" s="38"/>
      <c r="N89" s="38"/>
      <c r="O89" s="38"/>
      <c r="P89" s="38"/>
      <c r="Q89" s="38"/>
      <c r="R89" s="38"/>
      <c r="S89" s="38"/>
      <c r="T89" s="38"/>
      <c r="U89" s="98" t="str">
        <f>SUM('Core Values Input'!$C89:$L89,'Core Values Input'!$T89)</f>
        <v>#N/A</v>
      </c>
      <c r="V89" s="80">
        <f>IF('Core Values Input'!$A89&gt;0,MIN(_xlfn.RANK.EQ('Core Values Input'!$U89,'Core Values Input'!$U$2:$U$201,0),NumberOfTeams),NumberOfTeams+1)</f>
        <v>1</v>
      </c>
      <c r="W89" s="99"/>
      <c r="X89" s="99"/>
      <c r="Y89" s="99"/>
    </row>
    <row r="90" ht="30.0" customHeight="1">
      <c r="A90" s="38" t="str">
        <f t="array" ref="A90">XLOOKUP(89,'Team and Program Information'!$B$3:$B$202,'Team and Program Information'!$C$3:$C$202,"ERROR",0)</f>
        <v/>
      </c>
      <c r="B90" s="68" t="str">
        <f t="array" ref="B90">XLOOKUP('Core Values Input'!$A90,'Team and Program Information'!$C$3:$C$202,'Team and Program Information'!$D$3:$D$202,"",0,)</f>
        <v>#VALUE!</v>
      </c>
      <c r="C90" s="97" t="str">
        <f t="array" ref="C90">XLOOKUP('Core Values Input'!$A90,'Innovation Project Input'!$A$2:$A$201,'Innovation Project Input'!$D$2:$D$201)</f>
        <v>#N/A</v>
      </c>
      <c r="D90" s="97" t="str">
        <f t="array" ref="D90">XLOOKUP('Core Values Input'!$A90,'Innovation Project Input'!$A$2:$A$201,'Innovation Project Input'!$F$2:$F$201)</f>
        <v>#N/A</v>
      </c>
      <c r="E90" s="97" t="str">
        <f t="array" ref="E90">XLOOKUP('Core Values Input'!$A90,'Innovation Project Input'!$A$2:$A$201,'Innovation Project Input'!$G$2:$G$201)</f>
        <v>#N/A</v>
      </c>
      <c r="F90" s="97" t="str">
        <f t="array" ref="F90">XLOOKUP('Core Values Input'!$A90,'Innovation Project Input'!$A$2:$A$201,'Innovation Project Input'!$K$2:$K$201)</f>
        <v>#N/A</v>
      </c>
      <c r="G90" s="97" t="str">
        <f t="array" ref="G90">XLOOKUP('Core Values Input'!$A90,'Innovation Project Input'!$A$2:$A$201,'Innovation Project Input'!$L$2:$L$201)</f>
        <v>#N/A</v>
      </c>
      <c r="H90" s="97" t="str">
        <f t="array" ref="H90">XLOOKUP('Core Values Input'!$A90,'Robot Design Input'!$A$2:$A$201,'Robot Design Input'!$D$2:$D$201)</f>
        <v/>
      </c>
      <c r="I90" s="97" t="str">
        <f t="array" ref="I90">XLOOKUP('Core Values Input'!$A90,'Robot Design Input'!$A$2:$A$201,'Robot Design Input'!$E$2:$E$201)</f>
        <v/>
      </c>
      <c r="J90" s="97" t="str">
        <f t="array" ref="J90">XLOOKUP('Core Values Input'!$A90,'Robot Design Input'!$A$2:$A$201,'Robot Design Input'!$J$2:$J$201)</f>
        <v/>
      </c>
      <c r="K90" s="97" t="str">
        <f t="array" ref="K90">XLOOKUP('Core Values Input'!$A90,'Robot Design Input'!$A$2:$A$201,'Robot Design Input'!$K$2:$K$201)</f>
        <v/>
      </c>
      <c r="L90" s="97" t="str">
        <f t="array" ref="L90">XLOOKUP('Core Values Input'!$A90,'Robot Design Input'!$A$2:$A$201,'Robot Design Input'!$L$2:$L$201)</f>
        <v/>
      </c>
      <c r="M90" s="38"/>
      <c r="N90" s="38"/>
      <c r="O90" s="38"/>
      <c r="P90" s="38"/>
      <c r="Q90" s="38"/>
      <c r="R90" s="38"/>
      <c r="S90" s="38"/>
      <c r="T90" s="38"/>
      <c r="U90" s="98" t="str">
        <f>SUM('Core Values Input'!$C90:$L90,'Core Values Input'!$T90)</f>
        <v>#N/A</v>
      </c>
      <c r="V90" s="80">
        <f>IF('Core Values Input'!$A90&gt;0,MIN(_xlfn.RANK.EQ('Core Values Input'!$U90,'Core Values Input'!$U$2:$U$201,0),NumberOfTeams),NumberOfTeams+1)</f>
        <v>1</v>
      </c>
      <c r="W90" s="99"/>
      <c r="X90" s="99"/>
      <c r="Y90" s="99"/>
    </row>
    <row r="91" ht="30.0" customHeight="1">
      <c r="A91" s="38" t="str">
        <f t="array" ref="A91">XLOOKUP(90,'Team and Program Information'!$B$3:$B$202,'Team and Program Information'!$C$3:$C$202,"ERROR",0)</f>
        <v/>
      </c>
      <c r="B91" s="68" t="str">
        <f t="array" ref="B91">XLOOKUP('Core Values Input'!$A91,'Team and Program Information'!$C$3:$C$202,'Team and Program Information'!$D$3:$D$202,"",0,)</f>
        <v>#VALUE!</v>
      </c>
      <c r="C91" s="97" t="str">
        <f t="array" ref="C91">XLOOKUP('Core Values Input'!$A91,'Innovation Project Input'!$A$2:$A$201,'Innovation Project Input'!$D$2:$D$201)</f>
        <v>#N/A</v>
      </c>
      <c r="D91" s="97" t="str">
        <f t="array" ref="D91">XLOOKUP('Core Values Input'!$A91,'Innovation Project Input'!$A$2:$A$201,'Innovation Project Input'!$F$2:$F$201)</f>
        <v>#N/A</v>
      </c>
      <c r="E91" s="97" t="str">
        <f t="array" ref="E91">XLOOKUP('Core Values Input'!$A91,'Innovation Project Input'!$A$2:$A$201,'Innovation Project Input'!$G$2:$G$201)</f>
        <v>#N/A</v>
      </c>
      <c r="F91" s="97" t="str">
        <f t="array" ref="F91">XLOOKUP('Core Values Input'!$A91,'Innovation Project Input'!$A$2:$A$201,'Innovation Project Input'!$K$2:$K$201)</f>
        <v>#N/A</v>
      </c>
      <c r="G91" s="97" t="str">
        <f t="array" ref="G91">XLOOKUP('Core Values Input'!$A91,'Innovation Project Input'!$A$2:$A$201,'Innovation Project Input'!$L$2:$L$201)</f>
        <v>#N/A</v>
      </c>
      <c r="H91" s="97" t="str">
        <f t="array" ref="H91">XLOOKUP('Core Values Input'!$A91,'Robot Design Input'!$A$2:$A$201,'Robot Design Input'!$D$2:$D$201)</f>
        <v/>
      </c>
      <c r="I91" s="97" t="str">
        <f t="array" ref="I91">XLOOKUP('Core Values Input'!$A91,'Robot Design Input'!$A$2:$A$201,'Robot Design Input'!$E$2:$E$201)</f>
        <v/>
      </c>
      <c r="J91" s="97" t="str">
        <f t="array" ref="J91">XLOOKUP('Core Values Input'!$A91,'Robot Design Input'!$A$2:$A$201,'Robot Design Input'!$J$2:$J$201)</f>
        <v/>
      </c>
      <c r="K91" s="97" t="str">
        <f t="array" ref="K91">XLOOKUP('Core Values Input'!$A91,'Robot Design Input'!$A$2:$A$201,'Robot Design Input'!$K$2:$K$201)</f>
        <v/>
      </c>
      <c r="L91" s="97" t="str">
        <f t="array" ref="L91">XLOOKUP('Core Values Input'!$A91,'Robot Design Input'!$A$2:$A$201,'Robot Design Input'!$L$2:$L$201)</f>
        <v/>
      </c>
      <c r="M91" s="38"/>
      <c r="N91" s="38"/>
      <c r="O91" s="38"/>
      <c r="P91" s="38"/>
      <c r="Q91" s="38"/>
      <c r="R91" s="38"/>
      <c r="S91" s="38"/>
      <c r="T91" s="38"/>
      <c r="U91" s="98" t="str">
        <f>SUM('Core Values Input'!$C91:$L91,'Core Values Input'!$T91)</f>
        <v>#N/A</v>
      </c>
      <c r="V91" s="80">
        <f>IF('Core Values Input'!$A91&gt;0,MIN(_xlfn.RANK.EQ('Core Values Input'!$U91,'Core Values Input'!$U$2:$U$201,0),NumberOfTeams),NumberOfTeams+1)</f>
        <v>1</v>
      </c>
      <c r="W91" s="99"/>
      <c r="X91" s="99"/>
      <c r="Y91" s="99"/>
    </row>
    <row r="92" ht="30.0" customHeight="1">
      <c r="A92" s="38" t="str">
        <f t="array" ref="A92">XLOOKUP(91,'Team and Program Information'!$B$3:$B$202,'Team and Program Information'!$C$3:$C$202,"ERROR",0)</f>
        <v/>
      </c>
      <c r="B92" s="68" t="str">
        <f t="array" ref="B92">XLOOKUP('Core Values Input'!$A92,'Team and Program Information'!$C$3:$C$202,'Team and Program Information'!$D$3:$D$202,"",0,)</f>
        <v>#VALUE!</v>
      </c>
      <c r="C92" s="97" t="str">
        <f t="array" ref="C92">XLOOKUP('Core Values Input'!$A92,'Innovation Project Input'!$A$2:$A$201,'Innovation Project Input'!$D$2:$D$201)</f>
        <v>#N/A</v>
      </c>
      <c r="D92" s="97" t="str">
        <f t="array" ref="D92">XLOOKUP('Core Values Input'!$A92,'Innovation Project Input'!$A$2:$A$201,'Innovation Project Input'!$F$2:$F$201)</f>
        <v>#N/A</v>
      </c>
      <c r="E92" s="97" t="str">
        <f t="array" ref="E92">XLOOKUP('Core Values Input'!$A92,'Innovation Project Input'!$A$2:$A$201,'Innovation Project Input'!$G$2:$G$201)</f>
        <v>#N/A</v>
      </c>
      <c r="F92" s="97" t="str">
        <f t="array" ref="F92">XLOOKUP('Core Values Input'!$A92,'Innovation Project Input'!$A$2:$A$201,'Innovation Project Input'!$K$2:$K$201)</f>
        <v>#N/A</v>
      </c>
      <c r="G92" s="97" t="str">
        <f t="array" ref="G92">XLOOKUP('Core Values Input'!$A92,'Innovation Project Input'!$A$2:$A$201,'Innovation Project Input'!$L$2:$L$201)</f>
        <v>#N/A</v>
      </c>
      <c r="H92" s="97" t="str">
        <f t="array" ref="H92">XLOOKUP('Core Values Input'!$A92,'Robot Design Input'!$A$2:$A$201,'Robot Design Input'!$D$2:$D$201)</f>
        <v/>
      </c>
      <c r="I92" s="97" t="str">
        <f t="array" ref="I92">XLOOKUP('Core Values Input'!$A92,'Robot Design Input'!$A$2:$A$201,'Robot Design Input'!$E$2:$E$201)</f>
        <v/>
      </c>
      <c r="J92" s="97" t="str">
        <f t="array" ref="J92">XLOOKUP('Core Values Input'!$A92,'Robot Design Input'!$A$2:$A$201,'Robot Design Input'!$J$2:$J$201)</f>
        <v/>
      </c>
      <c r="K92" s="97" t="str">
        <f t="array" ref="K92">XLOOKUP('Core Values Input'!$A92,'Robot Design Input'!$A$2:$A$201,'Robot Design Input'!$K$2:$K$201)</f>
        <v/>
      </c>
      <c r="L92" s="97" t="str">
        <f t="array" ref="L92">XLOOKUP('Core Values Input'!$A92,'Robot Design Input'!$A$2:$A$201,'Robot Design Input'!$L$2:$L$201)</f>
        <v/>
      </c>
      <c r="M92" s="38"/>
      <c r="N92" s="38"/>
      <c r="O92" s="38"/>
      <c r="P92" s="38"/>
      <c r="Q92" s="38"/>
      <c r="R92" s="38"/>
      <c r="S92" s="38"/>
      <c r="T92" s="38"/>
      <c r="U92" s="98" t="str">
        <f>SUM('Core Values Input'!$C92:$L92,'Core Values Input'!$T92)</f>
        <v>#N/A</v>
      </c>
      <c r="V92" s="80">
        <f>IF('Core Values Input'!$A92&gt;0,MIN(_xlfn.RANK.EQ('Core Values Input'!$U92,'Core Values Input'!$U$2:$U$201,0),NumberOfTeams),NumberOfTeams+1)</f>
        <v>1</v>
      </c>
      <c r="W92" s="99"/>
      <c r="X92" s="99"/>
      <c r="Y92" s="99"/>
    </row>
    <row r="93" ht="30.0" customHeight="1">
      <c r="A93" s="38" t="str">
        <f t="array" ref="A93">XLOOKUP(92,'Team and Program Information'!$B$3:$B$202,'Team and Program Information'!$C$3:$C$202,"ERROR",0)</f>
        <v/>
      </c>
      <c r="B93" s="68" t="str">
        <f t="array" ref="B93">XLOOKUP('Core Values Input'!$A93,'Team and Program Information'!$C$3:$C$202,'Team and Program Information'!$D$3:$D$202,"",0,)</f>
        <v>#VALUE!</v>
      </c>
      <c r="C93" s="97" t="str">
        <f t="array" ref="C93">XLOOKUP('Core Values Input'!$A93,'Innovation Project Input'!$A$2:$A$201,'Innovation Project Input'!$D$2:$D$201)</f>
        <v>#N/A</v>
      </c>
      <c r="D93" s="97" t="str">
        <f t="array" ref="D93">XLOOKUP('Core Values Input'!$A93,'Innovation Project Input'!$A$2:$A$201,'Innovation Project Input'!$F$2:$F$201)</f>
        <v>#N/A</v>
      </c>
      <c r="E93" s="97" t="str">
        <f t="array" ref="E93">XLOOKUP('Core Values Input'!$A93,'Innovation Project Input'!$A$2:$A$201,'Innovation Project Input'!$G$2:$G$201)</f>
        <v>#N/A</v>
      </c>
      <c r="F93" s="97" t="str">
        <f t="array" ref="F93">XLOOKUP('Core Values Input'!$A93,'Innovation Project Input'!$A$2:$A$201,'Innovation Project Input'!$K$2:$K$201)</f>
        <v>#N/A</v>
      </c>
      <c r="G93" s="97" t="str">
        <f t="array" ref="G93">XLOOKUP('Core Values Input'!$A93,'Innovation Project Input'!$A$2:$A$201,'Innovation Project Input'!$L$2:$L$201)</f>
        <v>#N/A</v>
      </c>
      <c r="H93" s="97" t="str">
        <f t="array" ref="H93">XLOOKUP('Core Values Input'!$A93,'Robot Design Input'!$A$2:$A$201,'Robot Design Input'!$D$2:$D$201)</f>
        <v/>
      </c>
      <c r="I93" s="97" t="str">
        <f t="array" ref="I93">XLOOKUP('Core Values Input'!$A93,'Robot Design Input'!$A$2:$A$201,'Robot Design Input'!$E$2:$E$201)</f>
        <v/>
      </c>
      <c r="J93" s="97" t="str">
        <f t="array" ref="J93">XLOOKUP('Core Values Input'!$A93,'Robot Design Input'!$A$2:$A$201,'Robot Design Input'!$J$2:$J$201)</f>
        <v/>
      </c>
      <c r="K93" s="97" t="str">
        <f t="array" ref="K93">XLOOKUP('Core Values Input'!$A93,'Robot Design Input'!$A$2:$A$201,'Robot Design Input'!$K$2:$K$201)</f>
        <v/>
      </c>
      <c r="L93" s="97" t="str">
        <f t="array" ref="L93">XLOOKUP('Core Values Input'!$A93,'Robot Design Input'!$A$2:$A$201,'Robot Design Input'!$L$2:$L$201)</f>
        <v/>
      </c>
      <c r="M93" s="38"/>
      <c r="N93" s="38"/>
      <c r="O93" s="38"/>
      <c r="P93" s="38"/>
      <c r="Q93" s="38"/>
      <c r="R93" s="38"/>
      <c r="S93" s="38"/>
      <c r="T93" s="38"/>
      <c r="U93" s="98" t="str">
        <f>SUM('Core Values Input'!$C93:$L93,'Core Values Input'!$T93)</f>
        <v>#N/A</v>
      </c>
      <c r="V93" s="80">
        <f>IF('Core Values Input'!$A93&gt;0,MIN(_xlfn.RANK.EQ('Core Values Input'!$U93,'Core Values Input'!$U$2:$U$201,0),NumberOfTeams),NumberOfTeams+1)</f>
        <v>1</v>
      </c>
      <c r="W93" s="99"/>
      <c r="X93" s="99"/>
      <c r="Y93" s="99"/>
    </row>
    <row r="94" ht="30.0" customHeight="1">
      <c r="A94" s="38" t="str">
        <f t="array" ref="A94">XLOOKUP(93,'Team and Program Information'!$B$3:$B$202,'Team and Program Information'!$C$3:$C$202,"ERROR",0)</f>
        <v/>
      </c>
      <c r="B94" s="68" t="str">
        <f t="array" ref="B94">XLOOKUP('Core Values Input'!$A94,'Team and Program Information'!$C$3:$C$202,'Team and Program Information'!$D$3:$D$202,"",0,)</f>
        <v>#VALUE!</v>
      </c>
      <c r="C94" s="97" t="str">
        <f t="array" ref="C94">XLOOKUP('Core Values Input'!$A94,'Innovation Project Input'!$A$2:$A$201,'Innovation Project Input'!$D$2:$D$201)</f>
        <v>#N/A</v>
      </c>
      <c r="D94" s="97" t="str">
        <f t="array" ref="D94">XLOOKUP('Core Values Input'!$A94,'Innovation Project Input'!$A$2:$A$201,'Innovation Project Input'!$F$2:$F$201)</f>
        <v>#N/A</v>
      </c>
      <c r="E94" s="97" t="str">
        <f t="array" ref="E94">XLOOKUP('Core Values Input'!$A94,'Innovation Project Input'!$A$2:$A$201,'Innovation Project Input'!$G$2:$G$201)</f>
        <v>#N/A</v>
      </c>
      <c r="F94" s="97" t="str">
        <f t="array" ref="F94">XLOOKUP('Core Values Input'!$A94,'Innovation Project Input'!$A$2:$A$201,'Innovation Project Input'!$K$2:$K$201)</f>
        <v>#N/A</v>
      </c>
      <c r="G94" s="97" t="str">
        <f t="array" ref="G94">XLOOKUP('Core Values Input'!$A94,'Innovation Project Input'!$A$2:$A$201,'Innovation Project Input'!$L$2:$L$201)</f>
        <v>#N/A</v>
      </c>
      <c r="H94" s="97" t="str">
        <f t="array" ref="H94">XLOOKUP('Core Values Input'!$A94,'Robot Design Input'!$A$2:$A$201,'Robot Design Input'!$D$2:$D$201)</f>
        <v/>
      </c>
      <c r="I94" s="97" t="str">
        <f t="array" ref="I94">XLOOKUP('Core Values Input'!$A94,'Robot Design Input'!$A$2:$A$201,'Robot Design Input'!$E$2:$E$201)</f>
        <v/>
      </c>
      <c r="J94" s="97" t="str">
        <f t="array" ref="J94">XLOOKUP('Core Values Input'!$A94,'Robot Design Input'!$A$2:$A$201,'Robot Design Input'!$J$2:$J$201)</f>
        <v/>
      </c>
      <c r="K94" s="97" t="str">
        <f t="array" ref="K94">XLOOKUP('Core Values Input'!$A94,'Robot Design Input'!$A$2:$A$201,'Robot Design Input'!$K$2:$K$201)</f>
        <v/>
      </c>
      <c r="L94" s="97" t="str">
        <f t="array" ref="L94">XLOOKUP('Core Values Input'!$A94,'Robot Design Input'!$A$2:$A$201,'Robot Design Input'!$L$2:$L$201)</f>
        <v/>
      </c>
      <c r="M94" s="38"/>
      <c r="N94" s="38"/>
      <c r="O94" s="38"/>
      <c r="P94" s="38"/>
      <c r="Q94" s="38"/>
      <c r="R94" s="38"/>
      <c r="S94" s="38"/>
      <c r="T94" s="38"/>
      <c r="U94" s="98" t="str">
        <f>SUM('Core Values Input'!$C94:$L94,'Core Values Input'!$T94)</f>
        <v>#N/A</v>
      </c>
      <c r="V94" s="80">
        <f>IF('Core Values Input'!$A94&gt;0,MIN(_xlfn.RANK.EQ('Core Values Input'!$U94,'Core Values Input'!$U$2:$U$201,0),NumberOfTeams),NumberOfTeams+1)</f>
        <v>1</v>
      </c>
      <c r="W94" s="99"/>
      <c r="X94" s="99"/>
      <c r="Y94" s="99"/>
    </row>
    <row r="95" ht="30.0" customHeight="1">
      <c r="A95" s="38" t="str">
        <f t="array" ref="A95">XLOOKUP(94,'Team and Program Information'!$B$3:$B$202,'Team and Program Information'!$C$3:$C$202,"ERROR",0)</f>
        <v/>
      </c>
      <c r="B95" s="68" t="str">
        <f t="array" ref="B95">XLOOKUP('Core Values Input'!$A95,'Team and Program Information'!$C$3:$C$202,'Team and Program Information'!$D$3:$D$202,"",0,)</f>
        <v>#VALUE!</v>
      </c>
      <c r="C95" s="97" t="str">
        <f t="array" ref="C95">XLOOKUP('Core Values Input'!$A95,'Innovation Project Input'!$A$2:$A$201,'Innovation Project Input'!$D$2:$D$201)</f>
        <v>#N/A</v>
      </c>
      <c r="D95" s="97" t="str">
        <f t="array" ref="D95">XLOOKUP('Core Values Input'!$A95,'Innovation Project Input'!$A$2:$A$201,'Innovation Project Input'!$F$2:$F$201)</f>
        <v>#N/A</v>
      </c>
      <c r="E95" s="97" t="str">
        <f t="array" ref="E95">XLOOKUP('Core Values Input'!$A95,'Innovation Project Input'!$A$2:$A$201,'Innovation Project Input'!$G$2:$G$201)</f>
        <v>#N/A</v>
      </c>
      <c r="F95" s="97" t="str">
        <f t="array" ref="F95">XLOOKUP('Core Values Input'!$A95,'Innovation Project Input'!$A$2:$A$201,'Innovation Project Input'!$K$2:$K$201)</f>
        <v>#N/A</v>
      </c>
      <c r="G95" s="97" t="str">
        <f t="array" ref="G95">XLOOKUP('Core Values Input'!$A95,'Innovation Project Input'!$A$2:$A$201,'Innovation Project Input'!$L$2:$L$201)</f>
        <v>#N/A</v>
      </c>
      <c r="H95" s="97" t="str">
        <f t="array" ref="H95">XLOOKUP('Core Values Input'!$A95,'Robot Design Input'!$A$2:$A$201,'Robot Design Input'!$D$2:$D$201)</f>
        <v/>
      </c>
      <c r="I95" s="97" t="str">
        <f t="array" ref="I95">XLOOKUP('Core Values Input'!$A95,'Robot Design Input'!$A$2:$A$201,'Robot Design Input'!$E$2:$E$201)</f>
        <v/>
      </c>
      <c r="J95" s="97" t="str">
        <f t="array" ref="J95">XLOOKUP('Core Values Input'!$A95,'Robot Design Input'!$A$2:$A$201,'Robot Design Input'!$J$2:$J$201)</f>
        <v/>
      </c>
      <c r="K95" s="97" t="str">
        <f t="array" ref="K95">XLOOKUP('Core Values Input'!$A95,'Robot Design Input'!$A$2:$A$201,'Robot Design Input'!$K$2:$K$201)</f>
        <v/>
      </c>
      <c r="L95" s="97" t="str">
        <f t="array" ref="L95">XLOOKUP('Core Values Input'!$A95,'Robot Design Input'!$A$2:$A$201,'Robot Design Input'!$L$2:$L$201)</f>
        <v/>
      </c>
      <c r="M95" s="38"/>
      <c r="N95" s="38"/>
      <c r="O95" s="38"/>
      <c r="P95" s="38"/>
      <c r="Q95" s="38"/>
      <c r="R95" s="38"/>
      <c r="S95" s="38"/>
      <c r="T95" s="38"/>
      <c r="U95" s="98" t="str">
        <f>SUM('Core Values Input'!$C95:$L95,'Core Values Input'!$T95)</f>
        <v>#N/A</v>
      </c>
      <c r="V95" s="80">
        <f>IF('Core Values Input'!$A95&gt;0,MIN(_xlfn.RANK.EQ('Core Values Input'!$U95,'Core Values Input'!$U$2:$U$201,0),NumberOfTeams),NumberOfTeams+1)</f>
        <v>1</v>
      </c>
      <c r="W95" s="99"/>
      <c r="X95" s="99"/>
      <c r="Y95" s="99"/>
    </row>
    <row r="96" ht="30.0" customHeight="1">
      <c r="A96" s="38" t="str">
        <f t="array" ref="A96">XLOOKUP(95,'Team and Program Information'!$B$3:$B$202,'Team and Program Information'!$C$3:$C$202,"ERROR",0)</f>
        <v/>
      </c>
      <c r="B96" s="68" t="str">
        <f t="array" ref="B96">XLOOKUP('Core Values Input'!$A96,'Team and Program Information'!$C$3:$C$202,'Team and Program Information'!$D$3:$D$202,"",0,)</f>
        <v>#VALUE!</v>
      </c>
      <c r="C96" s="97" t="str">
        <f t="array" ref="C96">XLOOKUP('Core Values Input'!$A96,'Innovation Project Input'!$A$2:$A$201,'Innovation Project Input'!$D$2:$D$201)</f>
        <v>#N/A</v>
      </c>
      <c r="D96" s="97" t="str">
        <f t="array" ref="D96">XLOOKUP('Core Values Input'!$A96,'Innovation Project Input'!$A$2:$A$201,'Innovation Project Input'!$F$2:$F$201)</f>
        <v>#N/A</v>
      </c>
      <c r="E96" s="97" t="str">
        <f t="array" ref="E96">XLOOKUP('Core Values Input'!$A96,'Innovation Project Input'!$A$2:$A$201,'Innovation Project Input'!$G$2:$G$201)</f>
        <v>#N/A</v>
      </c>
      <c r="F96" s="97" t="str">
        <f t="array" ref="F96">XLOOKUP('Core Values Input'!$A96,'Innovation Project Input'!$A$2:$A$201,'Innovation Project Input'!$K$2:$K$201)</f>
        <v>#N/A</v>
      </c>
      <c r="G96" s="97" t="str">
        <f t="array" ref="G96">XLOOKUP('Core Values Input'!$A96,'Innovation Project Input'!$A$2:$A$201,'Innovation Project Input'!$L$2:$L$201)</f>
        <v>#N/A</v>
      </c>
      <c r="H96" s="97" t="str">
        <f t="array" ref="H96">XLOOKUP('Core Values Input'!$A96,'Robot Design Input'!$A$2:$A$201,'Robot Design Input'!$D$2:$D$201)</f>
        <v/>
      </c>
      <c r="I96" s="97" t="str">
        <f t="array" ref="I96">XLOOKUP('Core Values Input'!$A96,'Robot Design Input'!$A$2:$A$201,'Robot Design Input'!$E$2:$E$201)</f>
        <v/>
      </c>
      <c r="J96" s="97" t="str">
        <f t="array" ref="J96">XLOOKUP('Core Values Input'!$A96,'Robot Design Input'!$A$2:$A$201,'Robot Design Input'!$J$2:$J$201)</f>
        <v/>
      </c>
      <c r="K96" s="97" t="str">
        <f t="array" ref="K96">XLOOKUP('Core Values Input'!$A96,'Robot Design Input'!$A$2:$A$201,'Robot Design Input'!$K$2:$K$201)</f>
        <v/>
      </c>
      <c r="L96" s="97" t="str">
        <f t="array" ref="L96">XLOOKUP('Core Values Input'!$A96,'Robot Design Input'!$A$2:$A$201,'Robot Design Input'!$L$2:$L$201)</f>
        <v/>
      </c>
      <c r="M96" s="38"/>
      <c r="N96" s="38"/>
      <c r="O96" s="38"/>
      <c r="P96" s="38"/>
      <c r="Q96" s="38"/>
      <c r="R96" s="38"/>
      <c r="S96" s="38"/>
      <c r="T96" s="38"/>
      <c r="U96" s="98" t="str">
        <f>SUM('Core Values Input'!$C96:$L96,'Core Values Input'!$T96)</f>
        <v>#N/A</v>
      </c>
      <c r="V96" s="80">
        <f>IF('Core Values Input'!$A96&gt;0,MIN(_xlfn.RANK.EQ('Core Values Input'!$U96,'Core Values Input'!$U$2:$U$201,0),NumberOfTeams),NumberOfTeams+1)</f>
        <v>1</v>
      </c>
      <c r="W96" s="99"/>
      <c r="X96" s="99"/>
      <c r="Y96" s="99"/>
    </row>
    <row r="97" ht="30.0" customHeight="1">
      <c r="A97" s="38" t="str">
        <f t="array" ref="A97">XLOOKUP(96,'Team and Program Information'!$B$3:$B$202,'Team and Program Information'!$C$3:$C$202,"ERROR",0)</f>
        <v/>
      </c>
      <c r="B97" s="68" t="str">
        <f t="array" ref="B97">XLOOKUP('Core Values Input'!$A97,'Team and Program Information'!$C$3:$C$202,'Team and Program Information'!$D$3:$D$202,"",0,)</f>
        <v>#VALUE!</v>
      </c>
      <c r="C97" s="97" t="str">
        <f t="array" ref="C97">XLOOKUP('Core Values Input'!$A97,'Innovation Project Input'!$A$2:$A$201,'Innovation Project Input'!$D$2:$D$201)</f>
        <v>#N/A</v>
      </c>
      <c r="D97" s="97" t="str">
        <f t="array" ref="D97">XLOOKUP('Core Values Input'!$A97,'Innovation Project Input'!$A$2:$A$201,'Innovation Project Input'!$F$2:$F$201)</f>
        <v>#N/A</v>
      </c>
      <c r="E97" s="97" t="str">
        <f t="array" ref="E97">XLOOKUP('Core Values Input'!$A97,'Innovation Project Input'!$A$2:$A$201,'Innovation Project Input'!$G$2:$G$201)</f>
        <v>#N/A</v>
      </c>
      <c r="F97" s="97" t="str">
        <f t="array" ref="F97">XLOOKUP('Core Values Input'!$A97,'Innovation Project Input'!$A$2:$A$201,'Innovation Project Input'!$K$2:$K$201)</f>
        <v>#N/A</v>
      </c>
      <c r="G97" s="97" t="str">
        <f t="array" ref="G97">XLOOKUP('Core Values Input'!$A97,'Innovation Project Input'!$A$2:$A$201,'Innovation Project Input'!$L$2:$L$201)</f>
        <v>#N/A</v>
      </c>
      <c r="H97" s="97" t="str">
        <f t="array" ref="H97">XLOOKUP('Core Values Input'!$A97,'Robot Design Input'!$A$2:$A$201,'Robot Design Input'!$D$2:$D$201)</f>
        <v/>
      </c>
      <c r="I97" s="97" t="str">
        <f t="array" ref="I97">XLOOKUP('Core Values Input'!$A97,'Robot Design Input'!$A$2:$A$201,'Robot Design Input'!$E$2:$E$201)</f>
        <v/>
      </c>
      <c r="J97" s="97" t="str">
        <f t="array" ref="J97">XLOOKUP('Core Values Input'!$A97,'Robot Design Input'!$A$2:$A$201,'Robot Design Input'!$J$2:$J$201)</f>
        <v/>
      </c>
      <c r="K97" s="97" t="str">
        <f t="array" ref="K97">XLOOKUP('Core Values Input'!$A97,'Robot Design Input'!$A$2:$A$201,'Robot Design Input'!$K$2:$K$201)</f>
        <v/>
      </c>
      <c r="L97" s="97" t="str">
        <f t="array" ref="L97">XLOOKUP('Core Values Input'!$A97,'Robot Design Input'!$A$2:$A$201,'Robot Design Input'!$L$2:$L$201)</f>
        <v/>
      </c>
      <c r="M97" s="38"/>
      <c r="N97" s="38"/>
      <c r="O97" s="38"/>
      <c r="P97" s="38"/>
      <c r="Q97" s="38"/>
      <c r="R97" s="38"/>
      <c r="S97" s="38"/>
      <c r="T97" s="38"/>
      <c r="U97" s="98" t="str">
        <f>SUM('Core Values Input'!$C97:$L97,'Core Values Input'!$T97)</f>
        <v>#N/A</v>
      </c>
      <c r="V97" s="80">
        <f>IF('Core Values Input'!$A97&gt;0,MIN(_xlfn.RANK.EQ('Core Values Input'!$U97,'Core Values Input'!$U$2:$U$201,0),NumberOfTeams),NumberOfTeams+1)</f>
        <v>1</v>
      </c>
      <c r="W97" s="99"/>
      <c r="X97" s="99"/>
      <c r="Y97" s="99"/>
    </row>
    <row r="98" ht="30.0" customHeight="1">
      <c r="A98" s="38" t="str">
        <f t="array" ref="A98">XLOOKUP(97,'Team and Program Information'!$B$3:$B$202,'Team and Program Information'!$C$3:$C$202,"ERROR",0)</f>
        <v/>
      </c>
      <c r="B98" s="68" t="str">
        <f t="array" ref="B98">XLOOKUP('Core Values Input'!$A98,'Team and Program Information'!$C$3:$C$202,'Team and Program Information'!$D$3:$D$202,"",0,)</f>
        <v>#VALUE!</v>
      </c>
      <c r="C98" s="97" t="str">
        <f t="array" ref="C98">XLOOKUP('Core Values Input'!$A98,'Innovation Project Input'!$A$2:$A$201,'Innovation Project Input'!$D$2:$D$201)</f>
        <v>#N/A</v>
      </c>
      <c r="D98" s="97" t="str">
        <f t="array" ref="D98">XLOOKUP('Core Values Input'!$A98,'Innovation Project Input'!$A$2:$A$201,'Innovation Project Input'!$F$2:$F$201)</f>
        <v>#N/A</v>
      </c>
      <c r="E98" s="97" t="str">
        <f t="array" ref="E98">XLOOKUP('Core Values Input'!$A98,'Innovation Project Input'!$A$2:$A$201,'Innovation Project Input'!$G$2:$G$201)</f>
        <v>#N/A</v>
      </c>
      <c r="F98" s="97" t="str">
        <f t="array" ref="F98">XLOOKUP('Core Values Input'!$A98,'Innovation Project Input'!$A$2:$A$201,'Innovation Project Input'!$K$2:$K$201)</f>
        <v>#N/A</v>
      </c>
      <c r="G98" s="97" t="str">
        <f t="array" ref="G98">XLOOKUP('Core Values Input'!$A98,'Innovation Project Input'!$A$2:$A$201,'Innovation Project Input'!$L$2:$L$201)</f>
        <v>#N/A</v>
      </c>
      <c r="H98" s="97" t="str">
        <f t="array" ref="H98">XLOOKUP('Core Values Input'!$A98,'Robot Design Input'!$A$2:$A$201,'Robot Design Input'!$D$2:$D$201)</f>
        <v/>
      </c>
      <c r="I98" s="97" t="str">
        <f t="array" ref="I98">XLOOKUP('Core Values Input'!$A98,'Robot Design Input'!$A$2:$A$201,'Robot Design Input'!$E$2:$E$201)</f>
        <v/>
      </c>
      <c r="J98" s="97" t="str">
        <f t="array" ref="J98">XLOOKUP('Core Values Input'!$A98,'Robot Design Input'!$A$2:$A$201,'Robot Design Input'!$J$2:$J$201)</f>
        <v/>
      </c>
      <c r="K98" s="97" t="str">
        <f t="array" ref="K98">XLOOKUP('Core Values Input'!$A98,'Robot Design Input'!$A$2:$A$201,'Robot Design Input'!$K$2:$K$201)</f>
        <v/>
      </c>
      <c r="L98" s="97" t="str">
        <f t="array" ref="L98">XLOOKUP('Core Values Input'!$A98,'Robot Design Input'!$A$2:$A$201,'Robot Design Input'!$L$2:$L$201)</f>
        <v/>
      </c>
      <c r="M98" s="38"/>
      <c r="N98" s="38"/>
      <c r="O98" s="38"/>
      <c r="P98" s="38"/>
      <c r="Q98" s="38"/>
      <c r="R98" s="38"/>
      <c r="S98" s="38"/>
      <c r="T98" s="38"/>
      <c r="U98" s="98" t="str">
        <f>SUM('Core Values Input'!$C98:$L98,'Core Values Input'!$T98)</f>
        <v>#N/A</v>
      </c>
      <c r="V98" s="80">
        <f>IF('Core Values Input'!$A98&gt;0,MIN(_xlfn.RANK.EQ('Core Values Input'!$U98,'Core Values Input'!$U$2:$U$201,0),NumberOfTeams),NumberOfTeams+1)</f>
        <v>1</v>
      </c>
      <c r="W98" s="99"/>
      <c r="X98" s="99"/>
      <c r="Y98" s="99"/>
    </row>
    <row r="99" ht="30.0" customHeight="1">
      <c r="A99" s="38" t="str">
        <f t="array" ref="A99">XLOOKUP(98,'Team and Program Information'!$B$3:$B$202,'Team and Program Information'!$C$3:$C$202,"ERROR",0)</f>
        <v/>
      </c>
      <c r="B99" s="68" t="str">
        <f t="array" ref="B99">XLOOKUP('Core Values Input'!$A99,'Team and Program Information'!$C$3:$C$202,'Team and Program Information'!$D$3:$D$202,"",0,)</f>
        <v>#VALUE!</v>
      </c>
      <c r="C99" s="97" t="str">
        <f t="array" ref="C99">XLOOKUP('Core Values Input'!$A99,'Innovation Project Input'!$A$2:$A$201,'Innovation Project Input'!$D$2:$D$201)</f>
        <v>#N/A</v>
      </c>
      <c r="D99" s="97" t="str">
        <f t="array" ref="D99">XLOOKUP('Core Values Input'!$A99,'Innovation Project Input'!$A$2:$A$201,'Innovation Project Input'!$F$2:$F$201)</f>
        <v>#N/A</v>
      </c>
      <c r="E99" s="97" t="str">
        <f t="array" ref="E99">XLOOKUP('Core Values Input'!$A99,'Innovation Project Input'!$A$2:$A$201,'Innovation Project Input'!$G$2:$G$201)</f>
        <v>#N/A</v>
      </c>
      <c r="F99" s="97" t="str">
        <f t="array" ref="F99">XLOOKUP('Core Values Input'!$A99,'Innovation Project Input'!$A$2:$A$201,'Innovation Project Input'!$K$2:$K$201)</f>
        <v>#N/A</v>
      </c>
      <c r="G99" s="97" t="str">
        <f t="array" ref="G99">XLOOKUP('Core Values Input'!$A99,'Innovation Project Input'!$A$2:$A$201,'Innovation Project Input'!$L$2:$L$201)</f>
        <v>#N/A</v>
      </c>
      <c r="H99" s="97" t="str">
        <f t="array" ref="H99">XLOOKUP('Core Values Input'!$A99,'Robot Design Input'!$A$2:$A$201,'Robot Design Input'!$D$2:$D$201)</f>
        <v/>
      </c>
      <c r="I99" s="97" t="str">
        <f t="array" ref="I99">XLOOKUP('Core Values Input'!$A99,'Robot Design Input'!$A$2:$A$201,'Robot Design Input'!$E$2:$E$201)</f>
        <v/>
      </c>
      <c r="J99" s="97" t="str">
        <f t="array" ref="J99">XLOOKUP('Core Values Input'!$A99,'Robot Design Input'!$A$2:$A$201,'Robot Design Input'!$J$2:$J$201)</f>
        <v/>
      </c>
      <c r="K99" s="97" t="str">
        <f t="array" ref="K99">XLOOKUP('Core Values Input'!$A99,'Robot Design Input'!$A$2:$A$201,'Robot Design Input'!$K$2:$K$201)</f>
        <v/>
      </c>
      <c r="L99" s="97" t="str">
        <f t="array" ref="L99">XLOOKUP('Core Values Input'!$A99,'Robot Design Input'!$A$2:$A$201,'Robot Design Input'!$L$2:$L$201)</f>
        <v/>
      </c>
      <c r="M99" s="38"/>
      <c r="N99" s="38"/>
      <c r="O99" s="38"/>
      <c r="P99" s="38"/>
      <c r="Q99" s="38"/>
      <c r="R99" s="38"/>
      <c r="S99" s="38"/>
      <c r="T99" s="38"/>
      <c r="U99" s="98" t="str">
        <f>SUM('Core Values Input'!$C99:$L99,'Core Values Input'!$T99)</f>
        <v>#N/A</v>
      </c>
      <c r="V99" s="80">
        <f>IF('Core Values Input'!$A99&gt;0,MIN(_xlfn.RANK.EQ('Core Values Input'!$U99,'Core Values Input'!$U$2:$U$201,0),NumberOfTeams),NumberOfTeams+1)</f>
        <v>1</v>
      </c>
      <c r="W99" s="99"/>
      <c r="X99" s="99"/>
      <c r="Y99" s="99"/>
    </row>
    <row r="100" ht="30.0" customHeight="1">
      <c r="A100" s="38" t="str">
        <f t="array" ref="A100">XLOOKUP(99,'Team and Program Information'!$B$3:$B$202,'Team and Program Information'!$C$3:$C$202,"ERROR",0)</f>
        <v/>
      </c>
      <c r="B100" s="68" t="str">
        <f t="array" ref="B100">XLOOKUP('Core Values Input'!$A100,'Team and Program Information'!$C$3:$C$202,'Team and Program Information'!$D$3:$D$202,"",0,)</f>
        <v>#VALUE!</v>
      </c>
      <c r="C100" s="97" t="str">
        <f t="array" ref="C100">XLOOKUP('Core Values Input'!$A100,'Innovation Project Input'!$A$2:$A$201,'Innovation Project Input'!$D$2:$D$201)</f>
        <v>#N/A</v>
      </c>
      <c r="D100" s="97" t="str">
        <f t="array" ref="D100">XLOOKUP('Core Values Input'!$A100,'Innovation Project Input'!$A$2:$A$201,'Innovation Project Input'!$F$2:$F$201)</f>
        <v>#N/A</v>
      </c>
      <c r="E100" s="97" t="str">
        <f t="array" ref="E100">XLOOKUP('Core Values Input'!$A100,'Innovation Project Input'!$A$2:$A$201,'Innovation Project Input'!$G$2:$G$201)</f>
        <v>#N/A</v>
      </c>
      <c r="F100" s="97" t="str">
        <f t="array" ref="F100">XLOOKUP('Core Values Input'!$A100,'Innovation Project Input'!$A$2:$A$201,'Innovation Project Input'!$K$2:$K$201)</f>
        <v>#N/A</v>
      </c>
      <c r="G100" s="97" t="str">
        <f t="array" ref="G100">XLOOKUP('Core Values Input'!$A100,'Innovation Project Input'!$A$2:$A$201,'Innovation Project Input'!$L$2:$L$201)</f>
        <v>#N/A</v>
      </c>
      <c r="H100" s="97" t="str">
        <f t="array" ref="H100">XLOOKUP('Core Values Input'!$A100,'Robot Design Input'!$A$2:$A$201,'Robot Design Input'!$D$2:$D$201)</f>
        <v/>
      </c>
      <c r="I100" s="97" t="str">
        <f t="array" ref="I100">XLOOKUP('Core Values Input'!$A100,'Robot Design Input'!$A$2:$A$201,'Robot Design Input'!$E$2:$E$201)</f>
        <v/>
      </c>
      <c r="J100" s="97" t="str">
        <f t="array" ref="J100">XLOOKUP('Core Values Input'!$A100,'Robot Design Input'!$A$2:$A$201,'Robot Design Input'!$J$2:$J$201)</f>
        <v/>
      </c>
      <c r="K100" s="97" t="str">
        <f t="array" ref="K100">XLOOKUP('Core Values Input'!$A100,'Robot Design Input'!$A$2:$A$201,'Robot Design Input'!$K$2:$K$201)</f>
        <v/>
      </c>
      <c r="L100" s="97" t="str">
        <f t="array" ref="L100">XLOOKUP('Core Values Input'!$A100,'Robot Design Input'!$A$2:$A$201,'Robot Design Input'!$L$2:$L$201)</f>
        <v/>
      </c>
      <c r="M100" s="38"/>
      <c r="N100" s="38"/>
      <c r="O100" s="38"/>
      <c r="P100" s="38"/>
      <c r="Q100" s="38"/>
      <c r="R100" s="38"/>
      <c r="S100" s="38"/>
      <c r="T100" s="38"/>
      <c r="U100" s="98" t="str">
        <f>SUM('Core Values Input'!$C100:$L100,'Core Values Input'!$T100)</f>
        <v>#N/A</v>
      </c>
      <c r="V100" s="80">
        <f>IF('Core Values Input'!$A100&gt;0,MIN(_xlfn.RANK.EQ('Core Values Input'!$U100,'Core Values Input'!$U$2:$U$201,0),NumberOfTeams),NumberOfTeams+1)</f>
        <v>1</v>
      </c>
      <c r="W100" s="99"/>
      <c r="X100" s="99"/>
      <c r="Y100" s="99"/>
    </row>
    <row r="101" ht="30.0" customHeight="1">
      <c r="A101" s="38" t="str">
        <f t="array" ref="A101">XLOOKUP(100,'Team and Program Information'!$B$3:$B$202,'Team and Program Information'!$C$3:$C$202,"ERROR",0)</f>
        <v/>
      </c>
      <c r="B101" s="68" t="str">
        <f t="array" ref="B101">XLOOKUP('Core Values Input'!$A101,'Team and Program Information'!$C$3:$C$202,'Team and Program Information'!$D$3:$D$202,"",0,)</f>
        <v>#VALUE!</v>
      </c>
      <c r="C101" s="97" t="str">
        <f t="array" ref="C101">XLOOKUP('Core Values Input'!$A101,'Innovation Project Input'!$A$2:$A$201,'Innovation Project Input'!$D$2:$D$201)</f>
        <v>#N/A</v>
      </c>
      <c r="D101" s="97" t="str">
        <f t="array" ref="D101">XLOOKUP('Core Values Input'!$A101,'Innovation Project Input'!$A$2:$A$201,'Innovation Project Input'!$F$2:$F$201)</f>
        <v>#N/A</v>
      </c>
      <c r="E101" s="97" t="str">
        <f t="array" ref="E101">XLOOKUP('Core Values Input'!$A101,'Innovation Project Input'!$A$2:$A$201,'Innovation Project Input'!$G$2:$G$201)</f>
        <v>#N/A</v>
      </c>
      <c r="F101" s="97" t="str">
        <f t="array" ref="F101">XLOOKUP('Core Values Input'!$A101,'Innovation Project Input'!$A$2:$A$201,'Innovation Project Input'!$K$2:$K$201)</f>
        <v>#N/A</v>
      </c>
      <c r="G101" s="97" t="str">
        <f t="array" ref="G101">XLOOKUP('Core Values Input'!$A101,'Innovation Project Input'!$A$2:$A$201,'Innovation Project Input'!$L$2:$L$201)</f>
        <v>#N/A</v>
      </c>
      <c r="H101" s="97" t="str">
        <f t="array" ref="H101">XLOOKUP('Core Values Input'!$A101,'Robot Design Input'!$A$2:$A$201,'Robot Design Input'!$D$2:$D$201)</f>
        <v/>
      </c>
      <c r="I101" s="97" t="str">
        <f t="array" ref="I101">XLOOKUP('Core Values Input'!$A101,'Robot Design Input'!$A$2:$A$201,'Robot Design Input'!$E$2:$E$201)</f>
        <v/>
      </c>
      <c r="J101" s="97" t="str">
        <f t="array" ref="J101">XLOOKUP('Core Values Input'!$A101,'Robot Design Input'!$A$2:$A$201,'Robot Design Input'!$J$2:$J$201)</f>
        <v/>
      </c>
      <c r="K101" s="97" t="str">
        <f t="array" ref="K101">XLOOKUP('Core Values Input'!$A101,'Robot Design Input'!$A$2:$A$201,'Robot Design Input'!$K$2:$K$201)</f>
        <v/>
      </c>
      <c r="L101" s="97" t="str">
        <f t="array" ref="L101">XLOOKUP('Core Values Input'!$A101,'Robot Design Input'!$A$2:$A$201,'Robot Design Input'!$L$2:$L$201)</f>
        <v/>
      </c>
      <c r="M101" s="38"/>
      <c r="N101" s="38"/>
      <c r="O101" s="38"/>
      <c r="P101" s="38"/>
      <c r="Q101" s="38"/>
      <c r="R101" s="38"/>
      <c r="S101" s="38"/>
      <c r="T101" s="38"/>
      <c r="U101" s="98" t="str">
        <f>SUM('Core Values Input'!$C101:$L101,'Core Values Input'!$T101)</f>
        <v>#N/A</v>
      </c>
      <c r="V101" s="80">
        <f>IF('Core Values Input'!$A101&gt;0,MIN(_xlfn.RANK.EQ('Core Values Input'!$U101,'Core Values Input'!$U$2:$U$201,0),NumberOfTeams),NumberOfTeams+1)</f>
        <v>1</v>
      </c>
      <c r="W101" s="99"/>
      <c r="X101" s="99"/>
      <c r="Y101" s="99"/>
    </row>
    <row r="102" ht="30.0" customHeight="1">
      <c r="A102" s="38" t="str">
        <f t="array" ref="A102">XLOOKUP(101,'Team and Program Information'!$B$3:$B$202,'Team and Program Information'!$C$3:$C$202,"ERROR",0)</f>
        <v/>
      </c>
      <c r="B102" s="68" t="str">
        <f t="array" ref="B102">XLOOKUP('Core Values Input'!$A102,'Team and Program Information'!$C$3:$C$202,'Team and Program Information'!$D$3:$D$202,"",0,)</f>
        <v>#VALUE!</v>
      </c>
      <c r="C102" s="97" t="str">
        <f t="array" ref="C102">XLOOKUP('Core Values Input'!$A102,'Innovation Project Input'!$A$2:$A$201,'Innovation Project Input'!$D$2:$D$201)</f>
        <v>#N/A</v>
      </c>
      <c r="D102" s="97" t="str">
        <f t="array" ref="D102">XLOOKUP('Core Values Input'!$A102,'Innovation Project Input'!$A$2:$A$201,'Innovation Project Input'!$F$2:$F$201)</f>
        <v>#N/A</v>
      </c>
      <c r="E102" s="97" t="str">
        <f t="array" ref="E102">XLOOKUP('Core Values Input'!$A102,'Innovation Project Input'!$A$2:$A$201,'Innovation Project Input'!$G$2:$G$201)</f>
        <v>#N/A</v>
      </c>
      <c r="F102" s="97" t="str">
        <f t="array" ref="F102">XLOOKUP('Core Values Input'!$A102,'Innovation Project Input'!$A$2:$A$201,'Innovation Project Input'!$K$2:$K$201)</f>
        <v>#N/A</v>
      </c>
      <c r="G102" s="97" t="str">
        <f t="array" ref="G102">XLOOKUP('Core Values Input'!$A102,'Innovation Project Input'!$A$2:$A$201,'Innovation Project Input'!$L$2:$L$201)</f>
        <v>#N/A</v>
      </c>
      <c r="H102" s="97" t="str">
        <f t="array" ref="H102">XLOOKUP('Core Values Input'!$A102,'Robot Design Input'!$A$2:$A$201,'Robot Design Input'!$D$2:$D$201)</f>
        <v/>
      </c>
      <c r="I102" s="97" t="str">
        <f t="array" ref="I102">XLOOKUP('Core Values Input'!$A102,'Robot Design Input'!$A$2:$A$201,'Robot Design Input'!$E$2:$E$201)</f>
        <v/>
      </c>
      <c r="J102" s="97" t="str">
        <f t="array" ref="J102">XLOOKUP('Core Values Input'!$A102,'Robot Design Input'!$A$2:$A$201,'Robot Design Input'!$J$2:$J$201)</f>
        <v/>
      </c>
      <c r="K102" s="97" t="str">
        <f t="array" ref="K102">XLOOKUP('Core Values Input'!$A102,'Robot Design Input'!$A$2:$A$201,'Robot Design Input'!$K$2:$K$201)</f>
        <v/>
      </c>
      <c r="L102" s="97" t="str">
        <f t="array" ref="L102">XLOOKUP('Core Values Input'!$A102,'Robot Design Input'!$A$2:$A$201,'Robot Design Input'!$L$2:$L$201)</f>
        <v/>
      </c>
      <c r="M102" s="38"/>
      <c r="N102" s="38"/>
      <c r="O102" s="38"/>
      <c r="P102" s="38"/>
      <c r="Q102" s="38"/>
      <c r="R102" s="38"/>
      <c r="S102" s="38"/>
      <c r="T102" s="38"/>
      <c r="U102" s="98" t="str">
        <f>SUM('Core Values Input'!$C102:$L102,'Core Values Input'!$T102)</f>
        <v>#N/A</v>
      </c>
      <c r="V102" s="80">
        <f>IF('Core Values Input'!$A102&gt;0,MIN(_xlfn.RANK.EQ('Core Values Input'!$U102,'Core Values Input'!$U$2:$U$201,0),NumberOfTeams),NumberOfTeams+1)</f>
        <v>1</v>
      </c>
      <c r="W102" s="99"/>
      <c r="X102" s="99"/>
      <c r="Y102" s="99"/>
    </row>
    <row r="103" ht="30.0" customHeight="1">
      <c r="A103" s="38" t="str">
        <f t="array" ref="A103">XLOOKUP(102,'Team and Program Information'!$B$3:$B$202,'Team and Program Information'!$C$3:$C$202,"ERROR",0)</f>
        <v/>
      </c>
      <c r="B103" s="68" t="str">
        <f t="array" ref="B103">XLOOKUP('Core Values Input'!$A103,'Team and Program Information'!$C$3:$C$202,'Team and Program Information'!$D$3:$D$202,"",0,)</f>
        <v>#VALUE!</v>
      </c>
      <c r="C103" s="97" t="str">
        <f t="array" ref="C103">XLOOKUP('Core Values Input'!$A103,'Innovation Project Input'!$A$2:$A$201,'Innovation Project Input'!$D$2:$D$201)</f>
        <v>#N/A</v>
      </c>
      <c r="D103" s="97" t="str">
        <f t="array" ref="D103">XLOOKUP('Core Values Input'!$A103,'Innovation Project Input'!$A$2:$A$201,'Innovation Project Input'!$F$2:$F$201)</f>
        <v>#N/A</v>
      </c>
      <c r="E103" s="97" t="str">
        <f t="array" ref="E103">XLOOKUP('Core Values Input'!$A103,'Innovation Project Input'!$A$2:$A$201,'Innovation Project Input'!$G$2:$G$201)</f>
        <v>#N/A</v>
      </c>
      <c r="F103" s="97" t="str">
        <f t="array" ref="F103">XLOOKUP('Core Values Input'!$A103,'Innovation Project Input'!$A$2:$A$201,'Innovation Project Input'!$K$2:$K$201)</f>
        <v>#N/A</v>
      </c>
      <c r="G103" s="97" t="str">
        <f t="array" ref="G103">XLOOKUP('Core Values Input'!$A103,'Innovation Project Input'!$A$2:$A$201,'Innovation Project Input'!$L$2:$L$201)</f>
        <v>#N/A</v>
      </c>
      <c r="H103" s="97" t="str">
        <f t="array" ref="H103">XLOOKUP('Core Values Input'!$A103,'Robot Design Input'!$A$2:$A$201,'Robot Design Input'!$D$2:$D$201)</f>
        <v/>
      </c>
      <c r="I103" s="97" t="str">
        <f t="array" ref="I103">XLOOKUP('Core Values Input'!$A103,'Robot Design Input'!$A$2:$A$201,'Robot Design Input'!$E$2:$E$201)</f>
        <v/>
      </c>
      <c r="J103" s="97" t="str">
        <f t="array" ref="J103">XLOOKUP('Core Values Input'!$A103,'Robot Design Input'!$A$2:$A$201,'Robot Design Input'!$J$2:$J$201)</f>
        <v/>
      </c>
      <c r="K103" s="97" t="str">
        <f t="array" ref="K103">XLOOKUP('Core Values Input'!$A103,'Robot Design Input'!$A$2:$A$201,'Robot Design Input'!$K$2:$K$201)</f>
        <v/>
      </c>
      <c r="L103" s="97" t="str">
        <f t="array" ref="L103">XLOOKUP('Core Values Input'!$A103,'Robot Design Input'!$A$2:$A$201,'Robot Design Input'!$L$2:$L$201)</f>
        <v/>
      </c>
      <c r="M103" s="38"/>
      <c r="N103" s="38"/>
      <c r="O103" s="38"/>
      <c r="P103" s="38"/>
      <c r="Q103" s="38"/>
      <c r="R103" s="38"/>
      <c r="S103" s="38"/>
      <c r="T103" s="38"/>
      <c r="U103" s="98" t="str">
        <f>SUM('Core Values Input'!$C103:$L103,'Core Values Input'!$T103)</f>
        <v>#N/A</v>
      </c>
      <c r="V103" s="80">
        <f>IF('Core Values Input'!$A103&gt;0,MIN(_xlfn.RANK.EQ('Core Values Input'!$U103,'Core Values Input'!$U$2:$U$201,0),NumberOfTeams),NumberOfTeams+1)</f>
        <v>1</v>
      </c>
      <c r="W103" s="99"/>
      <c r="X103" s="99"/>
      <c r="Y103" s="99"/>
    </row>
    <row r="104" ht="30.0" customHeight="1">
      <c r="A104" s="38" t="str">
        <f t="array" ref="A104">XLOOKUP(103,'Team and Program Information'!$B$3:$B$202,'Team and Program Information'!$C$3:$C$202,"ERROR",0)</f>
        <v/>
      </c>
      <c r="B104" s="68" t="str">
        <f t="array" ref="B104">XLOOKUP('Core Values Input'!$A104,'Team and Program Information'!$C$3:$C$202,'Team and Program Information'!$D$3:$D$202,"",0,)</f>
        <v>#VALUE!</v>
      </c>
      <c r="C104" s="97" t="str">
        <f t="array" ref="C104">XLOOKUP('Core Values Input'!$A104,'Innovation Project Input'!$A$2:$A$201,'Innovation Project Input'!$D$2:$D$201)</f>
        <v>#N/A</v>
      </c>
      <c r="D104" s="97" t="str">
        <f t="array" ref="D104">XLOOKUP('Core Values Input'!$A104,'Innovation Project Input'!$A$2:$A$201,'Innovation Project Input'!$F$2:$F$201)</f>
        <v>#N/A</v>
      </c>
      <c r="E104" s="97" t="str">
        <f t="array" ref="E104">XLOOKUP('Core Values Input'!$A104,'Innovation Project Input'!$A$2:$A$201,'Innovation Project Input'!$G$2:$G$201)</f>
        <v>#N/A</v>
      </c>
      <c r="F104" s="97" t="str">
        <f t="array" ref="F104">XLOOKUP('Core Values Input'!$A104,'Innovation Project Input'!$A$2:$A$201,'Innovation Project Input'!$K$2:$K$201)</f>
        <v>#N/A</v>
      </c>
      <c r="G104" s="97" t="str">
        <f t="array" ref="G104">XLOOKUP('Core Values Input'!$A104,'Innovation Project Input'!$A$2:$A$201,'Innovation Project Input'!$L$2:$L$201)</f>
        <v>#N/A</v>
      </c>
      <c r="H104" s="97" t="str">
        <f t="array" ref="H104">XLOOKUP('Core Values Input'!$A104,'Robot Design Input'!$A$2:$A$201,'Robot Design Input'!$D$2:$D$201)</f>
        <v/>
      </c>
      <c r="I104" s="97" t="str">
        <f t="array" ref="I104">XLOOKUP('Core Values Input'!$A104,'Robot Design Input'!$A$2:$A$201,'Robot Design Input'!$E$2:$E$201)</f>
        <v/>
      </c>
      <c r="J104" s="97" t="str">
        <f t="array" ref="J104">XLOOKUP('Core Values Input'!$A104,'Robot Design Input'!$A$2:$A$201,'Robot Design Input'!$J$2:$J$201)</f>
        <v/>
      </c>
      <c r="K104" s="97" t="str">
        <f t="array" ref="K104">XLOOKUP('Core Values Input'!$A104,'Robot Design Input'!$A$2:$A$201,'Robot Design Input'!$K$2:$K$201)</f>
        <v/>
      </c>
      <c r="L104" s="97" t="str">
        <f t="array" ref="L104">XLOOKUP('Core Values Input'!$A104,'Robot Design Input'!$A$2:$A$201,'Robot Design Input'!$L$2:$L$201)</f>
        <v/>
      </c>
      <c r="M104" s="38"/>
      <c r="N104" s="38"/>
      <c r="O104" s="38"/>
      <c r="P104" s="38"/>
      <c r="Q104" s="38"/>
      <c r="R104" s="38"/>
      <c r="S104" s="38"/>
      <c r="T104" s="38"/>
      <c r="U104" s="98" t="str">
        <f>SUM('Core Values Input'!$C104:$L104,'Core Values Input'!$T104)</f>
        <v>#N/A</v>
      </c>
      <c r="V104" s="80">
        <f>IF('Core Values Input'!$A104&gt;0,MIN(_xlfn.RANK.EQ('Core Values Input'!$U104,'Core Values Input'!$U$2:$U$201,0),NumberOfTeams),NumberOfTeams+1)</f>
        <v>1</v>
      </c>
      <c r="W104" s="99"/>
      <c r="X104" s="99"/>
      <c r="Y104" s="99"/>
    </row>
    <row r="105" ht="30.0" customHeight="1">
      <c r="A105" s="38" t="str">
        <f t="array" ref="A105">XLOOKUP(104,'Team and Program Information'!$B$3:$B$202,'Team and Program Information'!$C$3:$C$202,"ERROR",0)</f>
        <v/>
      </c>
      <c r="B105" s="68" t="str">
        <f t="array" ref="B105">XLOOKUP('Core Values Input'!$A105,'Team and Program Information'!$C$3:$C$202,'Team and Program Information'!$D$3:$D$202,"",0,)</f>
        <v>#VALUE!</v>
      </c>
      <c r="C105" s="97" t="str">
        <f t="array" ref="C105">XLOOKUP('Core Values Input'!$A105,'Innovation Project Input'!$A$2:$A$201,'Innovation Project Input'!$D$2:$D$201)</f>
        <v>#N/A</v>
      </c>
      <c r="D105" s="97" t="str">
        <f t="array" ref="D105">XLOOKUP('Core Values Input'!$A105,'Innovation Project Input'!$A$2:$A$201,'Innovation Project Input'!$F$2:$F$201)</f>
        <v>#N/A</v>
      </c>
      <c r="E105" s="97" t="str">
        <f t="array" ref="E105">XLOOKUP('Core Values Input'!$A105,'Innovation Project Input'!$A$2:$A$201,'Innovation Project Input'!$G$2:$G$201)</f>
        <v>#N/A</v>
      </c>
      <c r="F105" s="97" t="str">
        <f t="array" ref="F105">XLOOKUP('Core Values Input'!$A105,'Innovation Project Input'!$A$2:$A$201,'Innovation Project Input'!$K$2:$K$201)</f>
        <v>#N/A</v>
      </c>
      <c r="G105" s="97" t="str">
        <f t="array" ref="G105">XLOOKUP('Core Values Input'!$A105,'Innovation Project Input'!$A$2:$A$201,'Innovation Project Input'!$L$2:$L$201)</f>
        <v>#N/A</v>
      </c>
      <c r="H105" s="97" t="str">
        <f t="array" ref="H105">XLOOKUP('Core Values Input'!$A105,'Robot Design Input'!$A$2:$A$201,'Robot Design Input'!$D$2:$D$201)</f>
        <v/>
      </c>
      <c r="I105" s="97" t="str">
        <f t="array" ref="I105">XLOOKUP('Core Values Input'!$A105,'Robot Design Input'!$A$2:$A$201,'Robot Design Input'!$E$2:$E$201)</f>
        <v/>
      </c>
      <c r="J105" s="97" t="str">
        <f t="array" ref="J105">XLOOKUP('Core Values Input'!$A105,'Robot Design Input'!$A$2:$A$201,'Robot Design Input'!$J$2:$J$201)</f>
        <v/>
      </c>
      <c r="K105" s="97" t="str">
        <f t="array" ref="K105">XLOOKUP('Core Values Input'!$A105,'Robot Design Input'!$A$2:$A$201,'Robot Design Input'!$K$2:$K$201)</f>
        <v/>
      </c>
      <c r="L105" s="97" t="str">
        <f t="array" ref="L105">XLOOKUP('Core Values Input'!$A105,'Robot Design Input'!$A$2:$A$201,'Robot Design Input'!$L$2:$L$201)</f>
        <v/>
      </c>
      <c r="M105" s="38"/>
      <c r="N105" s="38"/>
      <c r="O105" s="38"/>
      <c r="P105" s="38"/>
      <c r="Q105" s="38"/>
      <c r="R105" s="38"/>
      <c r="S105" s="38"/>
      <c r="T105" s="38"/>
      <c r="U105" s="98" t="str">
        <f>SUM('Core Values Input'!$C105:$L105,'Core Values Input'!$T105)</f>
        <v>#N/A</v>
      </c>
      <c r="V105" s="80">
        <f>IF('Core Values Input'!$A105&gt;0,MIN(_xlfn.RANK.EQ('Core Values Input'!$U105,'Core Values Input'!$U$2:$U$201,0),NumberOfTeams),NumberOfTeams+1)</f>
        <v>1</v>
      </c>
      <c r="W105" s="99"/>
      <c r="X105" s="99"/>
      <c r="Y105" s="99"/>
    </row>
    <row r="106" ht="30.0" customHeight="1">
      <c r="A106" s="38" t="str">
        <f t="array" ref="A106">XLOOKUP(105,'Team and Program Information'!$B$3:$B$202,'Team and Program Information'!$C$3:$C$202,"ERROR",0)</f>
        <v/>
      </c>
      <c r="B106" s="68" t="str">
        <f t="array" ref="B106">XLOOKUP('Core Values Input'!$A106,'Team and Program Information'!$C$3:$C$202,'Team and Program Information'!$D$3:$D$202,"",0,)</f>
        <v>#VALUE!</v>
      </c>
      <c r="C106" s="97" t="str">
        <f t="array" ref="C106">XLOOKUP('Core Values Input'!$A106,'Innovation Project Input'!$A$2:$A$201,'Innovation Project Input'!$D$2:$D$201)</f>
        <v>#N/A</v>
      </c>
      <c r="D106" s="97" t="str">
        <f t="array" ref="D106">XLOOKUP('Core Values Input'!$A106,'Innovation Project Input'!$A$2:$A$201,'Innovation Project Input'!$F$2:$F$201)</f>
        <v>#N/A</v>
      </c>
      <c r="E106" s="97" t="str">
        <f t="array" ref="E106">XLOOKUP('Core Values Input'!$A106,'Innovation Project Input'!$A$2:$A$201,'Innovation Project Input'!$G$2:$G$201)</f>
        <v>#N/A</v>
      </c>
      <c r="F106" s="97" t="str">
        <f t="array" ref="F106">XLOOKUP('Core Values Input'!$A106,'Innovation Project Input'!$A$2:$A$201,'Innovation Project Input'!$K$2:$K$201)</f>
        <v>#N/A</v>
      </c>
      <c r="G106" s="97" t="str">
        <f t="array" ref="G106">XLOOKUP('Core Values Input'!$A106,'Innovation Project Input'!$A$2:$A$201,'Innovation Project Input'!$L$2:$L$201)</f>
        <v>#N/A</v>
      </c>
      <c r="H106" s="97" t="str">
        <f t="array" ref="H106">XLOOKUP('Core Values Input'!$A106,'Robot Design Input'!$A$2:$A$201,'Robot Design Input'!$D$2:$D$201)</f>
        <v/>
      </c>
      <c r="I106" s="97" t="str">
        <f t="array" ref="I106">XLOOKUP('Core Values Input'!$A106,'Robot Design Input'!$A$2:$A$201,'Robot Design Input'!$E$2:$E$201)</f>
        <v/>
      </c>
      <c r="J106" s="97" t="str">
        <f t="array" ref="J106">XLOOKUP('Core Values Input'!$A106,'Robot Design Input'!$A$2:$A$201,'Robot Design Input'!$J$2:$J$201)</f>
        <v/>
      </c>
      <c r="K106" s="97" t="str">
        <f t="array" ref="K106">XLOOKUP('Core Values Input'!$A106,'Robot Design Input'!$A$2:$A$201,'Robot Design Input'!$K$2:$K$201)</f>
        <v/>
      </c>
      <c r="L106" s="97" t="str">
        <f t="array" ref="L106">XLOOKUP('Core Values Input'!$A106,'Robot Design Input'!$A$2:$A$201,'Robot Design Input'!$L$2:$L$201)</f>
        <v/>
      </c>
      <c r="M106" s="38"/>
      <c r="N106" s="38"/>
      <c r="O106" s="38"/>
      <c r="P106" s="38"/>
      <c r="Q106" s="38"/>
      <c r="R106" s="38"/>
      <c r="S106" s="38"/>
      <c r="T106" s="38"/>
      <c r="U106" s="98" t="str">
        <f>SUM('Core Values Input'!$C106:$L106,'Core Values Input'!$T106)</f>
        <v>#N/A</v>
      </c>
      <c r="V106" s="80">
        <f>IF('Core Values Input'!$A106&gt;0,MIN(_xlfn.RANK.EQ('Core Values Input'!$U106,'Core Values Input'!$U$2:$U$201,0),NumberOfTeams),NumberOfTeams+1)</f>
        <v>1</v>
      </c>
      <c r="W106" s="99"/>
      <c r="X106" s="99"/>
      <c r="Y106" s="99"/>
    </row>
    <row r="107" ht="30.0" customHeight="1">
      <c r="A107" s="38" t="str">
        <f t="array" ref="A107">XLOOKUP(106,'Team and Program Information'!$B$3:$B$202,'Team and Program Information'!$C$3:$C$202,"ERROR",0)</f>
        <v/>
      </c>
      <c r="B107" s="68" t="str">
        <f t="array" ref="B107">XLOOKUP('Core Values Input'!$A107,'Team and Program Information'!$C$3:$C$202,'Team and Program Information'!$D$3:$D$202,"",0,)</f>
        <v>#VALUE!</v>
      </c>
      <c r="C107" s="97" t="str">
        <f t="array" ref="C107">XLOOKUP('Core Values Input'!$A107,'Innovation Project Input'!$A$2:$A$201,'Innovation Project Input'!$D$2:$D$201)</f>
        <v>#N/A</v>
      </c>
      <c r="D107" s="97" t="str">
        <f t="array" ref="D107">XLOOKUP('Core Values Input'!$A107,'Innovation Project Input'!$A$2:$A$201,'Innovation Project Input'!$F$2:$F$201)</f>
        <v>#N/A</v>
      </c>
      <c r="E107" s="97" t="str">
        <f t="array" ref="E107">XLOOKUP('Core Values Input'!$A107,'Innovation Project Input'!$A$2:$A$201,'Innovation Project Input'!$G$2:$G$201)</f>
        <v>#N/A</v>
      </c>
      <c r="F107" s="97" t="str">
        <f t="array" ref="F107">XLOOKUP('Core Values Input'!$A107,'Innovation Project Input'!$A$2:$A$201,'Innovation Project Input'!$K$2:$K$201)</f>
        <v>#N/A</v>
      </c>
      <c r="G107" s="97" t="str">
        <f t="array" ref="G107">XLOOKUP('Core Values Input'!$A107,'Innovation Project Input'!$A$2:$A$201,'Innovation Project Input'!$L$2:$L$201)</f>
        <v>#N/A</v>
      </c>
      <c r="H107" s="97" t="str">
        <f t="array" ref="H107">XLOOKUP('Core Values Input'!$A107,'Robot Design Input'!$A$2:$A$201,'Robot Design Input'!$D$2:$D$201)</f>
        <v/>
      </c>
      <c r="I107" s="97" t="str">
        <f t="array" ref="I107">XLOOKUP('Core Values Input'!$A107,'Robot Design Input'!$A$2:$A$201,'Robot Design Input'!$E$2:$E$201)</f>
        <v/>
      </c>
      <c r="J107" s="97" t="str">
        <f t="array" ref="J107">XLOOKUP('Core Values Input'!$A107,'Robot Design Input'!$A$2:$A$201,'Robot Design Input'!$J$2:$J$201)</f>
        <v/>
      </c>
      <c r="K107" s="97" t="str">
        <f t="array" ref="K107">XLOOKUP('Core Values Input'!$A107,'Robot Design Input'!$A$2:$A$201,'Robot Design Input'!$K$2:$K$201)</f>
        <v/>
      </c>
      <c r="L107" s="97" t="str">
        <f t="array" ref="L107">XLOOKUP('Core Values Input'!$A107,'Robot Design Input'!$A$2:$A$201,'Robot Design Input'!$L$2:$L$201)</f>
        <v/>
      </c>
      <c r="M107" s="38"/>
      <c r="N107" s="38"/>
      <c r="O107" s="38"/>
      <c r="P107" s="38"/>
      <c r="Q107" s="38"/>
      <c r="R107" s="38"/>
      <c r="S107" s="38"/>
      <c r="T107" s="38"/>
      <c r="U107" s="98" t="str">
        <f>SUM('Core Values Input'!$C107:$L107,'Core Values Input'!$T107)</f>
        <v>#N/A</v>
      </c>
      <c r="V107" s="80">
        <f>IF('Core Values Input'!$A107&gt;0,MIN(_xlfn.RANK.EQ('Core Values Input'!$U107,'Core Values Input'!$U$2:$U$201,0),NumberOfTeams),NumberOfTeams+1)</f>
        <v>1</v>
      </c>
      <c r="W107" s="99"/>
      <c r="X107" s="99"/>
      <c r="Y107" s="99"/>
    </row>
    <row r="108" ht="30.0" customHeight="1">
      <c r="A108" s="38" t="str">
        <f t="array" ref="A108">XLOOKUP(107,'Team and Program Information'!$B$3:$B$202,'Team and Program Information'!$C$3:$C$202,"ERROR",0)</f>
        <v/>
      </c>
      <c r="B108" s="68" t="str">
        <f t="array" ref="B108">XLOOKUP('Core Values Input'!$A108,'Team and Program Information'!$C$3:$C$202,'Team and Program Information'!$D$3:$D$202,"",0,)</f>
        <v>#VALUE!</v>
      </c>
      <c r="C108" s="97" t="str">
        <f t="array" ref="C108">XLOOKUP('Core Values Input'!$A108,'Innovation Project Input'!$A$2:$A$201,'Innovation Project Input'!$D$2:$D$201)</f>
        <v>#N/A</v>
      </c>
      <c r="D108" s="97" t="str">
        <f t="array" ref="D108">XLOOKUP('Core Values Input'!$A108,'Innovation Project Input'!$A$2:$A$201,'Innovation Project Input'!$F$2:$F$201)</f>
        <v>#N/A</v>
      </c>
      <c r="E108" s="97" t="str">
        <f t="array" ref="E108">XLOOKUP('Core Values Input'!$A108,'Innovation Project Input'!$A$2:$A$201,'Innovation Project Input'!$G$2:$G$201)</f>
        <v>#N/A</v>
      </c>
      <c r="F108" s="97" t="str">
        <f t="array" ref="F108">XLOOKUP('Core Values Input'!$A108,'Innovation Project Input'!$A$2:$A$201,'Innovation Project Input'!$K$2:$K$201)</f>
        <v>#N/A</v>
      </c>
      <c r="G108" s="97" t="str">
        <f t="array" ref="G108">XLOOKUP('Core Values Input'!$A108,'Innovation Project Input'!$A$2:$A$201,'Innovation Project Input'!$L$2:$L$201)</f>
        <v>#N/A</v>
      </c>
      <c r="H108" s="97" t="str">
        <f t="array" ref="H108">XLOOKUP('Core Values Input'!$A108,'Robot Design Input'!$A$2:$A$201,'Robot Design Input'!$D$2:$D$201)</f>
        <v/>
      </c>
      <c r="I108" s="97" t="str">
        <f t="array" ref="I108">XLOOKUP('Core Values Input'!$A108,'Robot Design Input'!$A$2:$A$201,'Robot Design Input'!$E$2:$E$201)</f>
        <v/>
      </c>
      <c r="J108" s="97" t="str">
        <f t="array" ref="J108">XLOOKUP('Core Values Input'!$A108,'Robot Design Input'!$A$2:$A$201,'Robot Design Input'!$J$2:$J$201)</f>
        <v/>
      </c>
      <c r="K108" s="97" t="str">
        <f t="array" ref="K108">XLOOKUP('Core Values Input'!$A108,'Robot Design Input'!$A$2:$A$201,'Robot Design Input'!$K$2:$K$201)</f>
        <v/>
      </c>
      <c r="L108" s="97" t="str">
        <f t="array" ref="L108">XLOOKUP('Core Values Input'!$A108,'Robot Design Input'!$A$2:$A$201,'Robot Design Input'!$L$2:$L$201)</f>
        <v/>
      </c>
      <c r="M108" s="38"/>
      <c r="N108" s="38"/>
      <c r="O108" s="38"/>
      <c r="P108" s="38"/>
      <c r="Q108" s="38"/>
      <c r="R108" s="38"/>
      <c r="S108" s="38"/>
      <c r="T108" s="38"/>
      <c r="U108" s="98" t="str">
        <f>SUM('Core Values Input'!$C108:$L108,'Core Values Input'!$T108)</f>
        <v>#N/A</v>
      </c>
      <c r="V108" s="80">
        <f>IF('Core Values Input'!$A108&gt;0,MIN(_xlfn.RANK.EQ('Core Values Input'!$U108,'Core Values Input'!$U$2:$U$201,0),NumberOfTeams),NumberOfTeams+1)</f>
        <v>1</v>
      </c>
      <c r="W108" s="99"/>
      <c r="X108" s="99"/>
      <c r="Y108" s="99"/>
    </row>
    <row r="109" ht="30.0" customHeight="1">
      <c r="A109" s="38" t="str">
        <f t="array" ref="A109">XLOOKUP(108,'Team and Program Information'!$B$3:$B$202,'Team and Program Information'!$C$3:$C$202,"ERROR",0)</f>
        <v/>
      </c>
      <c r="B109" s="68" t="str">
        <f t="array" ref="B109">XLOOKUP('Core Values Input'!$A109,'Team and Program Information'!$C$3:$C$202,'Team and Program Information'!$D$3:$D$202,"",0,)</f>
        <v>#VALUE!</v>
      </c>
      <c r="C109" s="97" t="str">
        <f t="array" ref="C109">XLOOKUP('Core Values Input'!$A109,'Innovation Project Input'!$A$2:$A$201,'Innovation Project Input'!$D$2:$D$201)</f>
        <v>#N/A</v>
      </c>
      <c r="D109" s="97" t="str">
        <f t="array" ref="D109">XLOOKUP('Core Values Input'!$A109,'Innovation Project Input'!$A$2:$A$201,'Innovation Project Input'!$F$2:$F$201)</f>
        <v>#N/A</v>
      </c>
      <c r="E109" s="97" t="str">
        <f t="array" ref="E109">XLOOKUP('Core Values Input'!$A109,'Innovation Project Input'!$A$2:$A$201,'Innovation Project Input'!$G$2:$G$201)</f>
        <v>#N/A</v>
      </c>
      <c r="F109" s="97" t="str">
        <f t="array" ref="F109">XLOOKUP('Core Values Input'!$A109,'Innovation Project Input'!$A$2:$A$201,'Innovation Project Input'!$K$2:$K$201)</f>
        <v>#N/A</v>
      </c>
      <c r="G109" s="97" t="str">
        <f t="array" ref="G109">XLOOKUP('Core Values Input'!$A109,'Innovation Project Input'!$A$2:$A$201,'Innovation Project Input'!$L$2:$L$201)</f>
        <v>#N/A</v>
      </c>
      <c r="H109" s="97" t="str">
        <f t="array" ref="H109">XLOOKUP('Core Values Input'!$A109,'Robot Design Input'!$A$2:$A$201,'Robot Design Input'!$D$2:$D$201)</f>
        <v/>
      </c>
      <c r="I109" s="97" t="str">
        <f t="array" ref="I109">XLOOKUP('Core Values Input'!$A109,'Robot Design Input'!$A$2:$A$201,'Robot Design Input'!$E$2:$E$201)</f>
        <v/>
      </c>
      <c r="J109" s="97" t="str">
        <f t="array" ref="J109">XLOOKUP('Core Values Input'!$A109,'Robot Design Input'!$A$2:$A$201,'Robot Design Input'!$J$2:$J$201)</f>
        <v/>
      </c>
      <c r="K109" s="97" t="str">
        <f t="array" ref="K109">XLOOKUP('Core Values Input'!$A109,'Robot Design Input'!$A$2:$A$201,'Robot Design Input'!$K$2:$K$201)</f>
        <v/>
      </c>
      <c r="L109" s="97" t="str">
        <f t="array" ref="L109">XLOOKUP('Core Values Input'!$A109,'Robot Design Input'!$A$2:$A$201,'Robot Design Input'!$L$2:$L$201)</f>
        <v/>
      </c>
      <c r="M109" s="38"/>
      <c r="N109" s="38"/>
      <c r="O109" s="38"/>
      <c r="P109" s="38"/>
      <c r="Q109" s="38"/>
      <c r="R109" s="38"/>
      <c r="S109" s="38"/>
      <c r="T109" s="38"/>
      <c r="U109" s="98" t="str">
        <f>SUM('Core Values Input'!$C109:$L109,'Core Values Input'!$T109)</f>
        <v>#N/A</v>
      </c>
      <c r="V109" s="80">
        <f>IF('Core Values Input'!$A109&gt;0,MIN(_xlfn.RANK.EQ('Core Values Input'!$U109,'Core Values Input'!$U$2:$U$201,0),NumberOfTeams),NumberOfTeams+1)</f>
        <v>1</v>
      </c>
      <c r="W109" s="99"/>
      <c r="X109" s="99"/>
      <c r="Y109" s="99"/>
    </row>
    <row r="110" ht="30.0" customHeight="1">
      <c r="A110" s="38" t="str">
        <f t="array" ref="A110">XLOOKUP(109,'Team and Program Information'!$B$3:$B$202,'Team and Program Information'!$C$3:$C$202,"ERROR",0)</f>
        <v/>
      </c>
      <c r="B110" s="68" t="str">
        <f t="array" ref="B110">XLOOKUP('Core Values Input'!$A110,'Team and Program Information'!$C$3:$C$202,'Team and Program Information'!$D$3:$D$202,"",0,)</f>
        <v>#VALUE!</v>
      </c>
      <c r="C110" s="97" t="str">
        <f t="array" ref="C110">XLOOKUP('Core Values Input'!$A110,'Innovation Project Input'!$A$2:$A$201,'Innovation Project Input'!$D$2:$D$201)</f>
        <v>#N/A</v>
      </c>
      <c r="D110" s="97" t="str">
        <f t="array" ref="D110">XLOOKUP('Core Values Input'!$A110,'Innovation Project Input'!$A$2:$A$201,'Innovation Project Input'!$F$2:$F$201)</f>
        <v>#N/A</v>
      </c>
      <c r="E110" s="97" t="str">
        <f t="array" ref="E110">XLOOKUP('Core Values Input'!$A110,'Innovation Project Input'!$A$2:$A$201,'Innovation Project Input'!$G$2:$G$201)</f>
        <v>#N/A</v>
      </c>
      <c r="F110" s="97" t="str">
        <f t="array" ref="F110">XLOOKUP('Core Values Input'!$A110,'Innovation Project Input'!$A$2:$A$201,'Innovation Project Input'!$K$2:$K$201)</f>
        <v>#N/A</v>
      </c>
      <c r="G110" s="97" t="str">
        <f t="array" ref="G110">XLOOKUP('Core Values Input'!$A110,'Innovation Project Input'!$A$2:$A$201,'Innovation Project Input'!$L$2:$L$201)</f>
        <v>#N/A</v>
      </c>
      <c r="H110" s="97" t="str">
        <f t="array" ref="H110">XLOOKUP('Core Values Input'!$A110,'Robot Design Input'!$A$2:$A$201,'Robot Design Input'!$D$2:$D$201)</f>
        <v/>
      </c>
      <c r="I110" s="97" t="str">
        <f t="array" ref="I110">XLOOKUP('Core Values Input'!$A110,'Robot Design Input'!$A$2:$A$201,'Robot Design Input'!$E$2:$E$201)</f>
        <v/>
      </c>
      <c r="J110" s="97" t="str">
        <f t="array" ref="J110">XLOOKUP('Core Values Input'!$A110,'Robot Design Input'!$A$2:$A$201,'Robot Design Input'!$J$2:$J$201)</f>
        <v/>
      </c>
      <c r="K110" s="97" t="str">
        <f t="array" ref="K110">XLOOKUP('Core Values Input'!$A110,'Robot Design Input'!$A$2:$A$201,'Robot Design Input'!$K$2:$K$201)</f>
        <v/>
      </c>
      <c r="L110" s="97" t="str">
        <f t="array" ref="L110">XLOOKUP('Core Values Input'!$A110,'Robot Design Input'!$A$2:$A$201,'Robot Design Input'!$L$2:$L$201)</f>
        <v/>
      </c>
      <c r="M110" s="38"/>
      <c r="N110" s="38"/>
      <c r="O110" s="38"/>
      <c r="P110" s="38"/>
      <c r="Q110" s="38"/>
      <c r="R110" s="38"/>
      <c r="S110" s="38"/>
      <c r="T110" s="38"/>
      <c r="U110" s="100" t="str">
        <f>SUM('Core Values Input'!$C110:$L110,'Core Values Input'!$T110)</f>
        <v>#N/A</v>
      </c>
      <c r="V110" s="80">
        <f>IF('Core Values Input'!$A110&gt;0,MIN(_xlfn.RANK.EQ('Core Values Input'!$U110,'Core Values Input'!$U$2:$U$201,0),NumberOfTeams),NumberOfTeams+1)</f>
        <v>1</v>
      </c>
      <c r="W110" s="99"/>
      <c r="X110" s="99"/>
      <c r="Y110" s="99"/>
    </row>
    <row r="111" ht="30.0" customHeight="1">
      <c r="A111" s="38" t="str">
        <f t="array" ref="A111">XLOOKUP(110,'Team and Program Information'!$B$3:$B$202,'Team and Program Information'!$C$3:$C$202,"ERROR",0)</f>
        <v/>
      </c>
      <c r="B111" s="68" t="str">
        <f t="array" ref="B111">XLOOKUP('Core Values Input'!$A111,'Team and Program Information'!$C$3:$C$202,'Team and Program Information'!$D$3:$D$202,"",0,)</f>
        <v>#VALUE!</v>
      </c>
      <c r="C111" s="97" t="str">
        <f t="array" ref="C111">XLOOKUP('Core Values Input'!$A111,'Innovation Project Input'!$A$2:$A$201,'Innovation Project Input'!$D$2:$D$201)</f>
        <v>#N/A</v>
      </c>
      <c r="D111" s="97" t="str">
        <f t="array" ref="D111">XLOOKUP('Core Values Input'!$A111,'Innovation Project Input'!$A$2:$A$201,'Innovation Project Input'!$F$2:$F$201)</f>
        <v>#N/A</v>
      </c>
      <c r="E111" s="97" t="str">
        <f t="array" ref="E111">XLOOKUP('Core Values Input'!$A111,'Innovation Project Input'!$A$2:$A$201,'Innovation Project Input'!$G$2:$G$201)</f>
        <v>#N/A</v>
      </c>
      <c r="F111" s="97" t="str">
        <f t="array" ref="F111">XLOOKUP('Core Values Input'!$A111,'Innovation Project Input'!$A$2:$A$201,'Innovation Project Input'!$K$2:$K$201)</f>
        <v>#N/A</v>
      </c>
      <c r="G111" s="97" t="str">
        <f t="array" ref="G111">XLOOKUP('Core Values Input'!$A111,'Innovation Project Input'!$A$2:$A$201,'Innovation Project Input'!$L$2:$L$201)</f>
        <v>#N/A</v>
      </c>
      <c r="H111" s="97" t="str">
        <f t="array" ref="H111">XLOOKUP('Core Values Input'!$A111,'Robot Design Input'!$A$2:$A$201,'Robot Design Input'!$D$2:$D$201)</f>
        <v/>
      </c>
      <c r="I111" s="97" t="str">
        <f t="array" ref="I111">XLOOKUP('Core Values Input'!$A111,'Robot Design Input'!$A$2:$A$201,'Robot Design Input'!$E$2:$E$201)</f>
        <v/>
      </c>
      <c r="J111" s="97" t="str">
        <f t="array" ref="J111">XLOOKUP('Core Values Input'!$A111,'Robot Design Input'!$A$2:$A$201,'Robot Design Input'!$J$2:$J$201)</f>
        <v/>
      </c>
      <c r="K111" s="97" t="str">
        <f t="array" ref="K111">XLOOKUP('Core Values Input'!$A111,'Robot Design Input'!$A$2:$A$201,'Robot Design Input'!$K$2:$K$201)</f>
        <v/>
      </c>
      <c r="L111" s="97" t="str">
        <f t="array" ref="L111">XLOOKUP('Core Values Input'!$A111,'Robot Design Input'!$A$2:$A$201,'Robot Design Input'!$L$2:$L$201)</f>
        <v/>
      </c>
      <c r="M111" s="38"/>
      <c r="N111" s="38"/>
      <c r="O111" s="38"/>
      <c r="P111" s="38"/>
      <c r="Q111" s="38"/>
      <c r="R111" s="38"/>
      <c r="S111" s="38"/>
      <c r="T111" s="38"/>
      <c r="U111" s="100" t="str">
        <f>SUM('Core Values Input'!$C111:$L111,'Core Values Input'!$T111)</f>
        <v>#N/A</v>
      </c>
      <c r="V111" s="80">
        <f>IF('Core Values Input'!$A111&gt;0,MIN(_xlfn.RANK.EQ('Core Values Input'!$U111,'Core Values Input'!$U$2:$U$201,0),NumberOfTeams),NumberOfTeams+1)</f>
        <v>1</v>
      </c>
      <c r="W111" s="99"/>
      <c r="X111" s="99"/>
      <c r="Y111" s="99"/>
    </row>
    <row r="112" ht="30.0" customHeight="1">
      <c r="A112" s="38" t="str">
        <f t="array" ref="A112">XLOOKUP(111,'Team and Program Information'!$B$3:$B$202,'Team and Program Information'!$C$3:$C$202,"ERROR",0)</f>
        <v/>
      </c>
      <c r="B112" s="68" t="str">
        <f t="array" ref="B112">XLOOKUP('Core Values Input'!$A112,'Team and Program Information'!$C$3:$C$202,'Team and Program Information'!$D$3:$D$202,"",0,)</f>
        <v>#VALUE!</v>
      </c>
      <c r="C112" s="97" t="str">
        <f t="array" ref="C112">XLOOKUP('Core Values Input'!$A112,'Innovation Project Input'!$A$2:$A$201,'Innovation Project Input'!$D$2:$D$201)</f>
        <v>#N/A</v>
      </c>
      <c r="D112" s="97" t="str">
        <f t="array" ref="D112">XLOOKUP('Core Values Input'!$A112,'Innovation Project Input'!$A$2:$A$201,'Innovation Project Input'!$F$2:$F$201)</f>
        <v>#N/A</v>
      </c>
      <c r="E112" s="97" t="str">
        <f t="array" ref="E112">XLOOKUP('Core Values Input'!$A112,'Innovation Project Input'!$A$2:$A$201,'Innovation Project Input'!$G$2:$G$201)</f>
        <v>#N/A</v>
      </c>
      <c r="F112" s="97" t="str">
        <f t="array" ref="F112">XLOOKUP('Core Values Input'!$A112,'Innovation Project Input'!$A$2:$A$201,'Innovation Project Input'!$K$2:$K$201)</f>
        <v>#N/A</v>
      </c>
      <c r="G112" s="97" t="str">
        <f t="array" ref="G112">XLOOKUP('Core Values Input'!$A112,'Innovation Project Input'!$A$2:$A$201,'Innovation Project Input'!$L$2:$L$201)</f>
        <v>#N/A</v>
      </c>
      <c r="H112" s="97" t="str">
        <f t="array" ref="H112">XLOOKUP('Core Values Input'!$A112,'Robot Design Input'!$A$2:$A$201,'Robot Design Input'!$D$2:$D$201)</f>
        <v/>
      </c>
      <c r="I112" s="97" t="str">
        <f t="array" ref="I112">XLOOKUP('Core Values Input'!$A112,'Robot Design Input'!$A$2:$A$201,'Robot Design Input'!$E$2:$E$201)</f>
        <v/>
      </c>
      <c r="J112" s="97" t="str">
        <f t="array" ref="J112">XLOOKUP('Core Values Input'!$A112,'Robot Design Input'!$A$2:$A$201,'Robot Design Input'!$J$2:$J$201)</f>
        <v/>
      </c>
      <c r="K112" s="97" t="str">
        <f t="array" ref="K112">XLOOKUP('Core Values Input'!$A112,'Robot Design Input'!$A$2:$A$201,'Robot Design Input'!$K$2:$K$201)</f>
        <v/>
      </c>
      <c r="L112" s="97" t="str">
        <f t="array" ref="L112">XLOOKUP('Core Values Input'!$A112,'Robot Design Input'!$A$2:$A$201,'Robot Design Input'!$L$2:$L$201)</f>
        <v/>
      </c>
      <c r="M112" s="38"/>
      <c r="N112" s="38"/>
      <c r="O112" s="38"/>
      <c r="P112" s="38"/>
      <c r="Q112" s="38"/>
      <c r="R112" s="38"/>
      <c r="S112" s="38"/>
      <c r="T112" s="38"/>
      <c r="U112" s="100" t="str">
        <f>SUM('Core Values Input'!$C112:$L112,'Core Values Input'!$T112)</f>
        <v>#N/A</v>
      </c>
      <c r="V112" s="80">
        <f>IF('Core Values Input'!$A112&gt;0,MIN(_xlfn.RANK.EQ('Core Values Input'!$U112,'Core Values Input'!$U$2:$U$201,0),NumberOfTeams),NumberOfTeams+1)</f>
        <v>1</v>
      </c>
      <c r="W112" s="99"/>
      <c r="X112" s="99"/>
      <c r="Y112" s="99"/>
    </row>
    <row r="113" ht="30.0" customHeight="1">
      <c r="A113" s="38" t="str">
        <f t="array" ref="A113">XLOOKUP(112,'Team and Program Information'!$B$3:$B$202,'Team and Program Information'!$C$3:$C$202,"ERROR",0)</f>
        <v/>
      </c>
      <c r="B113" s="68" t="str">
        <f t="array" ref="B113">XLOOKUP('Core Values Input'!$A113,'Team and Program Information'!$C$3:$C$202,'Team and Program Information'!$D$3:$D$202,"",0,)</f>
        <v>#VALUE!</v>
      </c>
      <c r="C113" s="97" t="str">
        <f t="array" ref="C113">XLOOKUP('Core Values Input'!$A113,'Innovation Project Input'!$A$2:$A$201,'Innovation Project Input'!$D$2:$D$201)</f>
        <v>#N/A</v>
      </c>
      <c r="D113" s="97" t="str">
        <f t="array" ref="D113">XLOOKUP('Core Values Input'!$A113,'Innovation Project Input'!$A$2:$A$201,'Innovation Project Input'!$F$2:$F$201)</f>
        <v>#N/A</v>
      </c>
      <c r="E113" s="97" t="str">
        <f t="array" ref="E113">XLOOKUP('Core Values Input'!$A113,'Innovation Project Input'!$A$2:$A$201,'Innovation Project Input'!$G$2:$G$201)</f>
        <v>#N/A</v>
      </c>
      <c r="F113" s="97" t="str">
        <f t="array" ref="F113">XLOOKUP('Core Values Input'!$A113,'Innovation Project Input'!$A$2:$A$201,'Innovation Project Input'!$K$2:$K$201)</f>
        <v>#N/A</v>
      </c>
      <c r="G113" s="97" t="str">
        <f t="array" ref="G113">XLOOKUP('Core Values Input'!$A113,'Innovation Project Input'!$A$2:$A$201,'Innovation Project Input'!$L$2:$L$201)</f>
        <v>#N/A</v>
      </c>
      <c r="H113" s="97" t="str">
        <f t="array" ref="H113">XLOOKUP('Core Values Input'!$A113,'Robot Design Input'!$A$2:$A$201,'Robot Design Input'!$D$2:$D$201)</f>
        <v/>
      </c>
      <c r="I113" s="97" t="str">
        <f t="array" ref="I113">XLOOKUP('Core Values Input'!$A113,'Robot Design Input'!$A$2:$A$201,'Robot Design Input'!$E$2:$E$201)</f>
        <v/>
      </c>
      <c r="J113" s="97" t="str">
        <f t="array" ref="J113">XLOOKUP('Core Values Input'!$A113,'Robot Design Input'!$A$2:$A$201,'Robot Design Input'!$J$2:$J$201)</f>
        <v/>
      </c>
      <c r="K113" s="97" t="str">
        <f t="array" ref="K113">XLOOKUP('Core Values Input'!$A113,'Robot Design Input'!$A$2:$A$201,'Robot Design Input'!$K$2:$K$201)</f>
        <v/>
      </c>
      <c r="L113" s="97" t="str">
        <f t="array" ref="L113">XLOOKUP('Core Values Input'!$A113,'Robot Design Input'!$A$2:$A$201,'Robot Design Input'!$L$2:$L$201)</f>
        <v/>
      </c>
      <c r="M113" s="38"/>
      <c r="N113" s="38"/>
      <c r="O113" s="38"/>
      <c r="P113" s="38"/>
      <c r="Q113" s="38"/>
      <c r="R113" s="38"/>
      <c r="S113" s="38"/>
      <c r="T113" s="38"/>
      <c r="U113" s="100" t="str">
        <f>SUM('Core Values Input'!$C113:$L113,'Core Values Input'!$T113)</f>
        <v>#N/A</v>
      </c>
      <c r="V113" s="80">
        <f>IF('Core Values Input'!$A113&gt;0,MIN(_xlfn.RANK.EQ('Core Values Input'!$U113,'Core Values Input'!$U$2:$U$201,0),NumberOfTeams),NumberOfTeams+1)</f>
        <v>1</v>
      </c>
      <c r="W113" s="99"/>
      <c r="X113" s="99"/>
      <c r="Y113" s="99"/>
    </row>
    <row r="114" ht="30.0" customHeight="1">
      <c r="A114" s="38" t="str">
        <f t="array" ref="A114">XLOOKUP(113,'Team and Program Information'!$B$3:$B$202,'Team and Program Information'!$C$3:$C$202,"ERROR",0)</f>
        <v/>
      </c>
      <c r="B114" s="68" t="str">
        <f t="array" ref="B114">XLOOKUP('Core Values Input'!$A114,'Team and Program Information'!$C$3:$C$202,'Team and Program Information'!$D$3:$D$202,"",0,)</f>
        <v>#VALUE!</v>
      </c>
      <c r="C114" s="97" t="str">
        <f t="array" ref="C114">XLOOKUP('Core Values Input'!$A114,'Innovation Project Input'!$A$2:$A$201,'Innovation Project Input'!$D$2:$D$201)</f>
        <v>#N/A</v>
      </c>
      <c r="D114" s="97" t="str">
        <f t="array" ref="D114">XLOOKUP('Core Values Input'!$A114,'Innovation Project Input'!$A$2:$A$201,'Innovation Project Input'!$F$2:$F$201)</f>
        <v>#N/A</v>
      </c>
      <c r="E114" s="97" t="str">
        <f t="array" ref="E114">XLOOKUP('Core Values Input'!$A114,'Innovation Project Input'!$A$2:$A$201,'Innovation Project Input'!$G$2:$G$201)</f>
        <v>#N/A</v>
      </c>
      <c r="F114" s="97" t="str">
        <f t="array" ref="F114">XLOOKUP('Core Values Input'!$A114,'Innovation Project Input'!$A$2:$A$201,'Innovation Project Input'!$K$2:$K$201)</f>
        <v>#N/A</v>
      </c>
      <c r="G114" s="97" t="str">
        <f t="array" ref="G114">XLOOKUP('Core Values Input'!$A114,'Innovation Project Input'!$A$2:$A$201,'Innovation Project Input'!$L$2:$L$201)</f>
        <v>#N/A</v>
      </c>
      <c r="H114" s="97" t="str">
        <f t="array" ref="H114">XLOOKUP('Core Values Input'!$A114,'Robot Design Input'!$A$2:$A$201,'Robot Design Input'!$D$2:$D$201)</f>
        <v/>
      </c>
      <c r="I114" s="97" t="str">
        <f t="array" ref="I114">XLOOKUP('Core Values Input'!$A114,'Robot Design Input'!$A$2:$A$201,'Robot Design Input'!$E$2:$E$201)</f>
        <v/>
      </c>
      <c r="J114" s="97" t="str">
        <f t="array" ref="J114">XLOOKUP('Core Values Input'!$A114,'Robot Design Input'!$A$2:$A$201,'Robot Design Input'!$J$2:$J$201)</f>
        <v/>
      </c>
      <c r="K114" s="97" t="str">
        <f t="array" ref="K114">XLOOKUP('Core Values Input'!$A114,'Robot Design Input'!$A$2:$A$201,'Robot Design Input'!$K$2:$K$201)</f>
        <v/>
      </c>
      <c r="L114" s="97" t="str">
        <f t="array" ref="L114">XLOOKUP('Core Values Input'!$A114,'Robot Design Input'!$A$2:$A$201,'Robot Design Input'!$L$2:$L$201)</f>
        <v/>
      </c>
      <c r="M114" s="38"/>
      <c r="N114" s="38"/>
      <c r="O114" s="38"/>
      <c r="P114" s="38"/>
      <c r="Q114" s="38"/>
      <c r="R114" s="38"/>
      <c r="S114" s="38"/>
      <c r="T114" s="38"/>
      <c r="U114" s="100" t="str">
        <f>SUM('Core Values Input'!$C114:$L114,'Core Values Input'!$T114)</f>
        <v>#N/A</v>
      </c>
      <c r="V114" s="80">
        <f>IF('Core Values Input'!$A114&gt;0,MIN(_xlfn.RANK.EQ('Core Values Input'!$U114,'Core Values Input'!$U$2:$U$201,0),NumberOfTeams),NumberOfTeams+1)</f>
        <v>1</v>
      </c>
      <c r="W114" s="99"/>
      <c r="X114" s="99"/>
      <c r="Y114" s="99"/>
    </row>
    <row r="115" ht="30.0" customHeight="1">
      <c r="A115" s="38" t="str">
        <f t="array" ref="A115">XLOOKUP(114,'Team and Program Information'!$B$3:$B$202,'Team and Program Information'!$C$3:$C$202,"ERROR",0)</f>
        <v/>
      </c>
      <c r="B115" s="68" t="str">
        <f t="array" ref="B115">XLOOKUP('Core Values Input'!$A115,'Team and Program Information'!$C$3:$C$202,'Team and Program Information'!$D$3:$D$202,"",0,)</f>
        <v>#VALUE!</v>
      </c>
      <c r="C115" s="97" t="str">
        <f t="array" ref="C115">XLOOKUP('Core Values Input'!$A115,'Innovation Project Input'!$A$2:$A$201,'Innovation Project Input'!$D$2:$D$201)</f>
        <v>#N/A</v>
      </c>
      <c r="D115" s="97" t="str">
        <f t="array" ref="D115">XLOOKUP('Core Values Input'!$A115,'Innovation Project Input'!$A$2:$A$201,'Innovation Project Input'!$F$2:$F$201)</f>
        <v>#N/A</v>
      </c>
      <c r="E115" s="97" t="str">
        <f t="array" ref="E115">XLOOKUP('Core Values Input'!$A115,'Innovation Project Input'!$A$2:$A$201,'Innovation Project Input'!$G$2:$G$201)</f>
        <v>#N/A</v>
      </c>
      <c r="F115" s="97" t="str">
        <f t="array" ref="F115">XLOOKUP('Core Values Input'!$A115,'Innovation Project Input'!$A$2:$A$201,'Innovation Project Input'!$K$2:$K$201)</f>
        <v>#N/A</v>
      </c>
      <c r="G115" s="97" t="str">
        <f t="array" ref="G115">XLOOKUP('Core Values Input'!$A115,'Innovation Project Input'!$A$2:$A$201,'Innovation Project Input'!$L$2:$L$201)</f>
        <v>#N/A</v>
      </c>
      <c r="H115" s="97" t="str">
        <f t="array" ref="H115">XLOOKUP('Core Values Input'!$A115,'Robot Design Input'!$A$2:$A$201,'Robot Design Input'!$D$2:$D$201)</f>
        <v/>
      </c>
      <c r="I115" s="97" t="str">
        <f t="array" ref="I115">XLOOKUP('Core Values Input'!$A115,'Robot Design Input'!$A$2:$A$201,'Robot Design Input'!$E$2:$E$201)</f>
        <v/>
      </c>
      <c r="J115" s="97" t="str">
        <f t="array" ref="J115">XLOOKUP('Core Values Input'!$A115,'Robot Design Input'!$A$2:$A$201,'Robot Design Input'!$J$2:$J$201)</f>
        <v/>
      </c>
      <c r="K115" s="97" t="str">
        <f t="array" ref="K115">XLOOKUP('Core Values Input'!$A115,'Robot Design Input'!$A$2:$A$201,'Robot Design Input'!$K$2:$K$201)</f>
        <v/>
      </c>
      <c r="L115" s="97" t="str">
        <f t="array" ref="L115">XLOOKUP('Core Values Input'!$A115,'Robot Design Input'!$A$2:$A$201,'Robot Design Input'!$L$2:$L$201)</f>
        <v/>
      </c>
      <c r="M115" s="38"/>
      <c r="N115" s="38"/>
      <c r="O115" s="38"/>
      <c r="P115" s="38"/>
      <c r="Q115" s="38"/>
      <c r="R115" s="38"/>
      <c r="S115" s="38"/>
      <c r="T115" s="38"/>
      <c r="U115" s="100" t="str">
        <f>SUM('Core Values Input'!$C115:$L115,'Core Values Input'!$T115)</f>
        <v>#N/A</v>
      </c>
      <c r="V115" s="80">
        <f>IF('Core Values Input'!$A115&gt;0,MIN(_xlfn.RANK.EQ('Core Values Input'!$U115,'Core Values Input'!$U$2:$U$201,0),NumberOfTeams),NumberOfTeams+1)</f>
        <v>1</v>
      </c>
      <c r="W115" s="99"/>
      <c r="X115" s="99"/>
      <c r="Y115" s="99"/>
    </row>
    <row r="116" ht="30.0" customHeight="1">
      <c r="A116" s="38" t="str">
        <f t="array" ref="A116">XLOOKUP(115,'Team and Program Information'!$B$3:$B$202,'Team and Program Information'!$C$3:$C$202,"ERROR",0)</f>
        <v/>
      </c>
      <c r="B116" s="68" t="str">
        <f t="array" ref="B116">XLOOKUP('Core Values Input'!$A116,'Team and Program Information'!$C$3:$C$202,'Team and Program Information'!$D$3:$D$202,"",0,)</f>
        <v>#VALUE!</v>
      </c>
      <c r="C116" s="97" t="str">
        <f t="array" ref="C116">XLOOKUP('Core Values Input'!$A116,'Innovation Project Input'!$A$2:$A$201,'Innovation Project Input'!$D$2:$D$201)</f>
        <v>#N/A</v>
      </c>
      <c r="D116" s="97" t="str">
        <f t="array" ref="D116">XLOOKUP('Core Values Input'!$A116,'Innovation Project Input'!$A$2:$A$201,'Innovation Project Input'!$F$2:$F$201)</f>
        <v>#N/A</v>
      </c>
      <c r="E116" s="97" t="str">
        <f t="array" ref="E116">XLOOKUP('Core Values Input'!$A116,'Innovation Project Input'!$A$2:$A$201,'Innovation Project Input'!$G$2:$G$201)</f>
        <v>#N/A</v>
      </c>
      <c r="F116" s="97" t="str">
        <f t="array" ref="F116">XLOOKUP('Core Values Input'!$A116,'Innovation Project Input'!$A$2:$A$201,'Innovation Project Input'!$K$2:$K$201)</f>
        <v>#N/A</v>
      </c>
      <c r="G116" s="97" t="str">
        <f t="array" ref="G116">XLOOKUP('Core Values Input'!$A116,'Innovation Project Input'!$A$2:$A$201,'Innovation Project Input'!$L$2:$L$201)</f>
        <v>#N/A</v>
      </c>
      <c r="H116" s="97" t="str">
        <f t="array" ref="H116">XLOOKUP('Core Values Input'!$A116,'Robot Design Input'!$A$2:$A$201,'Robot Design Input'!$D$2:$D$201)</f>
        <v/>
      </c>
      <c r="I116" s="97" t="str">
        <f t="array" ref="I116">XLOOKUP('Core Values Input'!$A116,'Robot Design Input'!$A$2:$A$201,'Robot Design Input'!$E$2:$E$201)</f>
        <v/>
      </c>
      <c r="J116" s="97" t="str">
        <f t="array" ref="J116">XLOOKUP('Core Values Input'!$A116,'Robot Design Input'!$A$2:$A$201,'Robot Design Input'!$J$2:$J$201)</f>
        <v/>
      </c>
      <c r="K116" s="97" t="str">
        <f t="array" ref="K116">XLOOKUP('Core Values Input'!$A116,'Robot Design Input'!$A$2:$A$201,'Robot Design Input'!$K$2:$K$201)</f>
        <v/>
      </c>
      <c r="L116" s="97" t="str">
        <f t="array" ref="L116">XLOOKUP('Core Values Input'!$A116,'Robot Design Input'!$A$2:$A$201,'Robot Design Input'!$L$2:$L$201)</f>
        <v/>
      </c>
      <c r="M116" s="38"/>
      <c r="N116" s="38"/>
      <c r="O116" s="38"/>
      <c r="P116" s="38"/>
      <c r="Q116" s="38"/>
      <c r="R116" s="38"/>
      <c r="S116" s="38"/>
      <c r="T116" s="38"/>
      <c r="U116" s="100" t="str">
        <f>SUM('Core Values Input'!$C116:$L116,'Core Values Input'!$T116)</f>
        <v>#N/A</v>
      </c>
      <c r="V116" s="80">
        <f>IF('Core Values Input'!$A116&gt;0,MIN(_xlfn.RANK.EQ('Core Values Input'!$U116,'Core Values Input'!$U$2:$U$201,0),NumberOfTeams),NumberOfTeams+1)</f>
        <v>1</v>
      </c>
      <c r="W116" s="99"/>
      <c r="X116" s="99"/>
      <c r="Y116" s="99"/>
    </row>
    <row r="117" ht="30.0" customHeight="1">
      <c r="A117" s="38" t="str">
        <f t="array" ref="A117">XLOOKUP(116,'Team and Program Information'!$B$3:$B$202,'Team and Program Information'!$C$3:$C$202,"ERROR",0)</f>
        <v/>
      </c>
      <c r="B117" s="68" t="str">
        <f t="array" ref="B117">XLOOKUP('Core Values Input'!$A117,'Team and Program Information'!$C$3:$C$202,'Team and Program Information'!$D$3:$D$202,"",0,)</f>
        <v>#VALUE!</v>
      </c>
      <c r="C117" s="97" t="str">
        <f t="array" ref="C117">XLOOKUP('Core Values Input'!$A117,'Innovation Project Input'!$A$2:$A$201,'Innovation Project Input'!$D$2:$D$201)</f>
        <v>#N/A</v>
      </c>
      <c r="D117" s="97" t="str">
        <f t="array" ref="D117">XLOOKUP('Core Values Input'!$A117,'Innovation Project Input'!$A$2:$A$201,'Innovation Project Input'!$F$2:$F$201)</f>
        <v>#N/A</v>
      </c>
      <c r="E117" s="97" t="str">
        <f t="array" ref="E117">XLOOKUP('Core Values Input'!$A117,'Innovation Project Input'!$A$2:$A$201,'Innovation Project Input'!$G$2:$G$201)</f>
        <v>#N/A</v>
      </c>
      <c r="F117" s="97" t="str">
        <f t="array" ref="F117">XLOOKUP('Core Values Input'!$A117,'Innovation Project Input'!$A$2:$A$201,'Innovation Project Input'!$K$2:$K$201)</f>
        <v>#N/A</v>
      </c>
      <c r="G117" s="97" t="str">
        <f t="array" ref="G117">XLOOKUP('Core Values Input'!$A117,'Innovation Project Input'!$A$2:$A$201,'Innovation Project Input'!$L$2:$L$201)</f>
        <v>#N/A</v>
      </c>
      <c r="H117" s="97" t="str">
        <f t="array" ref="H117">XLOOKUP('Core Values Input'!$A117,'Robot Design Input'!$A$2:$A$201,'Robot Design Input'!$D$2:$D$201)</f>
        <v/>
      </c>
      <c r="I117" s="97" t="str">
        <f t="array" ref="I117">XLOOKUP('Core Values Input'!$A117,'Robot Design Input'!$A$2:$A$201,'Robot Design Input'!$E$2:$E$201)</f>
        <v/>
      </c>
      <c r="J117" s="97" t="str">
        <f t="array" ref="J117">XLOOKUP('Core Values Input'!$A117,'Robot Design Input'!$A$2:$A$201,'Robot Design Input'!$J$2:$J$201)</f>
        <v/>
      </c>
      <c r="K117" s="97" t="str">
        <f t="array" ref="K117">XLOOKUP('Core Values Input'!$A117,'Robot Design Input'!$A$2:$A$201,'Robot Design Input'!$K$2:$K$201)</f>
        <v/>
      </c>
      <c r="L117" s="97" t="str">
        <f t="array" ref="L117">XLOOKUP('Core Values Input'!$A117,'Robot Design Input'!$A$2:$A$201,'Robot Design Input'!$L$2:$L$201)</f>
        <v/>
      </c>
      <c r="M117" s="38"/>
      <c r="N117" s="38"/>
      <c r="O117" s="38"/>
      <c r="P117" s="38"/>
      <c r="Q117" s="38"/>
      <c r="R117" s="38"/>
      <c r="S117" s="38"/>
      <c r="T117" s="38"/>
      <c r="U117" s="100" t="str">
        <f>SUM('Core Values Input'!$C117:$L117,'Core Values Input'!$T117)</f>
        <v>#N/A</v>
      </c>
      <c r="V117" s="80">
        <f>IF('Core Values Input'!$A117&gt;0,MIN(_xlfn.RANK.EQ('Core Values Input'!$U117,'Core Values Input'!$U$2:$U$201,0),NumberOfTeams),NumberOfTeams+1)</f>
        <v>1</v>
      </c>
      <c r="W117" s="99"/>
      <c r="X117" s="99"/>
      <c r="Y117" s="99"/>
    </row>
    <row r="118" ht="30.0" customHeight="1">
      <c r="A118" s="38" t="str">
        <f t="array" ref="A118">XLOOKUP(117,'Team and Program Information'!$B$3:$B$202,'Team and Program Information'!$C$3:$C$202,"ERROR",0)</f>
        <v/>
      </c>
      <c r="B118" s="68" t="str">
        <f t="array" ref="B118">XLOOKUP('Core Values Input'!$A118,'Team and Program Information'!$C$3:$C$202,'Team and Program Information'!$D$3:$D$202,"",0,)</f>
        <v>#VALUE!</v>
      </c>
      <c r="C118" s="97" t="str">
        <f t="array" ref="C118">XLOOKUP('Core Values Input'!$A118,'Innovation Project Input'!$A$2:$A$201,'Innovation Project Input'!$D$2:$D$201)</f>
        <v>#N/A</v>
      </c>
      <c r="D118" s="97" t="str">
        <f t="array" ref="D118">XLOOKUP('Core Values Input'!$A118,'Innovation Project Input'!$A$2:$A$201,'Innovation Project Input'!$F$2:$F$201)</f>
        <v>#N/A</v>
      </c>
      <c r="E118" s="97" t="str">
        <f t="array" ref="E118">XLOOKUP('Core Values Input'!$A118,'Innovation Project Input'!$A$2:$A$201,'Innovation Project Input'!$G$2:$G$201)</f>
        <v>#N/A</v>
      </c>
      <c r="F118" s="97" t="str">
        <f t="array" ref="F118">XLOOKUP('Core Values Input'!$A118,'Innovation Project Input'!$A$2:$A$201,'Innovation Project Input'!$K$2:$K$201)</f>
        <v>#N/A</v>
      </c>
      <c r="G118" s="97" t="str">
        <f t="array" ref="G118">XLOOKUP('Core Values Input'!$A118,'Innovation Project Input'!$A$2:$A$201,'Innovation Project Input'!$L$2:$L$201)</f>
        <v>#N/A</v>
      </c>
      <c r="H118" s="97" t="str">
        <f t="array" ref="H118">XLOOKUP('Core Values Input'!$A118,'Robot Design Input'!$A$2:$A$201,'Robot Design Input'!$D$2:$D$201)</f>
        <v/>
      </c>
      <c r="I118" s="97" t="str">
        <f t="array" ref="I118">XLOOKUP('Core Values Input'!$A118,'Robot Design Input'!$A$2:$A$201,'Robot Design Input'!$E$2:$E$201)</f>
        <v/>
      </c>
      <c r="J118" s="97" t="str">
        <f t="array" ref="J118">XLOOKUP('Core Values Input'!$A118,'Robot Design Input'!$A$2:$A$201,'Robot Design Input'!$J$2:$J$201)</f>
        <v/>
      </c>
      <c r="K118" s="97" t="str">
        <f t="array" ref="K118">XLOOKUP('Core Values Input'!$A118,'Robot Design Input'!$A$2:$A$201,'Robot Design Input'!$K$2:$K$201)</f>
        <v/>
      </c>
      <c r="L118" s="97" t="str">
        <f t="array" ref="L118">XLOOKUP('Core Values Input'!$A118,'Robot Design Input'!$A$2:$A$201,'Robot Design Input'!$L$2:$L$201)</f>
        <v/>
      </c>
      <c r="M118" s="38"/>
      <c r="N118" s="38"/>
      <c r="O118" s="38"/>
      <c r="P118" s="38"/>
      <c r="Q118" s="38"/>
      <c r="R118" s="38"/>
      <c r="S118" s="38"/>
      <c r="T118" s="38"/>
      <c r="U118" s="100" t="str">
        <f>SUM('Core Values Input'!$C118:$L118,'Core Values Input'!$T118)</f>
        <v>#N/A</v>
      </c>
      <c r="V118" s="80">
        <f>IF('Core Values Input'!$A118&gt;0,MIN(_xlfn.RANK.EQ('Core Values Input'!$U118,'Core Values Input'!$U$2:$U$201,0),NumberOfTeams),NumberOfTeams+1)</f>
        <v>1</v>
      </c>
      <c r="W118" s="99"/>
      <c r="X118" s="99"/>
      <c r="Y118" s="99"/>
    </row>
    <row r="119" ht="30.0" customHeight="1">
      <c r="A119" s="38" t="str">
        <f t="array" ref="A119">XLOOKUP(118,'Team and Program Information'!$B$3:$B$202,'Team and Program Information'!$C$3:$C$202,"ERROR",0)</f>
        <v/>
      </c>
      <c r="B119" s="68" t="str">
        <f t="array" ref="B119">XLOOKUP('Core Values Input'!$A119,'Team and Program Information'!$C$3:$C$202,'Team and Program Information'!$D$3:$D$202,"",0,)</f>
        <v>#VALUE!</v>
      </c>
      <c r="C119" s="97" t="str">
        <f t="array" ref="C119">XLOOKUP('Core Values Input'!$A119,'Innovation Project Input'!$A$2:$A$201,'Innovation Project Input'!$D$2:$D$201)</f>
        <v>#N/A</v>
      </c>
      <c r="D119" s="97" t="str">
        <f t="array" ref="D119">XLOOKUP('Core Values Input'!$A119,'Innovation Project Input'!$A$2:$A$201,'Innovation Project Input'!$F$2:$F$201)</f>
        <v>#N/A</v>
      </c>
      <c r="E119" s="97" t="str">
        <f t="array" ref="E119">XLOOKUP('Core Values Input'!$A119,'Innovation Project Input'!$A$2:$A$201,'Innovation Project Input'!$G$2:$G$201)</f>
        <v>#N/A</v>
      </c>
      <c r="F119" s="97" t="str">
        <f t="array" ref="F119">XLOOKUP('Core Values Input'!$A119,'Innovation Project Input'!$A$2:$A$201,'Innovation Project Input'!$K$2:$K$201)</f>
        <v>#N/A</v>
      </c>
      <c r="G119" s="97" t="str">
        <f t="array" ref="G119">XLOOKUP('Core Values Input'!$A119,'Innovation Project Input'!$A$2:$A$201,'Innovation Project Input'!$L$2:$L$201)</f>
        <v>#N/A</v>
      </c>
      <c r="H119" s="97" t="str">
        <f t="array" ref="H119">XLOOKUP('Core Values Input'!$A119,'Robot Design Input'!$A$2:$A$201,'Robot Design Input'!$D$2:$D$201)</f>
        <v/>
      </c>
      <c r="I119" s="97" t="str">
        <f t="array" ref="I119">XLOOKUP('Core Values Input'!$A119,'Robot Design Input'!$A$2:$A$201,'Robot Design Input'!$E$2:$E$201)</f>
        <v/>
      </c>
      <c r="J119" s="97" t="str">
        <f t="array" ref="J119">XLOOKUP('Core Values Input'!$A119,'Robot Design Input'!$A$2:$A$201,'Robot Design Input'!$J$2:$J$201)</f>
        <v/>
      </c>
      <c r="K119" s="97" t="str">
        <f t="array" ref="K119">XLOOKUP('Core Values Input'!$A119,'Robot Design Input'!$A$2:$A$201,'Robot Design Input'!$K$2:$K$201)</f>
        <v/>
      </c>
      <c r="L119" s="97" t="str">
        <f t="array" ref="L119">XLOOKUP('Core Values Input'!$A119,'Robot Design Input'!$A$2:$A$201,'Robot Design Input'!$L$2:$L$201)</f>
        <v/>
      </c>
      <c r="M119" s="38"/>
      <c r="N119" s="38"/>
      <c r="O119" s="38"/>
      <c r="P119" s="38"/>
      <c r="Q119" s="38"/>
      <c r="R119" s="38"/>
      <c r="S119" s="38"/>
      <c r="T119" s="38"/>
      <c r="U119" s="100" t="str">
        <f>SUM('Core Values Input'!$C119:$L119,'Core Values Input'!$T119)</f>
        <v>#N/A</v>
      </c>
      <c r="V119" s="80">
        <f>IF('Core Values Input'!$A119&gt;0,MIN(_xlfn.RANK.EQ('Core Values Input'!$U119,'Core Values Input'!$U$2:$U$201,0),NumberOfTeams),NumberOfTeams+1)</f>
        <v>1</v>
      </c>
      <c r="W119" s="99"/>
      <c r="X119" s="99"/>
      <c r="Y119" s="99"/>
    </row>
    <row r="120" ht="30.0" customHeight="1">
      <c r="A120" s="38" t="str">
        <f t="array" ref="A120">XLOOKUP(119,'Team and Program Information'!$B$3:$B$202,'Team and Program Information'!$C$3:$C$202,"ERROR",0)</f>
        <v/>
      </c>
      <c r="B120" s="68" t="str">
        <f t="array" ref="B120">XLOOKUP('Core Values Input'!$A120,'Team and Program Information'!$C$3:$C$202,'Team and Program Information'!$D$3:$D$202,"",0,)</f>
        <v>#VALUE!</v>
      </c>
      <c r="C120" s="97" t="str">
        <f t="array" ref="C120">XLOOKUP('Core Values Input'!$A120,'Innovation Project Input'!$A$2:$A$201,'Innovation Project Input'!$D$2:$D$201)</f>
        <v>#N/A</v>
      </c>
      <c r="D120" s="97" t="str">
        <f t="array" ref="D120">XLOOKUP('Core Values Input'!$A120,'Innovation Project Input'!$A$2:$A$201,'Innovation Project Input'!$F$2:$F$201)</f>
        <v>#N/A</v>
      </c>
      <c r="E120" s="97" t="str">
        <f t="array" ref="E120">XLOOKUP('Core Values Input'!$A120,'Innovation Project Input'!$A$2:$A$201,'Innovation Project Input'!$G$2:$G$201)</f>
        <v>#N/A</v>
      </c>
      <c r="F120" s="97" t="str">
        <f t="array" ref="F120">XLOOKUP('Core Values Input'!$A120,'Innovation Project Input'!$A$2:$A$201,'Innovation Project Input'!$K$2:$K$201)</f>
        <v>#N/A</v>
      </c>
      <c r="G120" s="97" t="str">
        <f t="array" ref="G120">XLOOKUP('Core Values Input'!$A120,'Innovation Project Input'!$A$2:$A$201,'Innovation Project Input'!$L$2:$L$201)</f>
        <v>#N/A</v>
      </c>
      <c r="H120" s="97" t="str">
        <f t="array" ref="H120">XLOOKUP('Core Values Input'!$A120,'Robot Design Input'!$A$2:$A$201,'Robot Design Input'!$D$2:$D$201)</f>
        <v/>
      </c>
      <c r="I120" s="97" t="str">
        <f t="array" ref="I120">XLOOKUP('Core Values Input'!$A120,'Robot Design Input'!$A$2:$A$201,'Robot Design Input'!$E$2:$E$201)</f>
        <v/>
      </c>
      <c r="J120" s="97" t="str">
        <f t="array" ref="J120">XLOOKUP('Core Values Input'!$A120,'Robot Design Input'!$A$2:$A$201,'Robot Design Input'!$J$2:$J$201)</f>
        <v/>
      </c>
      <c r="K120" s="97" t="str">
        <f t="array" ref="K120">XLOOKUP('Core Values Input'!$A120,'Robot Design Input'!$A$2:$A$201,'Robot Design Input'!$K$2:$K$201)</f>
        <v/>
      </c>
      <c r="L120" s="97" t="str">
        <f t="array" ref="L120">XLOOKUP('Core Values Input'!$A120,'Robot Design Input'!$A$2:$A$201,'Robot Design Input'!$L$2:$L$201)</f>
        <v/>
      </c>
      <c r="M120" s="38"/>
      <c r="N120" s="38"/>
      <c r="O120" s="38"/>
      <c r="P120" s="38"/>
      <c r="Q120" s="38"/>
      <c r="R120" s="38"/>
      <c r="S120" s="38"/>
      <c r="T120" s="38"/>
      <c r="U120" s="100" t="str">
        <f>SUM('Core Values Input'!$C120:$L120,'Core Values Input'!$T120)</f>
        <v>#N/A</v>
      </c>
      <c r="V120" s="80">
        <f>IF('Core Values Input'!$A120&gt;0,MIN(_xlfn.RANK.EQ('Core Values Input'!$U120,'Core Values Input'!$U$2:$U$201,0),NumberOfTeams),NumberOfTeams+1)</f>
        <v>1</v>
      </c>
      <c r="W120" s="99"/>
      <c r="X120" s="99"/>
      <c r="Y120" s="99"/>
    </row>
    <row r="121" ht="30.0" customHeight="1">
      <c r="A121" s="38" t="str">
        <f t="array" ref="A121">XLOOKUP(120,'Team and Program Information'!$B$3:$B$202,'Team and Program Information'!$C$3:$C$202,"ERROR",0)</f>
        <v/>
      </c>
      <c r="B121" s="68" t="str">
        <f t="array" ref="B121">XLOOKUP('Core Values Input'!$A121,'Team and Program Information'!$C$3:$C$202,'Team and Program Information'!$D$3:$D$202,"",0,)</f>
        <v>#VALUE!</v>
      </c>
      <c r="C121" s="97" t="str">
        <f t="array" ref="C121">XLOOKUP('Core Values Input'!$A121,'Innovation Project Input'!$A$2:$A$201,'Innovation Project Input'!$D$2:$D$201)</f>
        <v>#N/A</v>
      </c>
      <c r="D121" s="97" t="str">
        <f t="array" ref="D121">XLOOKUP('Core Values Input'!$A121,'Innovation Project Input'!$A$2:$A$201,'Innovation Project Input'!$F$2:$F$201)</f>
        <v>#N/A</v>
      </c>
      <c r="E121" s="97" t="str">
        <f t="array" ref="E121">XLOOKUP('Core Values Input'!$A121,'Innovation Project Input'!$A$2:$A$201,'Innovation Project Input'!$G$2:$G$201)</f>
        <v>#N/A</v>
      </c>
      <c r="F121" s="97" t="str">
        <f t="array" ref="F121">XLOOKUP('Core Values Input'!$A121,'Innovation Project Input'!$A$2:$A$201,'Innovation Project Input'!$K$2:$K$201)</f>
        <v>#N/A</v>
      </c>
      <c r="G121" s="97" t="str">
        <f t="array" ref="G121">XLOOKUP('Core Values Input'!$A121,'Innovation Project Input'!$A$2:$A$201,'Innovation Project Input'!$L$2:$L$201)</f>
        <v>#N/A</v>
      </c>
      <c r="H121" s="97" t="str">
        <f t="array" ref="H121">XLOOKUP('Core Values Input'!$A121,'Robot Design Input'!$A$2:$A$201,'Robot Design Input'!$D$2:$D$201)</f>
        <v/>
      </c>
      <c r="I121" s="97" t="str">
        <f t="array" ref="I121">XLOOKUP('Core Values Input'!$A121,'Robot Design Input'!$A$2:$A$201,'Robot Design Input'!$E$2:$E$201)</f>
        <v/>
      </c>
      <c r="J121" s="97" t="str">
        <f t="array" ref="J121">XLOOKUP('Core Values Input'!$A121,'Robot Design Input'!$A$2:$A$201,'Robot Design Input'!$J$2:$J$201)</f>
        <v/>
      </c>
      <c r="K121" s="97" t="str">
        <f t="array" ref="K121">XLOOKUP('Core Values Input'!$A121,'Robot Design Input'!$A$2:$A$201,'Robot Design Input'!$K$2:$K$201)</f>
        <v/>
      </c>
      <c r="L121" s="97" t="str">
        <f t="array" ref="L121">XLOOKUP('Core Values Input'!$A121,'Robot Design Input'!$A$2:$A$201,'Robot Design Input'!$L$2:$L$201)</f>
        <v/>
      </c>
      <c r="M121" s="38"/>
      <c r="N121" s="38"/>
      <c r="O121" s="38"/>
      <c r="P121" s="38"/>
      <c r="Q121" s="38"/>
      <c r="R121" s="38"/>
      <c r="S121" s="38"/>
      <c r="T121" s="38"/>
      <c r="U121" s="100" t="str">
        <f>SUM('Core Values Input'!$C121:$L121,'Core Values Input'!$T121)</f>
        <v>#N/A</v>
      </c>
      <c r="V121" s="80">
        <f>IF('Core Values Input'!$A121&gt;0,MIN(_xlfn.RANK.EQ('Core Values Input'!$U121,'Core Values Input'!$U$2:$U$201,0),NumberOfTeams),NumberOfTeams+1)</f>
        <v>1</v>
      </c>
      <c r="W121" s="99"/>
      <c r="X121" s="99"/>
      <c r="Y121" s="99"/>
    </row>
    <row r="122" ht="30.0" customHeight="1">
      <c r="A122" s="38" t="str">
        <f t="array" ref="A122">XLOOKUP(121,'Team and Program Information'!$B$3:$B$202,'Team and Program Information'!$C$3:$C$202,"ERROR",0)</f>
        <v/>
      </c>
      <c r="B122" s="68" t="str">
        <f t="array" ref="B122">XLOOKUP('Core Values Input'!$A122,'Team and Program Information'!$C$3:$C$202,'Team and Program Information'!$D$3:$D$202,"",0,)</f>
        <v>#VALUE!</v>
      </c>
      <c r="C122" s="97" t="str">
        <f t="array" ref="C122">XLOOKUP('Core Values Input'!$A122,'Innovation Project Input'!$A$2:$A$201,'Innovation Project Input'!$D$2:$D$201)</f>
        <v>#N/A</v>
      </c>
      <c r="D122" s="97" t="str">
        <f t="array" ref="D122">XLOOKUP('Core Values Input'!$A122,'Innovation Project Input'!$A$2:$A$201,'Innovation Project Input'!$F$2:$F$201)</f>
        <v>#N/A</v>
      </c>
      <c r="E122" s="97" t="str">
        <f t="array" ref="E122">XLOOKUP('Core Values Input'!$A122,'Innovation Project Input'!$A$2:$A$201,'Innovation Project Input'!$G$2:$G$201)</f>
        <v>#N/A</v>
      </c>
      <c r="F122" s="97" t="str">
        <f t="array" ref="F122">XLOOKUP('Core Values Input'!$A122,'Innovation Project Input'!$A$2:$A$201,'Innovation Project Input'!$K$2:$K$201)</f>
        <v>#N/A</v>
      </c>
      <c r="G122" s="97" t="str">
        <f t="array" ref="G122">XLOOKUP('Core Values Input'!$A122,'Innovation Project Input'!$A$2:$A$201,'Innovation Project Input'!$L$2:$L$201)</f>
        <v>#N/A</v>
      </c>
      <c r="H122" s="97" t="str">
        <f t="array" ref="H122">XLOOKUP('Core Values Input'!$A122,'Robot Design Input'!$A$2:$A$201,'Robot Design Input'!$D$2:$D$201)</f>
        <v/>
      </c>
      <c r="I122" s="97" t="str">
        <f t="array" ref="I122">XLOOKUP('Core Values Input'!$A122,'Robot Design Input'!$A$2:$A$201,'Robot Design Input'!$E$2:$E$201)</f>
        <v/>
      </c>
      <c r="J122" s="97" t="str">
        <f t="array" ref="J122">XLOOKUP('Core Values Input'!$A122,'Robot Design Input'!$A$2:$A$201,'Robot Design Input'!$J$2:$J$201)</f>
        <v/>
      </c>
      <c r="K122" s="97" t="str">
        <f t="array" ref="K122">XLOOKUP('Core Values Input'!$A122,'Robot Design Input'!$A$2:$A$201,'Robot Design Input'!$K$2:$K$201)</f>
        <v/>
      </c>
      <c r="L122" s="97" t="str">
        <f t="array" ref="L122">XLOOKUP('Core Values Input'!$A122,'Robot Design Input'!$A$2:$A$201,'Robot Design Input'!$L$2:$L$201)</f>
        <v/>
      </c>
      <c r="M122" s="38"/>
      <c r="N122" s="38"/>
      <c r="O122" s="38"/>
      <c r="P122" s="38"/>
      <c r="Q122" s="38"/>
      <c r="R122" s="38"/>
      <c r="S122" s="38"/>
      <c r="T122" s="38"/>
      <c r="U122" s="100" t="str">
        <f>SUM('Core Values Input'!$C122:$L122,'Core Values Input'!$T122)</f>
        <v>#N/A</v>
      </c>
      <c r="V122" s="80">
        <f>IF('Core Values Input'!$A122&gt;0,MIN(_xlfn.RANK.EQ('Core Values Input'!$U122,'Core Values Input'!$U$2:$U$201,0),NumberOfTeams),NumberOfTeams+1)</f>
        <v>1</v>
      </c>
      <c r="W122" s="99"/>
      <c r="X122" s="99"/>
      <c r="Y122" s="99"/>
    </row>
    <row r="123" ht="30.0" customHeight="1">
      <c r="A123" s="38" t="str">
        <f t="array" ref="A123">XLOOKUP(122,'Team and Program Information'!$B$3:$B$202,'Team and Program Information'!$C$3:$C$202,"ERROR",0)</f>
        <v/>
      </c>
      <c r="B123" s="68" t="str">
        <f t="array" ref="B123">XLOOKUP('Core Values Input'!$A123,'Team and Program Information'!$C$3:$C$202,'Team and Program Information'!$D$3:$D$202,"",0,)</f>
        <v>#VALUE!</v>
      </c>
      <c r="C123" s="97" t="str">
        <f t="array" ref="C123">XLOOKUP('Core Values Input'!$A123,'Innovation Project Input'!$A$2:$A$201,'Innovation Project Input'!$D$2:$D$201)</f>
        <v>#N/A</v>
      </c>
      <c r="D123" s="97" t="str">
        <f t="array" ref="D123">XLOOKUP('Core Values Input'!$A123,'Innovation Project Input'!$A$2:$A$201,'Innovation Project Input'!$F$2:$F$201)</f>
        <v>#N/A</v>
      </c>
      <c r="E123" s="97" t="str">
        <f t="array" ref="E123">XLOOKUP('Core Values Input'!$A123,'Innovation Project Input'!$A$2:$A$201,'Innovation Project Input'!$G$2:$G$201)</f>
        <v>#N/A</v>
      </c>
      <c r="F123" s="97" t="str">
        <f t="array" ref="F123">XLOOKUP('Core Values Input'!$A123,'Innovation Project Input'!$A$2:$A$201,'Innovation Project Input'!$K$2:$K$201)</f>
        <v>#N/A</v>
      </c>
      <c r="G123" s="97" t="str">
        <f t="array" ref="G123">XLOOKUP('Core Values Input'!$A123,'Innovation Project Input'!$A$2:$A$201,'Innovation Project Input'!$L$2:$L$201)</f>
        <v>#N/A</v>
      </c>
      <c r="H123" s="97" t="str">
        <f t="array" ref="H123">XLOOKUP('Core Values Input'!$A123,'Robot Design Input'!$A$2:$A$201,'Robot Design Input'!$D$2:$D$201)</f>
        <v/>
      </c>
      <c r="I123" s="97" t="str">
        <f t="array" ref="I123">XLOOKUP('Core Values Input'!$A123,'Robot Design Input'!$A$2:$A$201,'Robot Design Input'!$E$2:$E$201)</f>
        <v/>
      </c>
      <c r="J123" s="97" t="str">
        <f t="array" ref="J123">XLOOKUP('Core Values Input'!$A123,'Robot Design Input'!$A$2:$A$201,'Robot Design Input'!$J$2:$J$201)</f>
        <v/>
      </c>
      <c r="K123" s="97" t="str">
        <f t="array" ref="K123">XLOOKUP('Core Values Input'!$A123,'Robot Design Input'!$A$2:$A$201,'Robot Design Input'!$K$2:$K$201)</f>
        <v/>
      </c>
      <c r="L123" s="97" t="str">
        <f t="array" ref="L123">XLOOKUP('Core Values Input'!$A123,'Robot Design Input'!$A$2:$A$201,'Robot Design Input'!$L$2:$L$201)</f>
        <v/>
      </c>
      <c r="M123" s="38"/>
      <c r="N123" s="38"/>
      <c r="O123" s="38"/>
      <c r="P123" s="38"/>
      <c r="Q123" s="38"/>
      <c r="R123" s="38"/>
      <c r="S123" s="38"/>
      <c r="T123" s="38"/>
      <c r="U123" s="100" t="str">
        <f>SUM('Core Values Input'!$C123:$L123,'Core Values Input'!$T123)</f>
        <v>#N/A</v>
      </c>
      <c r="V123" s="80">
        <f>IF('Core Values Input'!$A123&gt;0,MIN(_xlfn.RANK.EQ('Core Values Input'!$U123,'Core Values Input'!$U$2:$U$201,0),NumberOfTeams),NumberOfTeams+1)</f>
        <v>1</v>
      </c>
      <c r="W123" s="99"/>
      <c r="X123" s="99"/>
      <c r="Y123" s="99"/>
    </row>
    <row r="124" ht="30.0" customHeight="1">
      <c r="A124" s="38" t="str">
        <f t="array" ref="A124">XLOOKUP(123,'Team and Program Information'!$B$3:$B$202,'Team and Program Information'!$C$3:$C$202,"ERROR",0)</f>
        <v/>
      </c>
      <c r="B124" s="68" t="str">
        <f t="array" ref="B124">XLOOKUP('Core Values Input'!$A124,'Team and Program Information'!$C$3:$C$202,'Team and Program Information'!$D$3:$D$202,"",0,)</f>
        <v>#VALUE!</v>
      </c>
      <c r="C124" s="97" t="str">
        <f t="array" ref="C124">XLOOKUP('Core Values Input'!$A124,'Innovation Project Input'!$A$2:$A$201,'Innovation Project Input'!$D$2:$D$201)</f>
        <v>#N/A</v>
      </c>
      <c r="D124" s="97" t="str">
        <f t="array" ref="D124">XLOOKUP('Core Values Input'!$A124,'Innovation Project Input'!$A$2:$A$201,'Innovation Project Input'!$F$2:$F$201)</f>
        <v>#N/A</v>
      </c>
      <c r="E124" s="97" t="str">
        <f t="array" ref="E124">XLOOKUP('Core Values Input'!$A124,'Innovation Project Input'!$A$2:$A$201,'Innovation Project Input'!$G$2:$G$201)</f>
        <v>#N/A</v>
      </c>
      <c r="F124" s="97" t="str">
        <f t="array" ref="F124">XLOOKUP('Core Values Input'!$A124,'Innovation Project Input'!$A$2:$A$201,'Innovation Project Input'!$K$2:$K$201)</f>
        <v>#N/A</v>
      </c>
      <c r="G124" s="97" t="str">
        <f t="array" ref="G124">XLOOKUP('Core Values Input'!$A124,'Innovation Project Input'!$A$2:$A$201,'Innovation Project Input'!$L$2:$L$201)</f>
        <v>#N/A</v>
      </c>
      <c r="H124" s="97" t="str">
        <f t="array" ref="H124">XLOOKUP('Core Values Input'!$A124,'Robot Design Input'!$A$2:$A$201,'Robot Design Input'!$D$2:$D$201)</f>
        <v/>
      </c>
      <c r="I124" s="97" t="str">
        <f t="array" ref="I124">XLOOKUP('Core Values Input'!$A124,'Robot Design Input'!$A$2:$A$201,'Robot Design Input'!$E$2:$E$201)</f>
        <v/>
      </c>
      <c r="J124" s="97" t="str">
        <f t="array" ref="J124">XLOOKUP('Core Values Input'!$A124,'Robot Design Input'!$A$2:$A$201,'Robot Design Input'!$J$2:$J$201)</f>
        <v/>
      </c>
      <c r="K124" s="97" t="str">
        <f t="array" ref="K124">XLOOKUP('Core Values Input'!$A124,'Robot Design Input'!$A$2:$A$201,'Robot Design Input'!$K$2:$K$201)</f>
        <v/>
      </c>
      <c r="L124" s="97" t="str">
        <f t="array" ref="L124">XLOOKUP('Core Values Input'!$A124,'Robot Design Input'!$A$2:$A$201,'Robot Design Input'!$L$2:$L$201)</f>
        <v/>
      </c>
      <c r="M124" s="38"/>
      <c r="N124" s="38"/>
      <c r="O124" s="38"/>
      <c r="P124" s="38"/>
      <c r="Q124" s="38"/>
      <c r="R124" s="38"/>
      <c r="S124" s="38"/>
      <c r="T124" s="38"/>
      <c r="U124" s="100" t="str">
        <f>SUM('Core Values Input'!$C124:$L124,'Core Values Input'!$T124)</f>
        <v>#N/A</v>
      </c>
      <c r="V124" s="80">
        <f>IF('Core Values Input'!$A124&gt;0,MIN(_xlfn.RANK.EQ('Core Values Input'!$U124,'Core Values Input'!$U$2:$U$201,0),NumberOfTeams),NumberOfTeams+1)</f>
        <v>1</v>
      </c>
      <c r="W124" s="99"/>
      <c r="X124" s="99"/>
      <c r="Y124" s="99"/>
    </row>
    <row r="125" ht="30.0" customHeight="1">
      <c r="A125" s="38" t="str">
        <f t="array" ref="A125">XLOOKUP(124,'Team and Program Information'!$B$3:$B$202,'Team and Program Information'!$C$3:$C$202,"ERROR",0)</f>
        <v/>
      </c>
      <c r="B125" s="68" t="str">
        <f t="array" ref="B125">XLOOKUP('Core Values Input'!$A125,'Team and Program Information'!$C$3:$C$202,'Team and Program Information'!$D$3:$D$202,"",0,)</f>
        <v>#VALUE!</v>
      </c>
      <c r="C125" s="97" t="str">
        <f t="array" ref="C125">XLOOKUP('Core Values Input'!$A125,'Innovation Project Input'!$A$2:$A$201,'Innovation Project Input'!$D$2:$D$201)</f>
        <v>#N/A</v>
      </c>
      <c r="D125" s="97" t="str">
        <f t="array" ref="D125">XLOOKUP('Core Values Input'!$A125,'Innovation Project Input'!$A$2:$A$201,'Innovation Project Input'!$F$2:$F$201)</f>
        <v>#N/A</v>
      </c>
      <c r="E125" s="97" t="str">
        <f t="array" ref="E125">XLOOKUP('Core Values Input'!$A125,'Innovation Project Input'!$A$2:$A$201,'Innovation Project Input'!$G$2:$G$201)</f>
        <v>#N/A</v>
      </c>
      <c r="F125" s="97" t="str">
        <f t="array" ref="F125">XLOOKUP('Core Values Input'!$A125,'Innovation Project Input'!$A$2:$A$201,'Innovation Project Input'!$K$2:$K$201)</f>
        <v>#N/A</v>
      </c>
      <c r="G125" s="97" t="str">
        <f t="array" ref="G125">XLOOKUP('Core Values Input'!$A125,'Innovation Project Input'!$A$2:$A$201,'Innovation Project Input'!$L$2:$L$201)</f>
        <v>#N/A</v>
      </c>
      <c r="H125" s="97" t="str">
        <f t="array" ref="H125">XLOOKUP('Core Values Input'!$A125,'Robot Design Input'!$A$2:$A$201,'Robot Design Input'!$D$2:$D$201)</f>
        <v/>
      </c>
      <c r="I125" s="97" t="str">
        <f t="array" ref="I125">XLOOKUP('Core Values Input'!$A125,'Robot Design Input'!$A$2:$A$201,'Robot Design Input'!$E$2:$E$201)</f>
        <v/>
      </c>
      <c r="J125" s="97" t="str">
        <f t="array" ref="J125">XLOOKUP('Core Values Input'!$A125,'Robot Design Input'!$A$2:$A$201,'Robot Design Input'!$J$2:$J$201)</f>
        <v/>
      </c>
      <c r="K125" s="97" t="str">
        <f t="array" ref="K125">XLOOKUP('Core Values Input'!$A125,'Robot Design Input'!$A$2:$A$201,'Robot Design Input'!$K$2:$K$201)</f>
        <v/>
      </c>
      <c r="L125" s="97" t="str">
        <f t="array" ref="L125">XLOOKUP('Core Values Input'!$A125,'Robot Design Input'!$A$2:$A$201,'Robot Design Input'!$L$2:$L$201)</f>
        <v/>
      </c>
      <c r="M125" s="38"/>
      <c r="N125" s="38"/>
      <c r="O125" s="38"/>
      <c r="P125" s="38"/>
      <c r="Q125" s="38"/>
      <c r="R125" s="38"/>
      <c r="S125" s="38"/>
      <c r="T125" s="38"/>
      <c r="U125" s="100" t="str">
        <f>SUM('Core Values Input'!$C125:$L125,'Core Values Input'!$T125)</f>
        <v>#N/A</v>
      </c>
      <c r="V125" s="80">
        <f>IF('Core Values Input'!$A125&gt;0,MIN(_xlfn.RANK.EQ('Core Values Input'!$U125,'Core Values Input'!$U$2:$U$201,0),NumberOfTeams),NumberOfTeams+1)</f>
        <v>1</v>
      </c>
      <c r="W125" s="99"/>
      <c r="X125" s="99"/>
      <c r="Y125" s="99"/>
    </row>
    <row r="126" ht="30.0" customHeight="1">
      <c r="A126" s="38" t="str">
        <f t="array" ref="A126">XLOOKUP(125,'Team and Program Information'!$B$3:$B$202,'Team and Program Information'!$C$3:$C$202,"ERROR",0)</f>
        <v/>
      </c>
      <c r="B126" s="68" t="str">
        <f t="array" ref="B126">XLOOKUP('Core Values Input'!$A126,'Team and Program Information'!$C$3:$C$202,'Team and Program Information'!$D$3:$D$202,"",0,)</f>
        <v>#VALUE!</v>
      </c>
      <c r="C126" s="97" t="str">
        <f t="array" ref="C126">XLOOKUP('Core Values Input'!$A126,'Innovation Project Input'!$A$2:$A$201,'Innovation Project Input'!$D$2:$D$201)</f>
        <v>#N/A</v>
      </c>
      <c r="D126" s="97" t="str">
        <f t="array" ref="D126">XLOOKUP('Core Values Input'!$A126,'Innovation Project Input'!$A$2:$A$201,'Innovation Project Input'!$F$2:$F$201)</f>
        <v>#N/A</v>
      </c>
      <c r="E126" s="97" t="str">
        <f t="array" ref="E126">XLOOKUP('Core Values Input'!$A126,'Innovation Project Input'!$A$2:$A$201,'Innovation Project Input'!$G$2:$G$201)</f>
        <v>#N/A</v>
      </c>
      <c r="F126" s="97" t="str">
        <f t="array" ref="F126">XLOOKUP('Core Values Input'!$A126,'Innovation Project Input'!$A$2:$A$201,'Innovation Project Input'!$K$2:$K$201)</f>
        <v>#N/A</v>
      </c>
      <c r="G126" s="97" t="str">
        <f t="array" ref="G126">XLOOKUP('Core Values Input'!$A126,'Innovation Project Input'!$A$2:$A$201,'Innovation Project Input'!$L$2:$L$201)</f>
        <v>#N/A</v>
      </c>
      <c r="H126" s="97" t="str">
        <f t="array" ref="H126">XLOOKUP('Core Values Input'!$A126,'Robot Design Input'!$A$2:$A$201,'Robot Design Input'!$D$2:$D$201)</f>
        <v/>
      </c>
      <c r="I126" s="97" t="str">
        <f t="array" ref="I126">XLOOKUP('Core Values Input'!$A126,'Robot Design Input'!$A$2:$A$201,'Robot Design Input'!$E$2:$E$201)</f>
        <v/>
      </c>
      <c r="J126" s="97" t="str">
        <f t="array" ref="J126">XLOOKUP('Core Values Input'!$A126,'Robot Design Input'!$A$2:$A$201,'Robot Design Input'!$J$2:$J$201)</f>
        <v/>
      </c>
      <c r="K126" s="97" t="str">
        <f t="array" ref="K126">XLOOKUP('Core Values Input'!$A126,'Robot Design Input'!$A$2:$A$201,'Robot Design Input'!$K$2:$K$201)</f>
        <v/>
      </c>
      <c r="L126" s="97" t="str">
        <f t="array" ref="L126">XLOOKUP('Core Values Input'!$A126,'Robot Design Input'!$A$2:$A$201,'Robot Design Input'!$L$2:$L$201)</f>
        <v/>
      </c>
      <c r="M126" s="38"/>
      <c r="N126" s="38"/>
      <c r="O126" s="38"/>
      <c r="P126" s="38"/>
      <c r="Q126" s="38"/>
      <c r="R126" s="38"/>
      <c r="S126" s="38"/>
      <c r="T126" s="38"/>
      <c r="U126" s="100" t="str">
        <f>SUM('Core Values Input'!$C126:$L126,'Core Values Input'!$T126)</f>
        <v>#N/A</v>
      </c>
      <c r="V126" s="80">
        <f>IF('Core Values Input'!$A126&gt;0,MIN(_xlfn.RANK.EQ('Core Values Input'!$U126,'Core Values Input'!$U$2:$U$201,0),NumberOfTeams),NumberOfTeams+1)</f>
        <v>1</v>
      </c>
      <c r="W126" s="99"/>
      <c r="X126" s="99"/>
      <c r="Y126" s="99"/>
    </row>
    <row r="127" ht="30.0" customHeight="1">
      <c r="A127" s="38" t="str">
        <f t="array" ref="A127">XLOOKUP(126,'Team and Program Information'!$B$3:$B$202,'Team and Program Information'!$C$3:$C$202,"ERROR",0)</f>
        <v/>
      </c>
      <c r="B127" s="68" t="str">
        <f t="array" ref="B127">XLOOKUP('Core Values Input'!$A127,'Team and Program Information'!$C$3:$C$202,'Team and Program Information'!$D$3:$D$202,"",0,)</f>
        <v>#VALUE!</v>
      </c>
      <c r="C127" s="97" t="str">
        <f t="array" ref="C127">XLOOKUP('Core Values Input'!$A127,'Innovation Project Input'!$A$2:$A$201,'Innovation Project Input'!$D$2:$D$201)</f>
        <v>#N/A</v>
      </c>
      <c r="D127" s="97" t="str">
        <f t="array" ref="D127">XLOOKUP('Core Values Input'!$A127,'Innovation Project Input'!$A$2:$A$201,'Innovation Project Input'!$F$2:$F$201)</f>
        <v>#N/A</v>
      </c>
      <c r="E127" s="97" t="str">
        <f t="array" ref="E127">XLOOKUP('Core Values Input'!$A127,'Innovation Project Input'!$A$2:$A$201,'Innovation Project Input'!$G$2:$G$201)</f>
        <v>#N/A</v>
      </c>
      <c r="F127" s="97" t="str">
        <f t="array" ref="F127">XLOOKUP('Core Values Input'!$A127,'Innovation Project Input'!$A$2:$A$201,'Innovation Project Input'!$K$2:$K$201)</f>
        <v>#N/A</v>
      </c>
      <c r="G127" s="97" t="str">
        <f t="array" ref="G127">XLOOKUP('Core Values Input'!$A127,'Innovation Project Input'!$A$2:$A$201,'Innovation Project Input'!$L$2:$L$201)</f>
        <v>#N/A</v>
      </c>
      <c r="H127" s="97" t="str">
        <f t="array" ref="H127">XLOOKUP('Core Values Input'!$A127,'Robot Design Input'!$A$2:$A$201,'Robot Design Input'!$D$2:$D$201)</f>
        <v/>
      </c>
      <c r="I127" s="97" t="str">
        <f t="array" ref="I127">XLOOKUP('Core Values Input'!$A127,'Robot Design Input'!$A$2:$A$201,'Robot Design Input'!$E$2:$E$201)</f>
        <v/>
      </c>
      <c r="J127" s="97" t="str">
        <f t="array" ref="J127">XLOOKUP('Core Values Input'!$A127,'Robot Design Input'!$A$2:$A$201,'Robot Design Input'!$J$2:$J$201)</f>
        <v/>
      </c>
      <c r="K127" s="97" t="str">
        <f t="array" ref="K127">XLOOKUP('Core Values Input'!$A127,'Robot Design Input'!$A$2:$A$201,'Robot Design Input'!$K$2:$K$201)</f>
        <v/>
      </c>
      <c r="L127" s="97" t="str">
        <f t="array" ref="L127">XLOOKUP('Core Values Input'!$A127,'Robot Design Input'!$A$2:$A$201,'Robot Design Input'!$L$2:$L$201)</f>
        <v/>
      </c>
      <c r="M127" s="38"/>
      <c r="N127" s="38"/>
      <c r="O127" s="38"/>
      <c r="P127" s="38"/>
      <c r="Q127" s="38"/>
      <c r="R127" s="38"/>
      <c r="S127" s="38"/>
      <c r="T127" s="38"/>
      <c r="U127" s="100" t="str">
        <f>SUM('Core Values Input'!$C127:$L127,'Core Values Input'!$T127)</f>
        <v>#N/A</v>
      </c>
      <c r="V127" s="80">
        <f>IF('Core Values Input'!$A127&gt;0,MIN(_xlfn.RANK.EQ('Core Values Input'!$U127,'Core Values Input'!$U$2:$U$201,0),NumberOfTeams),NumberOfTeams+1)</f>
        <v>1</v>
      </c>
      <c r="W127" s="99"/>
      <c r="X127" s="99"/>
      <c r="Y127" s="99"/>
    </row>
    <row r="128" ht="30.0" customHeight="1">
      <c r="A128" s="38" t="str">
        <f t="array" ref="A128">XLOOKUP(127,'Team and Program Information'!$B$3:$B$202,'Team and Program Information'!$C$3:$C$202,"ERROR",0)</f>
        <v/>
      </c>
      <c r="B128" s="68" t="str">
        <f t="array" ref="B128">XLOOKUP('Core Values Input'!$A128,'Team and Program Information'!$C$3:$C$202,'Team and Program Information'!$D$3:$D$202,"",0,)</f>
        <v>#VALUE!</v>
      </c>
      <c r="C128" s="97" t="str">
        <f t="array" ref="C128">XLOOKUP('Core Values Input'!$A128,'Innovation Project Input'!$A$2:$A$201,'Innovation Project Input'!$D$2:$D$201)</f>
        <v>#N/A</v>
      </c>
      <c r="D128" s="97" t="str">
        <f t="array" ref="D128">XLOOKUP('Core Values Input'!$A128,'Innovation Project Input'!$A$2:$A$201,'Innovation Project Input'!$F$2:$F$201)</f>
        <v>#N/A</v>
      </c>
      <c r="E128" s="97" t="str">
        <f t="array" ref="E128">XLOOKUP('Core Values Input'!$A128,'Innovation Project Input'!$A$2:$A$201,'Innovation Project Input'!$G$2:$G$201)</f>
        <v>#N/A</v>
      </c>
      <c r="F128" s="97" t="str">
        <f t="array" ref="F128">XLOOKUP('Core Values Input'!$A128,'Innovation Project Input'!$A$2:$A$201,'Innovation Project Input'!$K$2:$K$201)</f>
        <v>#N/A</v>
      </c>
      <c r="G128" s="97" t="str">
        <f t="array" ref="G128">XLOOKUP('Core Values Input'!$A128,'Innovation Project Input'!$A$2:$A$201,'Innovation Project Input'!$L$2:$L$201)</f>
        <v>#N/A</v>
      </c>
      <c r="H128" s="97" t="str">
        <f t="array" ref="H128">XLOOKUP('Core Values Input'!$A128,'Robot Design Input'!$A$2:$A$201,'Robot Design Input'!$D$2:$D$201)</f>
        <v/>
      </c>
      <c r="I128" s="97" t="str">
        <f t="array" ref="I128">XLOOKUP('Core Values Input'!$A128,'Robot Design Input'!$A$2:$A$201,'Robot Design Input'!$E$2:$E$201)</f>
        <v/>
      </c>
      <c r="J128" s="97" t="str">
        <f t="array" ref="J128">XLOOKUP('Core Values Input'!$A128,'Robot Design Input'!$A$2:$A$201,'Robot Design Input'!$J$2:$J$201)</f>
        <v/>
      </c>
      <c r="K128" s="97" t="str">
        <f t="array" ref="K128">XLOOKUP('Core Values Input'!$A128,'Robot Design Input'!$A$2:$A$201,'Robot Design Input'!$K$2:$K$201)</f>
        <v/>
      </c>
      <c r="L128" s="97" t="str">
        <f t="array" ref="L128">XLOOKUP('Core Values Input'!$A128,'Robot Design Input'!$A$2:$A$201,'Robot Design Input'!$L$2:$L$201)</f>
        <v/>
      </c>
      <c r="M128" s="38"/>
      <c r="N128" s="38"/>
      <c r="O128" s="38"/>
      <c r="P128" s="38"/>
      <c r="Q128" s="38"/>
      <c r="R128" s="38"/>
      <c r="S128" s="38"/>
      <c r="T128" s="38"/>
      <c r="U128" s="100" t="str">
        <f>SUM('Core Values Input'!$C128:$L128,'Core Values Input'!$T128)</f>
        <v>#N/A</v>
      </c>
      <c r="V128" s="80">
        <f>IF('Core Values Input'!$A128&gt;0,MIN(_xlfn.RANK.EQ('Core Values Input'!$U128,'Core Values Input'!$U$2:$U$201,0),NumberOfTeams),NumberOfTeams+1)</f>
        <v>1</v>
      </c>
      <c r="W128" s="99"/>
      <c r="X128" s="99"/>
      <c r="Y128" s="99"/>
    </row>
    <row r="129" ht="30.0" customHeight="1">
      <c r="A129" s="38" t="str">
        <f t="array" ref="A129">XLOOKUP(128,'Team and Program Information'!$B$3:$B$202,'Team and Program Information'!$C$3:$C$202,"ERROR",0)</f>
        <v/>
      </c>
      <c r="B129" s="68" t="str">
        <f t="array" ref="B129">XLOOKUP('Core Values Input'!$A129,'Team and Program Information'!$C$3:$C$202,'Team and Program Information'!$D$3:$D$202,"",0,)</f>
        <v>#VALUE!</v>
      </c>
      <c r="C129" s="97" t="str">
        <f t="array" ref="C129">XLOOKUP('Core Values Input'!$A129,'Innovation Project Input'!$A$2:$A$201,'Innovation Project Input'!$D$2:$D$201)</f>
        <v>#N/A</v>
      </c>
      <c r="D129" s="97" t="str">
        <f t="array" ref="D129">XLOOKUP('Core Values Input'!$A129,'Innovation Project Input'!$A$2:$A$201,'Innovation Project Input'!$F$2:$F$201)</f>
        <v>#N/A</v>
      </c>
      <c r="E129" s="97" t="str">
        <f t="array" ref="E129">XLOOKUP('Core Values Input'!$A129,'Innovation Project Input'!$A$2:$A$201,'Innovation Project Input'!$G$2:$G$201)</f>
        <v>#N/A</v>
      </c>
      <c r="F129" s="97" t="str">
        <f t="array" ref="F129">XLOOKUP('Core Values Input'!$A129,'Innovation Project Input'!$A$2:$A$201,'Innovation Project Input'!$K$2:$K$201)</f>
        <v>#N/A</v>
      </c>
      <c r="G129" s="97" t="str">
        <f t="array" ref="G129">XLOOKUP('Core Values Input'!$A129,'Innovation Project Input'!$A$2:$A$201,'Innovation Project Input'!$L$2:$L$201)</f>
        <v>#N/A</v>
      </c>
      <c r="H129" s="97" t="str">
        <f t="array" ref="H129">XLOOKUP('Core Values Input'!$A129,'Robot Design Input'!$A$2:$A$201,'Robot Design Input'!$D$2:$D$201)</f>
        <v/>
      </c>
      <c r="I129" s="97" t="str">
        <f t="array" ref="I129">XLOOKUP('Core Values Input'!$A129,'Robot Design Input'!$A$2:$A$201,'Robot Design Input'!$E$2:$E$201)</f>
        <v/>
      </c>
      <c r="J129" s="97" t="str">
        <f t="array" ref="J129">XLOOKUP('Core Values Input'!$A129,'Robot Design Input'!$A$2:$A$201,'Robot Design Input'!$J$2:$J$201)</f>
        <v/>
      </c>
      <c r="K129" s="97" t="str">
        <f t="array" ref="K129">XLOOKUP('Core Values Input'!$A129,'Robot Design Input'!$A$2:$A$201,'Robot Design Input'!$K$2:$K$201)</f>
        <v/>
      </c>
      <c r="L129" s="97" t="str">
        <f t="array" ref="L129">XLOOKUP('Core Values Input'!$A129,'Robot Design Input'!$A$2:$A$201,'Robot Design Input'!$L$2:$L$201)</f>
        <v/>
      </c>
      <c r="M129" s="38"/>
      <c r="N129" s="38"/>
      <c r="O129" s="38"/>
      <c r="P129" s="38"/>
      <c r="Q129" s="38"/>
      <c r="R129" s="38"/>
      <c r="S129" s="38"/>
      <c r="T129" s="38"/>
      <c r="U129" s="100" t="str">
        <f>SUM('Core Values Input'!$C129:$L129,'Core Values Input'!$T129)</f>
        <v>#N/A</v>
      </c>
      <c r="V129" s="80">
        <f>IF('Core Values Input'!$A129&gt;0,MIN(_xlfn.RANK.EQ('Core Values Input'!$U129,'Core Values Input'!$U$2:$U$201,0),NumberOfTeams),NumberOfTeams+1)</f>
        <v>1</v>
      </c>
      <c r="W129" s="99"/>
      <c r="X129" s="99"/>
      <c r="Y129" s="99"/>
    </row>
    <row r="130" ht="30.0" customHeight="1">
      <c r="A130" s="38" t="str">
        <f t="array" ref="A130">XLOOKUP(129,'Team and Program Information'!$B$3:$B$202,'Team and Program Information'!$C$3:$C$202,"ERROR",0)</f>
        <v/>
      </c>
      <c r="B130" s="68" t="str">
        <f t="array" ref="B130">XLOOKUP('Core Values Input'!$A130,'Team and Program Information'!$C$3:$C$202,'Team and Program Information'!$D$3:$D$202,"",0,)</f>
        <v>#VALUE!</v>
      </c>
      <c r="C130" s="97" t="str">
        <f t="array" ref="C130">XLOOKUP('Core Values Input'!$A130,'Innovation Project Input'!$A$2:$A$201,'Innovation Project Input'!$D$2:$D$201)</f>
        <v>#N/A</v>
      </c>
      <c r="D130" s="97" t="str">
        <f t="array" ref="D130">XLOOKUP('Core Values Input'!$A130,'Innovation Project Input'!$A$2:$A$201,'Innovation Project Input'!$F$2:$F$201)</f>
        <v>#N/A</v>
      </c>
      <c r="E130" s="97" t="str">
        <f t="array" ref="E130">XLOOKUP('Core Values Input'!$A130,'Innovation Project Input'!$A$2:$A$201,'Innovation Project Input'!$G$2:$G$201)</f>
        <v>#N/A</v>
      </c>
      <c r="F130" s="97" t="str">
        <f t="array" ref="F130">XLOOKUP('Core Values Input'!$A130,'Innovation Project Input'!$A$2:$A$201,'Innovation Project Input'!$K$2:$K$201)</f>
        <v>#N/A</v>
      </c>
      <c r="G130" s="97" t="str">
        <f t="array" ref="G130">XLOOKUP('Core Values Input'!$A130,'Innovation Project Input'!$A$2:$A$201,'Innovation Project Input'!$L$2:$L$201)</f>
        <v>#N/A</v>
      </c>
      <c r="H130" s="97" t="str">
        <f t="array" ref="H130">XLOOKUP('Core Values Input'!$A130,'Robot Design Input'!$A$2:$A$201,'Robot Design Input'!$D$2:$D$201)</f>
        <v/>
      </c>
      <c r="I130" s="97" t="str">
        <f t="array" ref="I130">XLOOKUP('Core Values Input'!$A130,'Robot Design Input'!$A$2:$A$201,'Robot Design Input'!$E$2:$E$201)</f>
        <v/>
      </c>
      <c r="J130" s="97" t="str">
        <f t="array" ref="J130">XLOOKUP('Core Values Input'!$A130,'Robot Design Input'!$A$2:$A$201,'Robot Design Input'!$J$2:$J$201)</f>
        <v/>
      </c>
      <c r="K130" s="97" t="str">
        <f t="array" ref="K130">XLOOKUP('Core Values Input'!$A130,'Robot Design Input'!$A$2:$A$201,'Robot Design Input'!$K$2:$K$201)</f>
        <v/>
      </c>
      <c r="L130" s="97" t="str">
        <f t="array" ref="L130">XLOOKUP('Core Values Input'!$A130,'Robot Design Input'!$A$2:$A$201,'Robot Design Input'!$L$2:$L$201)</f>
        <v/>
      </c>
      <c r="M130" s="38"/>
      <c r="N130" s="38"/>
      <c r="O130" s="38"/>
      <c r="P130" s="38"/>
      <c r="Q130" s="38"/>
      <c r="R130" s="38"/>
      <c r="S130" s="38"/>
      <c r="T130" s="38"/>
      <c r="U130" s="100" t="str">
        <f>SUM('Core Values Input'!$C130:$L130,'Core Values Input'!$T130)</f>
        <v>#N/A</v>
      </c>
      <c r="V130" s="80">
        <f>IF('Core Values Input'!$A130&gt;0,MIN(_xlfn.RANK.EQ('Core Values Input'!$U130,'Core Values Input'!$U$2:$U$201,0),NumberOfTeams),NumberOfTeams+1)</f>
        <v>1</v>
      </c>
      <c r="W130" s="99"/>
      <c r="X130" s="99"/>
      <c r="Y130" s="99"/>
    </row>
    <row r="131" ht="30.0" customHeight="1">
      <c r="A131" s="38" t="str">
        <f t="array" ref="A131">XLOOKUP(130,'Team and Program Information'!$B$3:$B$202,'Team and Program Information'!$C$3:$C$202,"ERROR",0)</f>
        <v/>
      </c>
      <c r="B131" s="68" t="str">
        <f t="array" ref="B131">XLOOKUP('Core Values Input'!$A131,'Team and Program Information'!$C$3:$C$202,'Team and Program Information'!$D$3:$D$202,"",0,)</f>
        <v>#VALUE!</v>
      </c>
      <c r="C131" s="97" t="str">
        <f t="array" ref="C131">XLOOKUP('Core Values Input'!$A131,'Innovation Project Input'!$A$2:$A$201,'Innovation Project Input'!$D$2:$D$201)</f>
        <v>#N/A</v>
      </c>
      <c r="D131" s="97" t="str">
        <f t="array" ref="D131">XLOOKUP('Core Values Input'!$A131,'Innovation Project Input'!$A$2:$A$201,'Innovation Project Input'!$F$2:$F$201)</f>
        <v>#N/A</v>
      </c>
      <c r="E131" s="97" t="str">
        <f t="array" ref="E131">XLOOKUP('Core Values Input'!$A131,'Innovation Project Input'!$A$2:$A$201,'Innovation Project Input'!$G$2:$G$201)</f>
        <v>#N/A</v>
      </c>
      <c r="F131" s="97" t="str">
        <f t="array" ref="F131">XLOOKUP('Core Values Input'!$A131,'Innovation Project Input'!$A$2:$A$201,'Innovation Project Input'!$K$2:$K$201)</f>
        <v>#N/A</v>
      </c>
      <c r="G131" s="97" t="str">
        <f t="array" ref="G131">XLOOKUP('Core Values Input'!$A131,'Innovation Project Input'!$A$2:$A$201,'Innovation Project Input'!$L$2:$L$201)</f>
        <v>#N/A</v>
      </c>
      <c r="H131" s="97" t="str">
        <f t="array" ref="H131">XLOOKUP('Core Values Input'!$A131,'Robot Design Input'!$A$2:$A$201,'Robot Design Input'!$D$2:$D$201)</f>
        <v/>
      </c>
      <c r="I131" s="97" t="str">
        <f t="array" ref="I131">XLOOKUP('Core Values Input'!$A131,'Robot Design Input'!$A$2:$A$201,'Robot Design Input'!$E$2:$E$201)</f>
        <v/>
      </c>
      <c r="J131" s="97" t="str">
        <f t="array" ref="J131">XLOOKUP('Core Values Input'!$A131,'Robot Design Input'!$A$2:$A$201,'Robot Design Input'!$J$2:$J$201)</f>
        <v/>
      </c>
      <c r="K131" s="97" t="str">
        <f t="array" ref="K131">XLOOKUP('Core Values Input'!$A131,'Robot Design Input'!$A$2:$A$201,'Robot Design Input'!$K$2:$K$201)</f>
        <v/>
      </c>
      <c r="L131" s="97" t="str">
        <f t="array" ref="L131">XLOOKUP('Core Values Input'!$A131,'Robot Design Input'!$A$2:$A$201,'Robot Design Input'!$L$2:$L$201)</f>
        <v/>
      </c>
      <c r="M131" s="38"/>
      <c r="N131" s="38"/>
      <c r="O131" s="38"/>
      <c r="P131" s="38"/>
      <c r="Q131" s="38"/>
      <c r="R131" s="38"/>
      <c r="S131" s="38"/>
      <c r="T131" s="38"/>
      <c r="U131" s="100" t="str">
        <f>SUM('Core Values Input'!$C131:$L131,'Core Values Input'!$T131)</f>
        <v>#N/A</v>
      </c>
      <c r="V131" s="80">
        <f>IF('Core Values Input'!$A131&gt;0,MIN(_xlfn.RANK.EQ('Core Values Input'!$U131,'Core Values Input'!$U$2:$U$201,0),NumberOfTeams),NumberOfTeams+1)</f>
        <v>1</v>
      </c>
      <c r="W131" s="99"/>
      <c r="X131" s="99"/>
      <c r="Y131" s="99"/>
    </row>
    <row r="132" ht="30.0" customHeight="1">
      <c r="A132" s="38" t="str">
        <f t="array" ref="A132">XLOOKUP(131,'Team and Program Information'!$B$3:$B$202,'Team and Program Information'!$C$3:$C$202,"ERROR",0)</f>
        <v/>
      </c>
      <c r="B132" s="68" t="str">
        <f t="array" ref="B132">XLOOKUP('Core Values Input'!$A132,'Team and Program Information'!$C$3:$C$202,'Team and Program Information'!$D$3:$D$202,"",0,)</f>
        <v>#VALUE!</v>
      </c>
      <c r="C132" s="97" t="str">
        <f t="array" ref="C132">XLOOKUP('Core Values Input'!$A132,'Innovation Project Input'!$A$2:$A$201,'Innovation Project Input'!$D$2:$D$201)</f>
        <v>#N/A</v>
      </c>
      <c r="D132" s="97" t="str">
        <f t="array" ref="D132">XLOOKUP('Core Values Input'!$A132,'Innovation Project Input'!$A$2:$A$201,'Innovation Project Input'!$F$2:$F$201)</f>
        <v>#N/A</v>
      </c>
      <c r="E132" s="97" t="str">
        <f t="array" ref="E132">XLOOKUP('Core Values Input'!$A132,'Innovation Project Input'!$A$2:$A$201,'Innovation Project Input'!$G$2:$G$201)</f>
        <v>#N/A</v>
      </c>
      <c r="F132" s="97" t="str">
        <f t="array" ref="F132">XLOOKUP('Core Values Input'!$A132,'Innovation Project Input'!$A$2:$A$201,'Innovation Project Input'!$K$2:$K$201)</f>
        <v>#N/A</v>
      </c>
      <c r="G132" s="97" t="str">
        <f t="array" ref="G132">XLOOKUP('Core Values Input'!$A132,'Innovation Project Input'!$A$2:$A$201,'Innovation Project Input'!$L$2:$L$201)</f>
        <v>#N/A</v>
      </c>
      <c r="H132" s="97" t="str">
        <f t="array" ref="H132">XLOOKUP('Core Values Input'!$A132,'Robot Design Input'!$A$2:$A$201,'Robot Design Input'!$D$2:$D$201)</f>
        <v/>
      </c>
      <c r="I132" s="97" t="str">
        <f t="array" ref="I132">XLOOKUP('Core Values Input'!$A132,'Robot Design Input'!$A$2:$A$201,'Robot Design Input'!$E$2:$E$201)</f>
        <v/>
      </c>
      <c r="J132" s="97" t="str">
        <f t="array" ref="J132">XLOOKUP('Core Values Input'!$A132,'Robot Design Input'!$A$2:$A$201,'Robot Design Input'!$J$2:$J$201)</f>
        <v/>
      </c>
      <c r="K132" s="97" t="str">
        <f t="array" ref="K132">XLOOKUP('Core Values Input'!$A132,'Robot Design Input'!$A$2:$A$201,'Robot Design Input'!$K$2:$K$201)</f>
        <v/>
      </c>
      <c r="L132" s="97" t="str">
        <f t="array" ref="L132">XLOOKUP('Core Values Input'!$A132,'Robot Design Input'!$A$2:$A$201,'Robot Design Input'!$L$2:$L$201)</f>
        <v/>
      </c>
      <c r="M132" s="38"/>
      <c r="N132" s="38"/>
      <c r="O132" s="38"/>
      <c r="P132" s="38"/>
      <c r="Q132" s="38"/>
      <c r="R132" s="38"/>
      <c r="S132" s="38"/>
      <c r="T132" s="38"/>
      <c r="U132" s="100" t="str">
        <f>SUM('Core Values Input'!$C132:$L132,'Core Values Input'!$T132)</f>
        <v>#N/A</v>
      </c>
      <c r="V132" s="80">
        <f>IF('Core Values Input'!$A132&gt;0,MIN(_xlfn.RANK.EQ('Core Values Input'!$U132,'Core Values Input'!$U$2:$U$201,0),NumberOfTeams),NumberOfTeams+1)</f>
        <v>1</v>
      </c>
      <c r="W132" s="99"/>
      <c r="X132" s="99"/>
      <c r="Y132" s="99"/>
    </row>
    <row r="133" ht="30.0" customHeight="1">
      <c r="A133" s="38" t="str">
        <f t="array" ref="A133">XLOOKUP(132,'Team and Program Information'!$B$3:$B$202,'Team and Program Information'!$C$3:$C$202,"ERROR",0)</f>
        <v/>
      </c>
      <c r="B133" s="68" t="str">
        <f t="array" ref="B133">XLOOKUP('Core Values Input'!$A133,'Team and Program Information'!$C$3:$C$202,'Team and Program Information'!$D$3:$D$202,"",0,)</f>
        <v>#VALUE!</v>
      </c>
      <c r="C133" s="97" t="str">
        <f t="array" ref="C133">XLOOKUP('Core Values Input'!$A133,'Innovation Project Input'!$A$2:$A$201,'Innovation Project Input'!$D$2:$D$201)</f>
        <v>#N/A</v>
      </c>
      <c r="D133" s="97" t="str">
        <f t="array" ref="D133">XLOOKUP('Core Values Input'!$A133,'Innovation Project Input'!$A$2:$A$201,'Innovation Project Input'!$F$2:$F$201)</f>
        <v>#N/A</v>
      </c>
      <c r="E133" s="97" t="str">
        <f t="array" ref="E133">XLOOKUP('Core Values Input'!$A133,'Innovation Project Input'!$A$2:$A$201,'Innovation Project Input'!$G$2:$G$201)</f>
        <v>#N/A</v>
      </c>
      <c r="F133" s="97" t="str">
        <f t="array" ref="F133">XLOOKUP('Core Values Input'!$A133,'Innovation Project Input'!$A$2:$A$201,'Innovation Project Input'!$K$2:$K$201)</f>
        <v>#N/A</v>
      </c>
      <c r="G133" s="97" t="str">
        <f t="array" ref="G133">XLOOKUP('Core Values Input'!$A133,'Innovation Project Input'!$A$2:$A$201,'Innovation Project Input'!$L$2:$L$201)</f>
        <v>#N/A</v>
      </c>
      <c r="H133" s="97" t="str">
        <f t="array" ref="H133">XLOOKUP('Core Values Input'!$A133,'Robot Design Input'!$A$2:$A$201,'Robot Design Input'!$D$2:$D$201)</f>
        <v/>
      </c>
      <c r="I133" s="97" t="str">
        <f t="array" ref="I133">XLOOKUP('Core Values Input'!$A133,'Robot Design Input'!$A$2:$A$201,'Robot Design Input'!$E$2:$E$201)</f>
        <v/>
      </c>
      <c r="J133" s="97" t="str">
        <f t="array" ref="J133">XLOOKUP('Core Values Input'!$A133,'Robot Design Input'!$A$2:$A$201,'Robot Design Input'!$J$2:$J$201)</f>
        <v/>
      </c>
      <c r="K133" s="97" t="str">
        <f t="array" ref="K133">XLOOKUP('Core Values Input'!$A133,'Robot Design Input'!$A$2:$A$201,'Robot Design Input'!$K$2:$K$201)</f>
        <v/>
      </c>
      <c r="L133" s="97" t="str">
        <f t="array" ref="L133">XLOOKUP('Core Values Input'!$A133,'Robot Design Input'!$A$2:$A$201,'Robot Design Input'!$L$2:$L$201)</f>
        <v/>
      </c>
      <c r="M133" s="38"/>
      <c r="N133" s="38"/>
      <c r="O133" s="38"/>
      <c r="P133" s="38"/>
      <c r="Q133" s="38"/>
      <c r="R133" s="38"/>
      <c r="S133" s="38"/>
      <c r="T133" s="38"/>
      <c r="U133" s="100" t="str">
        <f>SUM('Core Values Input'!$C133:$L133,'Core Values Input'!$T133)</f>
        <v>#N/A</v>
      </c>
      <c r="V133" s="80">
        <f>IF('Core Values Input'!$A133&gt;0,MIN(_xlfn.RANK.EQ('Core Values Input'!$U133,'Core Values Input'!$U$2:$U$201,0),NumberOfTeams),NumberOfTeams+1)</f>
        <v>1</v>
      </c>
      <c r="W133" s="99"/>
      <c r="X133" s="99"/>
      <c r="Y133" s="99"/>
    </row>
    <row r="134" ht="30.0" customHeight="1">
      <c r="A134" s="38" t="str">
        <f t="array" ref="A134">XLOOKUP(133,'Team and Program Information'!$B$3:$B$202,'Team and Program Information'!$C$3:$C$202,"ERROR",0)</f>
        <v/>
      </c>
      <c r="B134" s="68" t="str">
        <f t="array" ref="B134">XLOOKUP('Core Values Input'!$A134,'Team and Program Information'!$C$3:$C$202,'Team and Program Information'!$D$3:$D$202,"",0,)</f>
        <v>#VALUE!</v>
      </c>
      <c r="C134" s="97" t="str">
        <f t="array" ref="C134">XLOOKUP('Core Values Input'!$A134,'Innovation Project Input'!$A$2:$A$201,'Innovation Project Input'!$D$2:$D$201)</f>
        <v>#N/A</v>
      </c>
      <c r="D134" s="97" t="str">
        <f t="array" ref="D134">XLOOKUP('Core Values Input'!$A134,'Innovation Project Input'!$A$2:$A$201,'Innovation Project Input'!$F$2:$F$201)</f>
        <v>#N/A</v>
      </c>
      <c r="E134" s="97" t="str">
        <f t="array" ref="E134">XLOOKUP('Core Values Input'!$A134,'Innovation Project Input'!$A$2:$A$201,'Innovation Project Input'!$G$2:$G$201)</f>
        <v>#N/A</v>
      </c>
      <c r="F134" s="97" t="str">
        <f t="array" ref="F134">XLOOKUP('Core Values Input'!$A134,'Innovation Project Input'!$A$2:$A$201,'Innovation Project Input'!$K$2:$K$201)</f>
        <v>#N/A</v>
      </c>
      <c r="G134" s="97" t="str">
        <f t="array" ref="G134">XLOOKUP('Core Values Input'!$A134,'Innovation Project Input'!$A$2:$A$201,'Innovation Project Input'!$L$2:$L$201)</f>
        <v>#N/A</v>
      </c>
      <c r="H134" s="97" t="str">
        <f t="array" ref="H134">XLOOKUP('Core Values Input'!$A134,'Robot Design Input'!$A$2:$A$201,'Robot Design Input'!$D$2:$D$201)</f>
        <v/>
      </c>
      <c r="I134" s="97" t="str">
        <f t="array" ref="I134">XLOOKUP('Core Values Input'!$A134,'Robot Design Input'!$A$2:$A$201,'Robot Design Input'!$E$2:$E$201)</f>
        <v/>
      </c>
      <c r="J134" s="97" t="str">
        <f t="array" ref="J134">XLOOKUP('Core Values Input'!$A134,'Robot Design Input'!$A$2:$A$201,'Robot Design Input'!$J$2:$J$201)</f>
        <v/>
      </c>
      <c r="K134" s="97" t="str">
        <f t="array" ref="K134">XLOOKUP('Core Values Input'!$A134,'Robot Design Input'!$A$2:$A$201,'Robot Design Input'!$K$2:$K$201)</f>
        <v/>
      </c>
      <c r="L134" s="97" t="str">
        <f t="array" ref="L134">XLOOKUP('Core Values Input'!$A134,'Robot Design Input'!$A$2:$A$201,'Robot Design Input'!$L$2:$L$201)</f>
        <v/>
      </c>
      <c r="M134" s="38"/>
      <c r="N134" s="38"/>
      <c r="O134" s="38"/>
      <c r="P134" s="38"/>
      <c r="Q134" s="38"/>
      <c r="R134" s="38"/>
      <c r="S134" s="38"/>
      <c r="T134" s="38"/>
      <c r="U134" s="100" t="str">
        <f>SUM('Core Values Input'!$C134:$L134,'Core Values Input'!$T134)</f>
        <v>#N/A</v>
      </c>
      <c r="V134" s="80">
        <f>IF('Core Values Input'!$A134&gt;0,MIN(_xlfn.RANK.EQ('Core Values Input'!$U134,'Core Values Input'!$U$2:$U$201,0),NumberOfTeams),NumberOfTeams+1)</f>
        <v>1</v>
      </c>
      <c r="W134" s="99"/>
      <c r="X134" s="99"/>
      <c r="Y134" s="99"/>
    </row>
    <row r="135" ht="30.0" customHeight="1">
      <c r="A135" s="38" t="str">
        <f t="array" ref="A135">XLOOKUP(134,'Team and Program Information'!$B$3:$B$202,'Team and Program Information'!$C$3:$C$202,"ERROR",0)</f>
        <v/>
      </c>
      <c r="B135" s="68" t="str">
        <f t="array" ref="B135">XLOOKUP('Core Values Input'!$A135,'Team and Program Information'!$C$3:$C$202,'Team and Program Information'!$D$3:$D$202,"",0,)</f>
        <v>#VALUE!</v>
      </c>
      <c r="C135" s="97" t="str">
        <f t="array" ref="C135">XLOOKUP('Core Values Input'!$A135,'Innovation Project Input'!$A$2:$A$201,'Innovation Project Input'!$D$2:$D$201)</f>
        <v>#N/A</v>
      </c>
      <c r="D135" s="97" t="str">
        <f t="array" ref="D135">XLOOKUP('Core Values Input'!$A135,'Innovation Project Input'!$A$2:$A$201,'Innovation Project Input'!$F$2:$F$201)</f>
        <v>#N/A</v>
      </c>
      <c r="E135" s="97" t="str">
        <f t="array" ref="E135">XLOOKUP('Core Values Input'!$A135,'Innovation Project Input'!$A$2:$A$201,'Innovation Project Input'!$G$2:$G$201)</f>
        <v>#N/A</v>
      </c>
      <c r="F135" s="97" t="str">
        <f t="array" ref="F135">XLOOKUP('Core Values Input'!$A135,'Innovation Project Input'!$A$2:$A$201,'Innovation Project Input'!$K$2:$K$201)</f>
        <v>#N/A</v>
      </c>
      <c r="G135" s="97" t="str">
        <f t="array" ref="G135">XLOOKUP('Core Values Input'!$A135,'Innovation Project Input'!$A$2:$A$201,'Innovation Project Input'!$L$2:$L$201)</f>
        <v>#N/A</v>
      </c>
      <c r="H135" s="97" t="str">
        <f t="array" ref="H135">XLOOKUP('Core Values Input'!$A135,'Robot Design Input'!$A$2:$A$201,'Robot Design Input'!$D$2:$D$201)</f>
        <v/>
      </c>
      <c r="I135" s="97" t="str">
        <f t="array" ref="I135">XLOOKUP('Core Values Input'!$A135,'Robot Design Input'!$A$2:$A$201,'Robot Design Input'!$E$2:$E$201)</f>
        <v/>
      </c>
      <c r="J135" s="97" t="str">
        <f t="array" ref="J135">XLOOKUP('Core Values Input'!$A135,'Robot Design Input'!$A$2:$A$201,'Robot Design Input'!$J$2:$J$201)</f>
        <v/>
      </c>
      <c r="K135" s="97" t="str">
        <f t="array" ref="K135">XLOOKUP('Core Values Input'!$A135,'Robot Design Input'!$A$2:$A$201,'Robot Design Input'!$K$2:$K$201)</f>
        <v/>
      </c>
      <c r="L135" s="97" t="str">
        <f t="array" ref="L135">XLOOKUP('Core Values Input'!$A135,'Robot Design Input'!$A$2:$A$201,'Robot Design Input'!$L$2:$L$201)</f>
        <v/>
      </c>
      <c r="M135" s="38"/>
      <c r="N135" s="38"/>
      <c r="O135" s="38"/>
      <c r="P135" s="38"/>
      <c r="Q135" s="38"/>
      <c r="R135" s="38"/>
      <c r="S135" s="38"/>
      <c r="T135" s="38"/>
      <c r="U135" s="100" t="str">
        <f>SUM('Core Values Input'!$C135:$L135,'Core Values Input'!$T135)</f>
        <v>#N/A</v>
      </c>
      <c r="V135" s="80">
        <f>IF('Core Values Input'!$A135&gt;0,MIN(_xlfn.RANK.EQ('Core Values Input'!$U135,'Core Values Input'!$U$2:$U$201,0),NumberOfTeams),NumberOfTeams+1)</f>
        <v>1</v>
      </c>
      <c r="W135" s="99"/>
      <c r="X135" s="99"/>
      <c r="Y135" s="99"/>
    </row>
    <row r="136" ht="30.0" customHeight="1">
      <c r="A136" s="38" t="str">
        <f t="array" ref="A136">XLOOKUP(135,'Team and Program Information'!$B$3:$B$202,'Team and Program Information'!$C$3:$C$202,"ERROR",0)</f>
        <v/>
      </c>
      <c r="B136" s="68" t="str">
        <f t="array" ref="B136">XLOOKUP('Core Values Input'!$A136,'Team and Program Information'!$C$3:$C$202,'Team and Program Information'!$D$3:$D$202,"",0,)</f>
        <v>#VALUE!</v>
      </c>
      <c r="C136" s="97" t="str">
        <f t="array" ref="C136">XLOOKUP('Core Values Input'!$A136,'Innovation Project Input'!$A$2:$A$201,'Innovation Project Input'!$D$2:$D$201)</f>
        <v>#N/A</v>
      </c>
      <c r="D136" s="97" t="str">
        <f t="array" ref="D136">XLOOKUP('Core Values Input'!$A136,'Innovation Project Input'!$A$2:$A$201,'Innovation Project Input'!$F$2:$F$201)</f>
        <v>#N/A</v>
      </c>
      <c r="E136" s="97" t="str">
        <f t="array" ref="E136">XLOOKUP('Core Values Input'!$A136,'Innovation Project Input'!$A$2:$A$201,'Innovation Project Input'!$G$2:$G$201)</f>
        <v>#N/A</v>
      </c>
      <c r="F136" s="97" t="str">
        <f t="array" ref="F136">XLOOKUP('Core Values Input'!$A136,'Innovation Project Input'!$A$2:$A$201,'Innovation Project Input'!$K$2:$K$201)</f>
        <v>#N/A</v>
      </c>
      <c r="G136" s="97" t="str">
        <f t="array" ref="G136">XLOOKUP('Core Values Input'!$A136,'Innovation Project Input'!$A$2:$A$201,'Innovation Project Input'!$L$2:$L$201)</f>
        <v>#N/A</v>
      </c>
      <c r="H136" s="97" t="str">
        <f t="array" ref="H136">XLOOKUP('Core Values Input'!$A136,'Robot Design Input'!$A$2:$A$201,'Robot Design Input'!$D$2:$D$201)</f>
        <v/>
      </c>
      <c r="I136" s="97" t="str">
        <f t="array" ref="I136">XLOOKUP('Core Values Input'!$A136,'Robot Design Input'!$A$2:$A$201,'Robot Design Input'!$E$2:$E$201)</f>
        <v/>
      </c>
      <c r="J136" s="97" t="str">
        <f t="array" ref="J136">XLOOKUP('Core Values Input'!$A136,'Robot Design Input'!$A$2:$A$201,'Robot Design Input'!$J$2:$J$201)</f>
        <v/>
      </c>
      <c r="K136" s="97" t="str">
        <f t="array" ref="K136">XLOOKUP('Core Values Input'!$A136,'Robot Design Input'!$A$2:$A$201,'Robot Design Input'!$K$2:$K$201)</f>
        <v/>
      </c>
      <c r="L136" s="97" t="str">
        <f t="array" ref="L136">XLOOKUP('Core Values Input'!$A136,'Robot Design Input'!$A$2:$A$201,'Robot Design Input'!$L$2:$L$201)</f>
        <v/>
      </c>
      <c r="M136" s="38"/>
      <c r="N136" s="38"/>
      <c r="O136" s="38"/>
      <c r="P136" s="38"/>
      <c r="Q136" s="38"/>
      <c r="R136" s="38"/>
      <c r="S136" s="38"/>
      <c r="T136" s="38"/>
      <c r="U136" s="100" t="str">
        <f>SUM('Core Values Input'!$C136:$L136,'Core Values Input'!$T136)</f>
        <v>#N/A</v>
      </c>
      <c r="V136" s="80">
        <f>IF('Core Values Input'!$A136&gt;0,MIN(_xlfn.RANK.EQ('Core Values Input'!$U136,'Core Values Input'!$U$2:$U$201,0),NumberOfTeams),NumberOfTeams+1)</f>
        <v>1</v>
      </c>
      <c r="W136" s="99"/>
      <c r="X136" s="99"/>
      <c r="Y136" s="99"/>
    </row>
    <row r="137" ht="30.0" customHeight="1">
      <c r="A137" s="38" t="str">
        <f t="array" ref="A137">XLOOKUP(136,'Team and Program Information'!$B$3:$B$202,'Team and Program Information'!$C$3:$C$202,"ERROR",0)</f>
        <v/>
      </c>
      <c r="B137" s="68" t="str">
        <f t="array" ref="B137">XLOOKUP('Core Values Input'!$A137,'Team and Program Information'!$C$3:$C$202,'Team and Program Information'!$D$3:$D$202,"",0,)</f>
        <v>#VALUE!</v>
      </c>
      <c r="C137" s="97" t="str">
        <f t="array" ref="C137">XLOOKUP('Core Values Input'!$A137,'Innovation Project Input'!$A$2:$A$201,'Innovation Project Input'!$D$2:$D$201)</f>
        <v>#N/A</v>
      </c>
      <c r="D137" s="97" t="str">
        <f t="array" ref="D137">XLOOKUP('Core Values Input'!$A137,'Innovation Project Input'!$A$2:$A$201,'Innovation Project Input'!$F$2:$F$201)</f>
        <v>#N/A</v>
      </c>
      <c r="E137" s="97" t="str">
        <f t="array" ref="E137">XLOOKUP('Core Values Input'!$A137,'Innovation Project Input'!$A$2:$A$201,'Innovation Project Input'!$G$2:$G$201)</f>
        <v>#N/A</v>
      </c>
      <c r="F137" s="97" t="str">
        <f t="array" ref="F137">XLOOKUP('Core Values Input'!$A137,'Innovation Project Input'!$A$2:$A$201,'Innovation Project Input'!$K$2:$K$201)</f>
        <v>#N/A</v>
      </c>
      <c r="G137" s="97" t="str">
        <f t="array" ref="G137">XLOOKUP('Core Values Input'!$A137,'Innovation Project Input'!$A$2:$A$201,'Innovation Project Input'!$L$2:$L$201)</f>
        <v>#N/A</v>
      </c>
      <c r="H137" s="97" t="str">
        <f t="array" ref="H137">XLOOKUP('Core Values Input'!$A137,'Robot Design Input'!$A$2:$A$201,'Robot Design Input'!$D$2:$D$201)</f>
        <v/>
      </c>
      <c r="I137" s="97" t="str">
        <f t="array" ref="I137">XLOOKUP('Core Values Input'!$A137,'Robot Design Input'!$A$2:$A$201,'Robot Design Input'!$E$2:$E$201)</f>
        <v/>
      </c>
      <c r="J137" s="97" t="str">
        <f t="array" ref="J137">XLOOKUP('Core Values Input'!$A137,'Robot Design Input'!$A$2:$A$201,'Robot Design Input'!$J$2:$J$201)</f>
        <v/>
      </c>
      <c r="K137" s="97" t="str">
        <f t="array" ref="K137">XLOOKUP('Core Values Input'!$A137,'Robot Design Input'!$A$2:$A$201,'Robot Design Input'!$K$2:$K$201)</f>
        <v/>
      </c>
      <c r="L137" s="97" t="str">
        <f t="array" ref="L137">XLOOKUP('Core Values Input'!$A137,'Robot Design Input'!$A$2:$A$201,'Robot Design Input'!$L$2:$L$201)</f>
        <v/>
      </c>
      <c r="M137" s="38"/>
      <c r="N137" s="38"/>
      <c r="O137" s="38"/>
      <c r="P137" s="38"/>
      <c r="Q137" s="38"/>
      <c r="R137" s="38"/>
      <c r="S137" s="38"/>
      <c r="T137" s="38"/>
      <c r="U137" s="100" t="str">
        <f>SUM('Core Values Input'!$C137:$L137,'Core Values Input'!$T137)</f>
        <v>#N/A</v>
      </c>
      <c r="V137" s="80">
        <f>IF('Core Values Input'!$A137&gt;0,MIN(_xlfn.RANK.EQ('Core Values Input'!$U137,'Core Values Input'!$U$2:$U$201,0),NumberOfTeams),NumberOfTeams+1)</f>
        <v>1</v>
      </c>
      <c r="W137" s="99"/>
      <c r="X137" s="99"/>
      <c r="Y137" s="99"/>
    </row>
    <row r="138" ht="30.0" customHeight="1">
      <c r="A138" s="38" t="str">
        <f t="array" ref="A138">XLOOKUP(137,'Team and Program Information'!$B$3:$B$202,'Team and Program Information'!$C$3:$C$202,"ERROR",0)</f>
        <v/>
      </c>
      <c r="B138" s="68" t="str">
        <f t="array" ref="B138">XLOOKUP('Core Values Input'!$A138,'Team and Program Information'!$C$3:$C$202,'Team and Program Information'!$D$3:$D$202,"",0,)</f>
        <v>#VALUE!</v>
      </c>
      <c r="C138" s="97" t="str">
        <f t="array" ref="C138">XLOOKUP('Core Values Input'!$A138,'Innovation Project Input'!$A$2:$A$201,'Innovation Project Input'!$D$2:$D$201)</f>
        <v>#N/A</v>
      </c>
      <c r="D138" s="97" t="str">
        <f t="array" ref="D138">XLOOKUP('Core Values Input'!$A138,'Innovation Project Input'!$A$2:$A$201,'Innovation Project Input'!$F$2:$F$201)</f>
        <v>#N/A</v>
      </c>
      <c r="E138" s="97" t="str">
        <f t="array" ref="E138">XLOOKUP('Core Values Input'!$A138,'Innovation Project Input'!$A$2:$A$201,'Innovation Project Input'!$G$2:$G$201)</f>
        <v>#N/A</v>
      </c>
      <c r="F138" s="97" t="str">
        <f t="array" ref="F138">XLOOKUP('Core Values Input'!$A138,'Innovation Project Input'!$A$2:$A$201,'Innovation Project Input'!$K$2:$K$201)</f>
        <v>#N/A</v>
      </c>
      <c r="G138" s="97" t="str">
        <f t="array" ref="G138">XLOOKUP('Core Values Input'!$A138,'Innovation Project Input'!$A$2:$A$201,'Innovation Project Input'!$L$2:$L$201)</f>
        <v>#N/A</v>
      </c>
      <c r="H138" s="97" t="str">
        <f t="array" ref="H138">XLOOKUP('Core Values Input'!$A138,'Robot Design Input'!$A$2:$A$201,'Robot Design Input'!$D$2:$D$201)</f>
        <v/>
      </c>
      <c r="I138" s="97" t="str">
        <f t="array" ref="I138">XLOOKUP('Core Values Input'!$A138,'Robot Design Input'!$A$2:$A$201,'Robot Design Input'!$E$2:$E$201)</f>
        <v/>
      </c>
      <c r="J138" s="97" t="str">
        <f t="array" ref="J138">XLOOKUP('Core Values Input'!$A138,'Robot Design Input'!$A$2:$A$201,'Robot Design Input'!$J$2:$J$201)</f>
        <v/>
      </c>
      <c r="K138" s="97" t="str">
        <f t="array" ref="K138">XLOOKUP('Core Values Input'!$A138,'Robot Design Input'!$A$2:$A$201,'Robot Design Input'!$K$2:$K$201)</f>
        <v/>
      </c>
      <c r="L138" s="97" t="str">
        <f t="array" ref="L138">XLOOKUP('Core Values Input'!$A138,'Robot Design Input'!$A$2:$A$201,'Robot Design Input'!$L$2:$L$201)</f>
        <v/>
      </c>
      <c r="M138" s="38"/>
      <c r="N138" s="38"/>
      <c r="O138" s="38"/>
      <c r="P138" s="38"/>
      <c r="Q138" s="38"/>
      <c r="R138" s="38"/>
      <c r="S138" s="38"/>
      <c r="T138" s="38"/>
      <c r="U138" s="100" t="str">
        <f>SUM('Core Values Input'!$C138:$L138,'Core Values Input'!$T138)</f>
        <v>#N/A</v>
      </c>
      <c r="V138" s="80">
        <f>IF('Core Values Input'!$A138&gt;0,MIN(_xlfn.RANK.EQ('Core Values Input'!$U138,'Core Values Input'!$U$2:$U$201,0),NumberOfTeams),NumberOfTeams+1)</f>
        <v>1</v>
      </c>
      <c r="W138" s="99"/>
      <c r="X138" s="99"/>
      <c r="Y138" s="99"/>
    </row>
    <row r="139" ht="30.0" customHeight="1">
      <c r="A139" s="38" t="str">
        <f t="array" ref="A139">XLOOKUP(138,'Team and Program Information'!$B$3:$B$202,'Team and Program Information'!$C$3:$C$202,"ERROR",0)</f>
        <v/>
      </c>
      <c r="B139" s="68" t="str">
        <f t="array" ref="B139">XLOOKUP('Core Values Input'!$A139,'Team and Program Information'!$C$3:$C$202,'Team and Program Information'!$D$3:$D$202,"",0,)</f>
        <v>#VALUE!</v>
      </c>
      <c r="C139" s="97" t="str">
        <f t="array" ref="C139">XLOOKUP('Core Values Input'!$A139,'Innovation Project Input'!$A$2:$A$201,'Innovation Project Input'!$D$2:$D$201)</f>
        <v>#N/A</v>
      </c>
      <c r="D139" s="97" t="str">
        <f t="array" ref="D139">XLOOKUP('Core Values Input'!$A139,'Innovation Project Input'!$A$2:$A$201,'Innovation Project Input'!$F$2:$F$201)</f>
        <v>#N/A</v>
      </c>
      <c r="E139" s="97" t="str">
        <f t="array" ref="E139">XLOOKUP('Core Values Input'!$A139,'Innovation Project Input'!$A$2:$A$201,'Innovation Project Input'!$G$2:$G$201)</f>
        <v>#N/A</v>
      </c>
      <c r="F139" s="97" t="str">
        <f t="array" ref="F139">XLOOKUP('Core Values Input'!$A139,'Innovation Project Input'!$A$2:$A$201,'Innovation Project Input'!$K$2:$K$201)</f>
        <v>#N/A</v>
      </c>
      <c r="G139" s="97" t="str">
        <f t="array" ref="G139">XLOOKUP('Core Values Input'!$A139,'Innovation Project Input'!$A$2:$A$201,'Innovation Project Input'!$L$2:$L$201)</f>
        <v>#N/A</v>
      </c>
      <c r="H139" s="97" t="str">
        <f t="array" ref="H139">XLOOKUP('Core Values Input'!$A139,'Robot Design Input'!$A$2:$A$201,'Robot Design Input'!$D$2:$D$201)</f>
        <v/>
      </c>
      <c r="I139" s="97" t="str">
        <f t="array" ref="I139">XLOOKUP('Core Values Input'!$A139,'Robot Design Input'!$A$2:$A$201,'Robot Design Input'!$E$2:$E$201)</f>
        <v/>
      </c>
      <c r="J139" s="97" t="str">
        <f t="array" ref="J139">XLOOKUP('Core Values Input'!$A139,'Robot Design Input'!$A$2:$A$201,'Robot Design Input'!$J$2:$J$201)</f>
        <v/>
      </c>
      <c r="K139" s="97" t="str">
        <f t="array" ref="K139">XLOOKUP('Core Values Input'!$A139,'Robot Design Input'!$A$2:$A$201,'Robot Design Input'!$K$2:$K$201)</f>
        <v/>
      </c>
      <c r="L139" s="97" t="str">
        <f t="array" ref="L139">XLOOKUP('Core Values Input'!$A139,'Robot Design Input'!$A$2:$A$201,'Robot Design Input'!$L$2:$L$201)</f>
        <v/>
      </c>
      <c r="M139" s="38"/>
      <c r="N139" s="38"/>
      <c r="O139" s="38"/>
      <c r="P139" s="38"/>
      <c r="Q139" s="38"/>
      <c r="R139" s="38"/>
      <c r="S139" s="38"/>
      <c r="T139" s="38"/>
      <c r="U139" s="100" t="str">
        <f>SUM('Core Values Input'!$C139:$L139,'Core Values Input'!$T139)</f>
        <v>#N/A</v>
      </c>
      <c r="V139" s="80">
        <f>IF('Core Values Input'!$A139&gt;0,MIN(_xlfn.RANK.EQ('Core Values Input'!$U139,'Core Values Input'!$U$2:$U$201,0),NumberOfTeams),NumberOfTeams+1)</f>
        <v>1</v>
      </c>
      <c r="W139" s="99"/>
      <c r="X139" s="99"/>
      <c r="Y139" s="99"/>
    </row>
    <row r="140" ht="30.0" customHeight="1">
      <c r="A140" s="38" t="str">
        <f t="array" ref="A140">XLOOKUP(139,'Team and Program Information'!$B$3:$B$202,'Team and Program Information'!$C$3:$C$202,"ERROR",0)</f>
        <v/>
      </c>
      <c r="B140" s="68" t="str">
        <f t="array" ref="B140">XLOOKUP('Core Values Input'!$A140,'Team and Program Information'!$C$3:$C$202,'Team and Program Information'!$D$3:$D$202,"",0,)</f>
        <v>#VALUE!</v>
      </c>
      <c r="C140" s="97" t="str">
        <f t="array" ref="C140">XLOOKUP('Core Values Input'!$A140,'Innovation Project Input'!$A$2:$A$201,'Innovation Project Input'!$D$2:$D$201)</f>
        <v>#N/A</v>
      </c>
      <c r="D140" s="97" t="str">
        <f t="array" ref="D140">XLOOKUP('Core Values Input'!$A140,'Innovation Project Input'!$A$2:$A$201,'Innovation Project Input'!$F$2:$F$201)</f>
        <v>#N/A</v>
      </c>
      <c r="E140" s="97" t="str">
        <f t="array" ref="E140">XLOOKUP('Core Values Input'!$A140,'Innovation Project Input'!$A$2:$A$201,'Innovation Project Input'!$G$2:$G$201)</f>
        <v>#N/A</v>
      </c>
      <c r="F140" s="97" t="str">
        <f t="array" ref="F140">XLOOKUP('Core Values Input'!$A140,'Innovation Project Input'!$A$2:$A$201,'Innovation Project Input'!$K$2:$K$201)</f>
        <v>#N/A</v>
      </c>
      <c r="G140" s="97" t="str">
        <f t="array" ref="G140">XLOOKUP('Core Values Input'!$A140,'Innovation Project Input'!$A$2:$A$201,'Innovation Project Input'!$L$2:$L$201)</f>
        <v>#N/A</v>
      </c>
      <c r="H140" s="97" t="str">
        <f t="array" ref="H140">XLOOKUP('Core Values Input'!$A140,'Robot Design Input'!$A$2:$A$201,'Robot Design Input'!$D$2:$D$201)</f>
        <v/>
      </c>
      <c r="I140" s="97" t="str">
        <f t="array" ref="I140">XLOOKUP('Core Values Input'!$A140,'Robot Design Input'!$A$2:$A$201,'Robot Design Input'!$E$2:$E$201)</f>
        <v/>
      </c>
      <c r="J140" s="97" t="str">
        <f t="array" ref="J140">XLOOKUP('Core Values Input'!$A140,'Robot Design Input'!$A$2:$A$201,'Robot Design Input'!$J$2:$J$201)</f>
        <v/>
      </c>
      <c r="K140" s="97" t="str">
        <f t="array" ref="K140">XLOOKUP('Core Values Input'!$A140,'Robot Design Input'!$A$2:$A$201,'Robot Design Input'!$K$2:$K$201)</f>
        <v/>
      </c>
      <c r="L140" s="97" t="str">
        <f t="array" ref="L140">XLOOKUP('Core Values Input'!$A140,'Robot Design Input'!$A$2:$A$201,'Robot Design Input'!$L$2:$L$201)</f>
        <v/>
      </c>
      <c r="M140" s="38"/>
      <c r="N140" s="38"/>
      <c r="O140" s="38"/>
      <c r="P140" s="38"/>
      <c r="Q140" s="38"/>
      <c r="R140" s="38"/>
      <c r="S140" s="38"/>
      <c r="T140" s="38"/>
      <c r="U140" s="100" t="str">
        <f>SUM('Core Values Input'!$C140:$L140,'Core Values Input'!$T140)</f>
        <v>#N/A</v>
      </c>
      <c r="V140" s="80">
        <f>IF('Core Values Input'!$A140&gt;0,MIN(_xlfn.RANK.EQ('Core Values Input'!$U140,'Core Values Input'!$U$2:$U$201,0),NumberOfTeams),NumberOfTeams+1)</f>
        <v>1</v>
      </c>
      <c r="W140" s="99"/>
      <c r="X140" s="99"/>
      <c r="Y140" s="99"/>
    </row>
    <row r="141" ht="30.0" customHeight="1">
      <c r="A141" s="38" t="str">
        <f t="array" ref="A141">XLOOKUP(140,'Team and Program Information'!$B$3:$B$202,'Team and Program Information'!$C$3:$C$202,"ERROR",0)</f>
        <v/>
      </c>
      <c r="B141" s="68" t="str">
        <f t="array" ref="B141">XLOOKUP('Core Values Input'!$A141,'Team and Program Information'!$C$3:$C$202,'Team and Program Information'!$D$3:$D$202,"",0,)</f>
        <v>#VALUE!</v>
      </c>
      <c r="C141" s="97" t="str">
        <f t="array" ref="C141">XLOOKUP('Core Values Input'!$A141,'Innovation Project Input'!$A$2:$A$201,'Innovation Project Input'!$D$2:$D$201)</f>
        <v>#N/A</v>
      </c>
      <c r="D141" s="97" t="str">
        <f t="array" ref="D141">XLOOKUP('Core Values Input'!$A141,'Innovation Project Input'!$A$2:$A$201,'Innovation Project Input'!$F$2:$F$201)</f>
        <v>#N/A</v>
      </c>
      <c r="E141" s="97" t="str">
        <f t="array" ref="E141">XLOOKUP('Core Values Input'!$A141,'Innovation Project Input'!$A$2:$A$201,'Innovation Project Input'!$G$2:$G$201)</f>
        <v>#N/A</v>
      </c>
      <c r="F141" s="97" t="str">
        <f t="array" ref="F141">XLOOKUP('Core Values Input'!$A141,'Innovation Project Input'!$A$2:$A$201,'Innovation Project Input'!$K$2:$K$201)</f>
        <v>#N/A</v>
      </c>
      <c r="G141" s="97" t="str">
        <f t="array" ref="G141">XLOOKUP('Core Values Input'!$A141,'Innovation Project Input'!$A$2:$A$201,'Innovation Project Input'!$L$2:$L$201)</f>
        <v>#N/A</v>
      </c>
      <c r="H141" s="97" t="str">
        <f t="array" ref="H141">XLOOKUP('Core Values Input'!$A141,'Robot Design Input'!$A$2:$A$201,'Robot Design Input'!$D$2:$D$201)</f>
        <v/>
      </c>
      <c r="I141" s="97" t="str">
        <f t="array" ref="I141">XLOOKUP('Core Values Input'!$A141,'Robot Design Input'!$A$2:$A$201,'Robot Design Input'!$E$2:$E$201)</f>
        <v/>
      </c>
      <c r="J141" s="97" t="str">
        <f t="array" ref="J141">XLOOKUP('Core Values Input'!$A141,'Robot Design Input'!$A$2:$A$201,'Robot Design Input'!$J$2:$J$201)</f>
        <v/>
      </c>
      <c r="K141" s="97" t="str">
        <f t="array" ref="K141">XLOOKUP('Core Values Input'!$A141,'Robot Design Input'!$A$2:$A$201,'Robot Design Input'!$K$2:$K$201)</f>
        <v/>
      </c>
      <c r="L141" s="97" t="str">
        <f t="array" ref="L141">XLOOKUP('Core Values Input'!$A141,'Robot Design Input'!$A$2:$A$201,'Robot Design Input'!$L$2:$L$201)</f>
        <v/>
      </c>
      <c r="M141" s="38"/>
      <c r="N141" s="38"/>
      <c r="O141" s="38"/>
      <c r="P141" s="38"/>
      <c r="Q141" s="38"/>
      <c r="R141" s="38"/>
      <c r="S141" s="38"/>
      <c r="T141" s="38"/>
      <c r="U141" s="100" t="str">
        <f>SUM('Core Values Input'!$C141:$L141,'Core Values Input'!$T141)</f>
        <v>#N/A</v>
      </c>
      <c r="V141" s="80">
        <f>IF('Core Values Input'!$A141&gt;0,MIN(_xlfn.RANK.EQ('Core Values Input'!$U141,'Core Values Input'!$U$2:$U$201,0),NumberOfTeams),NumberOfTeams+1)</f>
        <v>1</v>
      </c>
      <c r="W141" s="99"/>
      <c r="X141" s="99"/>
      <c r="Y141" s="99"/>
    </row>
    <row r="142" ht="30.0" customHeight="1">
      <c r="A142" s="38" t="str">
        <f t="array" ref="A142">XLOOKUP(141,'Team and Program Information'!$B$3:$B$202,'Team and Program Information'!$C$3:$C$202,"ERROR",0)</f>
        <v/>
      </c>
      <c r="B142" s="68" t="str">
        <f t="array" ref="B142">XLOOKUP('Core Values Input'!$A142,'Team and Program Information'!$C$3:$C$202,'Team and Program Information'!$D$3:$D$202,"",0,)</f>
        <v>#VALUE!</v>
      </c>
      <c r="C142" s="97" t="str">
        <f t="array" ref="C142">XLOOKUP('Core Values Input'!$A142,'Innovation Project Input'!$A$2:$A$201,'Innovation Project Input'!$D$2:$D$201)</f>
        <v>#N/A</v>
      </c>
      <c r="D142" s="97" t="str">
        <f t="array" ref="D142">XLOOKUP('Core Values Input'!$A142,'Innovation Project Input'!$A$2:$A$201,'Innovation Project Input'!$F$2:$F$201)</f>
        <v>#N/A</v>
      </c>
      <c r="E142" s="97" t="str">
        <f t="array" ref="E142">XLOOKUP('Core Values Input'!$A142,'Innovation Project Input'!$A$2:$A$201,'Innovation Project Input'!$G$2:$G$201)</f>
        <v>#N/A</v>
      </c>
      <c r="F142" s="97" t="str">
        <f t="array" ref="F142">XLOOKUP('Core Values Input'!$A142,'Innovation Project Input'!$A$2:$A$201,'Innovation Project Input'!$K$2:$K$201)</f>
        <v>#N/A</v>
      </c>
      <c r="G142" s="97" t="str">
        <f t="array" ref="G142">XLOOKUP('Core Values Input'!$A142,'Innovation Project Input'!$A$2:$A$201,'Innovation Project Input'!$L$2:$L$201)</f>
        <v>#N/A</v>
      </c>
      <c r="H142" s="97" t="str">
        <f t="array" ref="H142">XLOOKUP('Core Values Input'!$A142,'Robot Design Input'!$A$2:$A$201,'Robot Design Input'!$D$2:$D$201)</f>
        <v/>
      </c>
      <c r="I142" s="97" t="str">
        <f t="array" ref="I142">XLOOKUP('Core Values Input'!$A142,'Robot Design Input'!$A$2:$A$201,'Robot Design Input'!$E$2:$E$201)</f>
        <v/>
      </c>
      <c r="J142" s="97" t="str">
        <f t="array" ref="J142">XLOOKUP('Core Values Input'!$A142,'Robot Design Input'!$A$2:$A$201,'Robot Design Input'!$J$2:$J$201)</f>
        <v/>
      </c>
      <c r="K142" s="97" t="str">
        <f t="array" ref="K142">XLOOKUP('Core Values Input'!$A142,'Robot Design Input'!$A$2:$A$201,'Robot Design Input'!$K$2:$K$201)</f>
        <v/>
      </c>
      <c r="L142" s="97" t="str">
        <f t="array" ref="L142">XLOOKUP('Core Values Input'!$A142,'Robot Design Input'!$A$2:$A$201,'Robot Design Input'!$L$2:$L$201)</f>
        <v/>
      </c>
      <c r="M142" s="38"/>
      <c r="N142" s="38"/>
      <c r="O142" s="38"/>
      <c r="P142" s="38"/>
      <c r="Q142" s="38"/>
      <c r="R142" s="38"/>
      <c r="S142" s="38"/>
      <c r="T142" s="38"/>
      <c r="U142" s="100" t="str">
        <f>SUM('Core Values Input'!$C142:$L142,'Core Values Input'!$T142)</f>
        <v>#N/A</v>
      </c>
      <c r="V142" s="80">
        <f>IF('Core Values Input'!$A142&gt;0,MIN(_xlfn.RANK.EQ('Core Values Input'!$U142,'Core Values Input'!$U$2:$U$201,0),NumberOfTeams),NumberOfTeams+1)</f>
        <v>1</v>
      </c>
      <c r="W142" s="99"/>
      <c r="X142" s="99"/>
      <c r="Y142" s="99"/>
    </row>
    <row r="143" ht="30.0" customHeight="1">
      <c r="A143" s="38" t="str">
        <f t="array" ref="A143">XLOOKUP(142,'Team and Program Information'!$B$3:$B$202,'Team and Program Information'!$C$3:$C$202,"ERROR",0)</f>
        <v/>
      </c>
      <c r="B143" s="68" t="str">
        <f t="array" ref="B143">XLOOKUP('Core Values Input'!$A143,'Team and Program Information'!$C$3:$C$202,'Team and Program Information'!$D$3:$D$202,"",0,)</f>
        <v>#VALUE!</v>
      </c>
      <c r="C143" s="97" t="str">
        <f t="array" ref="C143">XLOOKUP('Core Values Input'!$A143,'Innovation Project Input'!$A$2:$A$201,'Innovation Project Input'!$D$2:$D$201)</f>
        <v>#N/A</v>
      </c>
      <c r="D143" s="97" t="str">
        <f t="array" ref="D143">XLOOKUP('Core Values Input'!$A143,'Innovation Project Input'!$A$2:$A$201,'Innovation Project Input'!$F$2:$F$201)</f>
        <v>#N/A</v>
      </c>
      <c r="E143" s="97" t="str">
        <f t="array" ref="E143">XLOOKUP('Core Values Input'!$A143,'Innovation Project Input'!$A$2:$A$201,'Innovation Project Input'!$G$2:$G$201)</f>
        <v>#N/A</v>
      </c>
      <c r="F143" s="97" t="str">
        <f t="array" ref="F143">XLOOKUP('Core Values Input'!$A143,'Innovation Project Input'!$A$2:$A$201,'Innovation Project Input'!$K$2:$K$201)</f>
        <v>#N/A</v>
      </c>
      <c r="G143" s="97" t="str">
        <f t="array" ref="G143">XLOOKUP('Core Values Input'!$A143,'Innovation Project Input'!$A$2:$A$201,'Innovation Project Input'!$L$2:$L$201)</f>
        <v>#N/A</v>
      </c>
      <c r="H143" s="97" t="str">
        <f t="array" ref="H143">XLOOKUP('Core Values Input'!$A143,'Robot Design Input'!$A$2:$A$201,'Robot Design Input'!$D$2:$D$201)</f>
        <v/>
      </c>
      <c r="I143" s="97" t="str">
        <f t="array" ref="I143">XLOOKUP('Core Values Input'!$A143,'Robot Design Input'!$A$2:$A$201,'Robot Design Input'!$E$2:$E$201)</f>
        <v/>
      </c>
      <c r="J143" s="97" t="str">
        <f t="array" ref="J143">XLOOKUP('Core Values Input'!$A143,'Robot Design Input'!$A$2:$A$201,'Robot Design Input'!$J$2:$J$201)</f>
        <v/>
      </c>
      <c r="K143" s="97" t="str">
        <f t="array" ref="K143">XLOOKUP('Core Values Input'!$A143,'Robot Design Input'!$A$2:$A$201,'Robot Design Input'!$K$2:$K$201)</f>
        <v/>
      </c>
      <c r="L143" s="97" t="str">
        <f t="array" ref="L143">XLOOKUP('Core Values Input'!$A143,'Robot Design Input'!$A$2:$A$201,'Robot Design Input'!$L$2:$L$201)</f>
        <v/>
      </c>
      <c r="M143" s="38"/>
      <c r="N143" s="38"/>
      <c r="O143" s="38"/>
      <c r="P143" s="38"/>
      <c r="Q143" s="38"/>
      <c r="R143" s="38"/>
      <c r="S143" s="38"/>
      <c r="T143" s="38"/>
      <c r="U143" s="100" t="str">
        <f>SUM('Core Values Input'!$C143:$L143,'Core Values Input'!$T143)</f>
        <v>#N/A</v>
      </c>
      <c r="V143" s="80">
        <f>IF('Core Values Input'!$A143&gt;0,MIN(_xlfn.RANK.EQ('Core Values Input'!$U143,'Core Values Input'!$U$2:$U$201,0),NumberOfTeams),NumberOfTeams+1)</f>
        <v>1</v>
      </c>
      <c r="W143" s="99"/>
      <c r="X143" s="99"/>
      <c r="Y143" s="99"/>
    </row>
    <row r="144" ht="30.0" customHeight="1">
      <c r="A144" s="38" t="str">
        <f t="array" ref="A144">XLOOKUP(143,'Team and Program Information'!$B$3:$B$202,'Team and Program Information'!$C$3:$C$202,"ERROR",0)</f>
        <v/>
      </c>
      <c r="B144" s="68" t="str">
        <f t="array" ref="B144">XLOOKUP('Core Values Input'!$A144,'Team and Program Information'!$C$3:$C$202,'Team and Program Information'!$D$3:$D$202,"",0,)</f>
        <v>#VALUE!</v>
      </c>
      <c r="C144" s="97" t="str">
        <f t="array" ref="C144">XLOOKUP('Core Values Input'!$A144,'Innovation Project Input'!$A$2:$A$201,'Innovation Project Input'!$D$2:$D$201)</f>
        <v>#N/A</v>
      </c>
      <c r="D144" s="97" t="str">
        <f t="array" ref="D144">XLOOKUP('Core Values Input'!$A144,'Innovation Project Input'!$A$2:$A$201,'Innovation Project Input'!$F$2:$F$201)</f>
        <v>#N/A</v>
      </c>
      <c r="E144" s="97" t="str">
        <f t="array" ref="E144">XLOOKUP('Core Values Input'!$A144,'Innovation Project Input'!$A$2:$A$201,'Innovation Project Input'!$G$2:$G$201)</f>
        <v>#N/A</v>
      </c>
      <c r="F144" s="97" t="str">
        <f t="array" ref="F144">XLOOKUP('Core Values Input'!$A144,'Innovation Project Input'!$A$2:$A$201,'Innovation Project Input'!$K$2:$K$201)</f>
        <v>#N/A</v>
      </c>
      <c r="G144" s="97" t="str">
        <f t="array" ref="G144">XLOOKUP('Core Values Input'!$A144,'Innovation Project Input'!$A$2:$A$201,'Innovation Project Input'!$L$2:$L$201)</f>
        <v>#N/A</v>
      </c>
      <c r="H144" s="97" t="str">
        <f t="array" ref="H144">XLOOKUP('Core Values Input'!$A144,'Robot Design Input'!$A$2:$A$201,'Robot Design Input'!$D$2:$D$201)</f>
        <v/>
      </c>
      <c r="I144" s="97" t="str">
        <f t="array" ref="I144">XLOOKUP('Core Values Input'!$A144,'Robot Design Input'!$A$2:$A$201,'Robot Design Input'!$E$2:$E$201)</f>
        <v/>
      </c>
      <c r="J144" s="97" t="str">
        <f t="array" ref="J144">XLOOKUP('Core Values Input'!$A144,'Robot Design Input'!$A$2:$A$201,'Robot Design Input'!$J$2:$J$201)</f>
        <v/>
      </c>
      <c r="K144" s="97" t="str">
        <f t="array" ref="K144">XLOOKUP('Core Values Input'!$A144,'Robot Design Input'!$A$2:$A$201,'Robot Design Input'!$K$2:$K$201)</f>
        <v/>
      </c>
      <c r="L144" s="97" t="str">
        <f t="array" ref="L144">XLOOKUP('Core Values Input'!$A144,'Robot Design Input'!$A$2:$A$201,'Robot Design Input'!$L$2:$L$201)</f>
        <v/>
      </c>
      <c r="M144" s="38"/>
      <c r="N144" s="38"/>
      <c r="O144" s="38"/>
      <c r="P144" s="38"/>
      <c r="Q144" s="38"/>
      <c r="R144" s="38"/>
      <c r="S144" s="38"/>
      <c r="T144" s="38"/>
      <c r="U144" s="100" t="str">
        <f>SUM('Core Values Input'!$C144:$L144,'Core Values Input'!$T144)</f>
        <v>#N/A</v>
      </c>
      <c r="V144" s="80">
        <f>IF('Core Values Input'!$A144&gt;0,MIN(_xlfn.RANK.EQ('Core Values Input'!$U144,'Core Values Input'!$U$2:$U$201,0),NumberOfTeams),NumberOfTeams+1)</f>
        <v>1</v>
      </c>
      <c r="W144" s="99"/>
      <c r="X144" s="99"/>
      <c r="Y144" s="99"/>
    </row>
    <row r="145" ht="30.0" customHeight="1">
      <c r="A145" s="38" t="str">
        <f t="array" ref="A145">XLOOKUP(144,'Team and Program Information'!$B$3:$B$202,'Team and Program Information'!$C$3:$C$202,"ERROR",0)</f>
        <v/>
      </c>
      <c r="B145" s="68" t="str">
        <f t="array" ref="B145">XLOOKUP('Core Values Input'!$A145,'Team and Program Information'!$C$3:$C$202,'Team and Program Information'!$D$3:$D$202,"",0,)</f>
        <v>#VALUE!</v>
      </c>
      <c r="C145" s="97" t="str">
        <f t="array" ref="C145">XLOOKUP('Core Values Input'!$A145,'Innovation Project Input'!$A$2:$A$201,'Innovation Project Input'!$D$2:$D$201)</f>
        <v>#N/A</v>
      </c>
      <c r="D145" s="97" t="str">
        <f t="array" ref="D145">XLOOKUP('Core Values Input'!$A145,'Innovation Project Input'!$A$2:$A$201,'Innovation Project Input'!$F$2:$F$201)</f>
        <v>#N/A</v>
      </c>
      <c r="E145" s="97" t="str">
        <f t="array" ref="E145">XLOOKUP('Core Values Input'!$A145,'Innovation Project Input'!$A$2:$A$201,'Innovation Project Input'!$G$2:$G$201)</f>
        <v>#N/A</v>
      </c>
      <c r="F145" s="97" t="str">
        <f t="array" ref="F145">XLOOKUP('Core Values Input'!$A145,'Innovation Project Input'!$A$2:$A$201,'Innovation Project Input'!$K$2:$K$201)</f>
        <v>#N/A</v>
      </c>
      <c r="G145" s="97" t="str">
        <f t="array" ref="G145">XLOOKUP('Core Values Input'!$A145,'Innovation Project Input'!$A$2:$A$201,'Innovation Project Input'!$L$2:$L$201)</f>
        <v>#N/A</v>
      </c>
      <c r="H145" s="97" t="str">
        <f t="array" ref="H145">XLOOKUP('Core Values Input'!$A145,'Robot Design Input'!$A$2:$A$201,'Robot Design Input'!$D$2:$D$201)</f>
        <v/>
      </c>
      <c r="I145" s="97" t="str">
        <f t="array" ref="I145">XLOOKUP('Core Values Input'!$A145,'Robot Design Input'!$A$2:$A$201,'Robot Design Input'!$E$2:$E$201)</f>
        <v/>
      </c>
      <c r="J145" s="97" t="str">
        <f t="array" ref="J145">XLOOKUP('Core Values Input'!$A145,'Robot Design Input'!$A$2:$A$201,'Robot Design Input'!$J$2:$J$201)</f>
        <v/>
      </c>
      <c r="K145" s="97" t="str">
        <f t="array" ref="K145">XLOOKUP('Core Values Input'!$A145,'Robot Design Input'!$A$2:$A$201,'Robot Design Input'!$K$2:$K$201)</f>
        <v/>
      </c>
      <c r="L145" s="97" t="str">
        <f t="array" ref="L145">XLOOKUP('Core Values Input'!$A145,'Robot Design Input'!$A$2:$A$201,'Robot Design Input'!$L$2:$L$201)</f>
        <v/>
      </c>
      <c r="M145" s="38"/>
      <c r="N145" s="38"/>
      <c r="O145" s="38"/>
      <c r="P145" s="38"/>
      <c r="Q145" s="38"/>
      <c r="R145" s="38"/>
      <c r="S145" s="38"/>
      <c r="T145" s="38"/>
      <c r="U145" s="100" t="str">
        <f>SUM('Core Values Input'!$C145:$L145,'Core Values Input'!$T145)</f>
        <v>#N/A</v>
      </c>
      <c r="V145" s="80">
        <f>IF('Core Values Input'!$A145&gt;0,MIN(_xlfn.RANK.EQ('Core Values Input'!$U145,'Core Values Input'!$U$2:$U$201,0),NumberOfTeams),NumberOfTeams+1)</f>
        <v>1</v>
      </c>
      <c r="W145" s="99"/>
      <c r="X145" s="99"/>
      <c r="Y145" s="99"/>
    </row>
    <row r="146" ht="30.0" customHeight="1">
      <c r="A146" s="38" t="str">
        <f t="array" ref="A146">XLOOKUP(145,'Team and Program Information'!$B$3:$B$202,'Team and Program Information'!$C$3:$C$202,"ERROR",0)</f>
        <v/>
      </c>
      <c r="B146" s="68" t="str">
        <f t="array" ref="B146">XLOOKUP('Core Values Input'!$A146,'Team and Program Information'!$C$3:$C$202,'Team and Program Information'!$D$3:$D$202,"",0,)</f>
        <v>#VALUE!</v>
      </c>
      <c r="C146" s="97" t="str">
        <f t="array" ref="C146">XLOOKUP('Core Values Input'!$A146,'Innovation Project Input'!$A$2:$A$201,'Innovation Project Input'!$D$2:$D$201)</f>
        <v>#N/A</v>
      </c>
      <c r="D146" s="97" t="str">
        <f t="array" ref="D146">XLOOKUP('Core Values Input'!$A146,'Innovation Project Input'!$A$2:$A$201,'Innovation Project Input'!$F$2:$F$201)</f>
        <v>#N/A</v>
      </c>
      <c r="E146" s="97" t="str">
        <f t="array" ref="E146">XLOOKUP('Core Values Input'!$A146,'Innovation Project Input'!$A$2:$A$201,'Innovation Project Input'!$G$2:$G$201)</f>
        <v>#N/A</v>
      </c>
      <c r="F146" s="97" t="str">
        <f t="array" ref="F146">XLOOKUP('Core Values Input'!$A146,'Innovation Project Input'!$A$2:$A$201,'Innovation Project Input'!$K$2:$K$201)</f>
        <v>#N/A</v>
      </c>
      <c r="G146" s="97" t="str">
        <f t="array" ref="G146">XLOOKUP('Core Values Input'!$A146,'Innovation Project Input'!$A$2:$A$201,'Innovation Project Input'!$L$2:$L$201)</f>
        <v>#N/A</v>
      </c>
      <c r="H146" s="97" t="str">
        <f t="array" ref="H146">XLOOKUP('Core Values Input'!$A146,'Robot Design Input'!$A$2:$A$201,'Robot Design Input'!$D$2:$D$201)</f>
        <v/>
      </c>
      <c r="I146" s="97" t="str">
        <f t="array" ref="I146">XLOOKUP('Core Values Input'!$A146,'Robot Design Input'!$A$2:$A$201,'Robot Design Input'!$E$2:$E$201)</f>
        <v/>
      </c>
      <c r="J146" s="97" t="str">
        <f t="array" ref="J146">XLOOKUP('Core Values Input'!$A146,'Robot Design Input'!$A$2:$A$201,'Robot Design Input'!$J$2:$J$201)</f>
        <v/>
      </c>
      <c r="K146" s="97" t="str">
        <f t="array" ref="K146">XLOOKUP('Core Values Input'!$A146,'Robot Design Input'!$A$2:$A$201,'Robot Design Input'!$K$2:$K$201)</f>
        <v/>
      </c>
      <c r="L146" s="97" t="str">
        <f t="array" ref="L146">XLOOKUP('Core Values Input'!$A146,'Robot Design Input'!$A$2:$A$201,'Robot Design Input'!$L$2:$L$201)</f>
        <v/>
      </c>
      <c r="M146" s="38"/>
      <c r="N146" s="38"/>
      <c r="O146" s="38"/>
      <c r="P146" s="38"/>
      <c r="Q146" s="38"/>
      <c r="R146" s="38"/>
      <c r="S146" s="38"/>
      <c r="T146" s="38"/>
      <c r="U146" s="100" t="str">
        <f>SUM('Core Values Input'!$C146:$L146,'Core Values Input'!$T146)</f>
        <v>#N/A</v>
      </c>
      <c r="V146" s="80">
        <f>IF('Core Values Input'!$A146&gt;0,MIN(_xlfn.RANK.EQ('Core Values Input'!$U146,'Core Values Input'!$U$2:$U$201,0),NumberOfTeams),NumberOfTeams+1)</f>
        <v>1</v>
      </c>
      <c r="W146" s="99"/>
      <c r="X146" s="99"/>
      <c r="Y146" s="99"/>
    </row>
    <row r="147" ht="30.0" customHeight="1">
      <c r="A147" s="38" t="str">
        <f t="array" ref="A147">XLOOKUP(146,'Team and Program Information'!$B$3:$B$202,'Team and Program Information'!$C$3:$C$202,"ERROR",0)</f>
        <v/>
      </c>
      <c r="B147" s="68" t="str">
        <f t="array" ref="B147">XLOOKUP('Core Values Input'!$A147,'Team and Program Information'!$C$3:$C$202,'Team and Program Information'!$D$3:$D$202,"",0,)</f>
        <v>#VALUE!</v>
      </c>
      <c r="C147" s="97" t="str">
        <f t="array" ref="C147">XLOOKUP('Core Values Input'!$A147,'Innovation Project Input'!$A$2:$A$201,'Innovation Project Input'!$D$2:$D$201)</f>
        <v>#N/A</v>
      </c>
      <c r="D147" s="97" t="str">
        <f t="array" ref="D147">XLOOKUP('Core Values Input'!$A147,'Innovation Project Input'!$A$2:$A$201,'Innovation Project Input'!$F$2:$F$201)</f>
        <v>#N/A</v>
      </c>
      <c r="E147" s="97" t="str">
        <f t="array" ref="E147">XLOOKUP('Core Values Input'!$A147,'Innovation Project Input'!$A$2:$A$201,'Innovation Project Input'!$G$2:$G$201)</f>
        <v>#N/A</v>
      </c>
      <c r="F147" s="97" t="str">
        <f t="array" ref="F147">XLOOKUP('Core Values Input'!$A147,'Innovation Project Input'!$A$2:$A$201,'Innovation Project Input'!$K$2:$K$201)</f>
        <v>#N/A</v>
      </c>
      <c r="G147" s="97" t="str">
        <f t="array" ref="G147">XLOOKUP('Core Values Input'!$A147,'Innovation Project Input'!$A$2:$A$201,'Innovation Project Input'!$L$2:$L$201)</f>
        <v>#N/A</v>
      </c>
      <c r="H147" s="97" t="str">
        <f t="array" ref="H147">XLOOKUP('Core Values Input'!$A147,'Robot Design Input'!$A$2:$A$201,'Robot Design Input'!$D$2:$D$201)</f>
        <v/>
      </c>
      <c r="I147" s="97" t="str">
        <f t="array" ref="I147">XLOOKUP('Core Values Input'!$A147,'Robot Design Input'!$A$2:$A$201,'Robot Design Input'!$E$2:$E$201)</f>
        <v/>
      </c>
      <c r="J147" s="97" t="str">
        <f t="array" ref="J147">XLOOKUP('Core Values Input'!$A147,'Robot Design Input'!$A$2:$A$201,'Robot Design Input'!$J$2:$J$201)</f>
        <v/>
      </c>
      <c r="K147" s="97" t="str">
        <f t="array" ref="K147">XLOOKUP('Core Values Input'!$A147,'Robot Design Input'!$A$2:$A$201,'Robot Design Input'!$K$2:$K$201)</f>
        <v/>
      </c>
      <c r="L147" s="97" t="str">
        <f t="array" ref="L147">XLOOKUP('Core Values Input'!$A147,'Robot Design Input'!$A$2:$A$201,'Robot Design Input'!$L$2:$L$201)</f>
        <v/>
      </c>
      <c r="M147" s="38"/>
      <c r="N147" s="38"/>
      <c r="O147" s="38"/>
      <c r="P147" s="38"/>
      <c r="Q147" s="38"/>
      <c r="R147" s="38"/>
      <c r="S147" s="38"/>
      <c r="T147" s="38"/>
      <c r="U147" s="100" t="str">
        <f>SUM('Core Values Input'!$C147:$L147,'Core Values Input'!$T147)</f>
        <v>#N/A</v>
      </c>
      <c r="V147" s="80">
        <f>IF('Core Values Input'!$A147&gt;0,MIN(_xlfn.RANK.EQ('Core Values Input'!$U147,'Core Values Input'!$U$2:$U$201,0),NumberOfTeams),NumberOfTeams+1)</f>
        <v>1</v>
      </c>
      <c r="W147" s="99"/>
      <c r="X147" s="99"/>
      <c r="Y147" s="99"/>
    </row>
    <row r="148" ht="30.0" customHeight="1">
      <c r="A148" s="38" t="str">
        <f t="array" ref="A148">XLOOKUP(147,'Team and Program Information'!$B$3:$B$202,'Team and Program Information'!$C$3:$C$202,"ERROR",0)</f>
        <v/>
      </c>
      <c r="B148" s="68" t="str">
        <f t="array" ref="B148">XLOOKUP('Core Values Input'!$A148,'Team and Program Information'!$C$3:$C$202,'Team and Program Information'!$D$3:$D$202,"",0,)</f>
        <v>#VALUE!</v>
      </c>
      <c r="C148" s="97" t="str">
        <f t="array" ref="C148">XLOOKUP('Core Values Input'!$A148,'Innovation Project Input'!$A$2:$A$201,'Innovation Project Input'!$D$2:$D$201)</f>
        <v>#N/A</v>
      </c>
      <c r="D148" s="97" t="str">
        <f t="array" ref="D148">XLOOKUP('Core Values Input'!$A148,'Innovation Project Input'!$A$2:$A$201,'Innovation Project Input'!$F$2:$F$201)</f>
        <v>#N/A</v>
      </c>
      <c r="E148" s="97" t="str">
        <f t="array" ref="E148">XLOOKUP('Core Values Input'!$A148,'Innovation Project Input'!$A$2:$A$201,'Innovation Project Input'!$G$2:$G$201)</f>
        <v>#N/A</v>
      </c>
      <c r="F148" s="97" t="str">
        <f t="array" ref="F148">XLOOKUP('Core Values Input'!$A148,'Innovation Project Input'!$A$2:$A$201,'Innovation Project Input'!$K$2:$K$201)</f>
        <v>#N/A</v>
      </c>
      <c r="G148" s="97" t="str">
        <f t="array" ref="G148">XLOOKUP('Core Values Input'!$A148,'Innovation Project Input'!$A$2:$A$201,'Innovation Project Input'!$L$2:$L$201)</f>
        <v>#N/A</v>
      </c>
      <c r="H148" s="97" t="str">
        <f t="array" ref="H148">XLOOKUP('Core Values Input'!$A148,'Robot Design Input'!$A$2:$A$201,'Robot Design Input'!$D$2:$D$201)</f>
        <v/>
      </c>
      <c r="I148" s="97" t="str">
        <f t="array" ref="I148">XLOOKUP('Core Values Input'!$A148,'Robot Design Input'!$A$2:$A$201,'Robot Design Input'!$E$2:$E$201)</f>
        <v/>
      </c>
      <c r="J148" s="97" t="str">
        <f t="array" ref="J148">XLOOKUP('Core Values Input'!$A148,'Robot Design Input'!$A$2:$A$201,'Robot Design Input'!$J$2:$J$201)</f>
        <v/>
      </c>
      <c r="K148" s="97" t="str">
        <f t="array" ref="K148">XLOOKUP('Core Values Input'!$A148,'Robot Design Input'!$A$2:$A$201,'Robot Design Input'!$K$2:$K$201)</f>
        <v/>
      </c>
      <c r="L148" s="97" t="str">
        <f t="array" ref="L148">XLOOKUP('Core Values Input'!$A148,'Robot Design Input'!$A$2:$A$201,'Robot Design Input'!$L$2:$L$201)</f>
        <v/>
      </c>
      <c r="M148" s="38"/>
      <c r="N148" s="38"/>
      <c r="O148" s="38"/>
      <c r="P148" s="38"/>
      <c r="Q148" s="38"/>
      <c r="R148" s="38"/>
      <c r="S148" s="38"/>
      <c r="T148" s="38"/>
      <c r="U148" s="100" t="str">
        <f>SUM('Core Values Input'!$C148:$L148,'Core Values Input'!$T148)</f>
        <v>#N/A</v>
      </c>
      <c r="V148" s="80">
        <f>IF('Core Values Input'!$A148&gt;0,MIN(_xlfn.RANK.EQ('Core Values Input'!$U148,'Core Values Input'!$U$2:$U$201,0),NumberOfTeams),NumberOfTeams+1)</f>
        <v>1</v>
      </c>
      <c r="W148" s="99"/>
      <c r="X148" s="99"/>
      <c r="Y148" s="99"/>
    </row>
    <row r="149" ht="30.0" customHeight="1">
      <c r="A149" s="38" t="str">
        <f t="array" ref="A149">XLOOKUP(148,'Team and Program Information'!$B$3:$B$202,'Team and Program Information'!$C$3:$C$202,"ERROR",0)</f>
        <v/>
      </c>
      <c r="B149" s="68" t="str">
        <f t="array" ref="B149">XLOOKUP('Core Values Input'!$A149,'Team and Program Information'!$C$3:$C$202,'Team and Program Information'!$D$3:$D$202,"",0,)</f>
        <v>#VALUE!</v>
      </c>
      <c r="C149" s="97" t="str">
        <f t="array" ref="C149">XLOOKUP('Core Values Input'!$A149,'Innovation Project Input'!$A$2:$A$201,'Innovation Project Input'!$D$2:$D$201)</f>
        <v>#N/A</v>
      </c>
      <c r="D149" s="97" t="str">
        <f t="array" ref="D149">XLOOKUP('Core Values Input'!$A149,'Innovation Project Input'!$A$2:$A$201,'Innovation Project Input'!$F$2:$F$201)</f>
        <v>#N/A</v>
      </c>
      <c r="E149" s="97" t="str">
        <f t="array" ref="E149">XLOOKUP('Core Values Input'!$A149,'Innovation Project Input'!$A$2:$A$201,'Innovation Project Input'!$G$2:$G$201)</f>
        <v>#N/A</v>
      </c>
      <c r="F149" s="97" t="str">
        <f t="array" ref="F149">XLOOKUP('Core Values Input'!$A149,'Innovation Project Input'!$A$2:$A$201,'Innovation Project Input'!$K$2:$K$201)</f>
        <v>#N/A</v>
      </c>
      <c r="G149" s="97" t="str">
        <f t="array" ref="G149">XLOOKUP('Core Values Input'!$A149,'Innovation Project Input'!$A$2:$A$201,'Innovation Project Input'!$L$2:$L$201)</f>
        <v>#N/A</v>
      </c>
      <c r="H149" s="97" t="str">
        <f t="array" ref="H149">XLOOKUP('Core Values Input'!$A149,'Robot Design Input'!$A$2:$A$201,'Robot Design Input'!$D$2:$D$201)</f>
        <v/>
      </c>
      <c r="I149" s="97" t="str">
        <f t="array" ref="I149">XLOOKUP('Core Values Input'!$A149,'Robot Design Input'!$A$2:$A$201,'Robot Design Input'!$E$2:$E$201)</f>
        <v/>
      </c>
      <c r="J149" s="97" t="str">
        <f t="array" ref="J149">XLOOKUP('Core Values Input'!$A149,'Robot Design Input'!$A$2:$A$201,'Robot Design Input'!$J$2:$J$201)</f>
        <v/>
      </c>
      <c r="K149" s="97" t="str">
        <f t="array" ref="K149">XLOOKUP('Core Values Input'!$A149,'Robot Design Input'!$A$2:$A$201,'Robot Design Input'!$K$2:$K$201)</f>
        <v/>
      </c>
      <c r="L149" s="97" t="str">
        <f t="array" ref="L149">XLOOKUP('Core Values Input'!$A149,'Robot Design Input'!$A$2:$A$201,'Robot Design Input'!$L$2:$L$201)</f>
        <v/>
      </c>
      <c r="M149" s="38"/>
      <c r="N149" s="38"/>
      <c r="O149" s="38"/>
      <c r="P149" s="38"/>
      <c r="Q149" s="38"/>
      <c r="R149" s="38"/>
      <c r="S149" s="38"/>
      <c r="T149" s="38"/>
      <c r="U149" s="100" t="str">
        <f>SUM('Core Values Input'!$C149:$L149,'Core Values Input'!$T149)</f>
        <v>#N/A</v>
      </c>
      <c r="V149" s="80">
        <f>IF('Core Values Input'!$A149&gt;0,MIN(_xlfn.RANK.EQ('Core Values Input'!$U149,'Core Values Input'!$U$2:$U$201,0),NumberOfTeams),NumberOfTeams+1)</f>
        <v>1</v>
      </c>
      <c r="W149" s="99"/>
      <c r="X149" s="99"/>
      <c r="Y149" s="99"/>
    </row>
    <row r="150" ht="30.0" customHeight="1">
      <c r="A150" s="38" t="str">
        <f t="array" ref="A150">XLOOKUP(149,'Team and Program Information'!$B$3:$B$202,'Team and Program Information'!$C$3:$C$202,"ERROR",0)</f>
        <v/>
      </c>
      <c r="B150" s="68" t="str">
        <f t="array" ref="B150">XLOOKUP('Core Values Input'!$A150,'Team and Program Information'!$C$3:$C$202,'Team and Program Information'!$D$3:$D$202,"",0,)</f>
        <v>#VALUE!</v>
      </c>
      <c r="C150" s="97" t="str">
        <f t="array" ref="C150">XLOOKUP('Core Values Input'!$A150,'Innovation Project Input'!$A$2:$A$201,'Innovation Project Input'!$D$2:$D$201)</f>
        <v>#N/A</v>
      </c>
      <c r="D150" s="97" t="str">
        <f t="array" ref="D150">XLOOKUP('Core Values Input'!$A150,'Innovation Project Input'!$A$2:$A$201,'Innovation Project Input'!$F$2:$F$201)</f>
        <v>#N/A</v>
      </c>
      <c r="E150" s="97" t="str">
        <f t="array" ref="E150">XLOOKUP('Core Values Input'!$A150,'Innovation Project Input'!$A$2:$A$201,'Innovation Project Input'!$G$2:$G$201)</f>
        <v>#N/A</v>
      </c>
      <c r="F150" s="97" t="str">
        <f t="array" ref="F150">XLOOKUP('Core Values Input'!$A150,'Innovation Project Input'!$A$2:$A$201,'Innovation Project Input'!$K$2:$K$201)</f>
        <v>#N/A</v>
      </c>
      <c r="G150" s="97" t="str">
        <f t="array" ref="G150">XLOOKUP('Core Values Input'!$A150,'Innovation Project Input'!$A$2:$A$201,'Innovation Project Input'!$L$2:$L$201)</f>
        <v>#N/A</v>
      </c>
      <c r="H150" s="97" t="str">
        <f t="array" ref="H150">XLOOKUP('Core Values Input'!$A150,'Robot Design Input'!$A$2:$A$201,'Robot Design Input'!$D$2:$D$201)</f>
        <v/>
      </c>
      <c r="I150" s="97" t="str">
        <f t="array" ref="I150">XLOOKUP('Core Values Input'!$A150,'Robot Design Input'!$A$2:$A$201,'Robot Design Input'!$E$2:$E$201)</f>
        <v/>
      </c>
      <c r="J150" s="97" t="str">
        <f t="array" ref="J150">XLOOKUP('Core Values Input'!$A150,'Robot Design Input'!$A$2:$A$201,'Robot Design Input'!$J$2:$J$201)</f>
        <v/>
      </c>
      <c r="K150" s="97" t="str">
        <f t="array" ref="K150">XLOOKUP('Core Values Input'!$A150,'Robot Design Input'!$A$2:$A$201,'Robot Design Input'!$K$2:$K$201)</f>
        <v/>
      </c>
      <c r="L150" s="97" t="str">
        <f t="array" ref="L150">XLOOKUP('Core Values Input'!$A150,'Robot Design Input'!$A$2:$A$201,'Robot Design Input'!$L$2:$L$201)</f>
        <v/>
      </c>
      <c r="M150" s="38"/>
      <c r="N150" s="38"/>
      <c r="O150" s="38"/>
      <c r="P150" s="38"/>
      <c r="Q150" s="38"/>
      <c r="R150" s="38"/>
      <c r="S150" s="38"/>
      <c r="T150" s="38"/>
      <c r="U150" s="100" t="str">
        <f>SUM('Core Values Input'!$C150:$L150,'Core Values Input'!$T150)</f>
        <v>#N/A</v>
      </c>
      <c r="V150" s="80">
        <f>IF('Core Values Input'!$A150&gt;0,MIN(_xlfn.RANK.EQ('Core Values Input'!$U150,'Core Values Input'!$U$2:$U$201,0),NumberOfTeams),NumberOfTeams+1)</f>
        <v>1</v>
      </c>
      <c r="W150" s="99"/>
      <c r="X150" s="99"/>
      <c r="Y150" s="99"/>
    </row>
    <row r="151" ht="30.0" customHeight="1">
      <c r="A151" s="38" t="str">
        <f t="array" ref="A151">XLOOKUP(150,'Team and Program Information'!$B$3:$B$202,'Team and Program Information'!$C$3:$C$202,"ERROR",0)</f>
        <v/>
      </c>
      <c r="B151" s="68" t="str">
        <f t="array" ref="B151">XLOOKUP('Core Values Input'!$A151,'Team and Program Information'!$C$3:$C$202,'Team and Program Information'!$D$3:$D$202,"",0,)</f>
        <v>#VALUE!</v>
      </c>
      <c r="C151" s="97" t="str">
        <f t="array" ref="C151">XLOOKUP('Core Values Input'!$A151,'Innovation Project Input'!$A$2:$A$201,'Innovation Project Input'!$D$2:$D$201)</f>
        <v>#N/A</v>
      </c>
      <c r="D151" s="97" t="str">
        <f t="array" ref="D151">XLOOKUP('Core Values Input'!$A151,'Innovation Project Input'!$A$2:$A$201,'Innovation Project Input'!$F$2:$F$201)</f>
        <v>#N/A</v>
      </c>
      <c r="E151" s="97" t="str">
        <f t="array" ref="E151">XLOOKUP('Core Values Input'!$A151,'Innovation Project Input'!$A$2:$A$201,'Innovation Project Input'!$G$2:$G$201)</f>
        <v>#N/A</v>
      </c>
      <c r="F151" s="97" t="str">
        <f t="array" ref="F151">XLOOKUP('Core Values Input'!$A151,'Innovation Project Input'!$A$2:$A$201,'Innovation Project Input'!$K$2:$K$201)</f>
        <v>#N/A</v>
      </c>
      <c r="G151" s="97" t="str">
        <f t="array" ref="G151">XLOOKUP('Core Values Input'!$A151,'Innovation Project Input'!$A$2:$A$201,'Innovation Project Input'!$L$2:$L$201)</f>
        <v>#N/A</v>
      </c>
      <c r="H151" s="97" t="str">
        <f t="array" ref="H151">XLOOKUP('Core Values Input'!$A151,'Robot Design Input'!$A$2:$A$201,'Robot Design Input'!$D$2:$D$201)</f>
        <v/>
      </c>
      <c r="I151" s="97" t="str">
        <f t="array" ref="I151">XLOOKUP('Core Values Input'!$A151,'Robot Design Input'!$A$2:$A$201,'Robot Design Input'!$E$2:$E$201)</f>
        <v/>
      </c>
      <c r="J151" s="97" t="str">
        <f t="array" ref="J151">XLOOKUP('Core Values Input'!$A151,'Robot Design Input'!$A$2:$A$201,'Robot Design Input'!$J$2:$J$201)</f>
        <v/>
      </c>
      <c r="K151" s="97" t="str">
        <f t="array" ref="K151">XLOOKUP('Core Values Input'!$A151,'Robot Design Input'!$A$2:$A$201,'Robot Design Input'!$K$2:$K$201)</f>
        <v/>
      </c>
      <c r="L151" s="97" t="str">
        <f t="array" ref="L151">XLOOKUP('Core Values Input'!$A151,'Robot Design Input'!$A$2:$A$201,'Robot Design Input'!$L$2:$L$201)</f>
        <v/>
      </c>
      <c r="M151" s="38"/>
      <c r="N151" s="38"/>
      <c r="O151" s="38"/>
      <c r="P151" s="38"/>
      <c r="Q151" s="38"/>
      <c r="R151" s="38"/>
      <c r="S151" s="38"/>
      <c r="T151" s="38"/>
      <c r="U151" s="100" t="str">
        <f>SUM('Core Values Input'!$C151:$L151,'Core Values Input'!$T151)</f>
        <v>#N/A</v>
      </c>
      <c r="V151" s="80">
        <f>IF('Core Values Input'!$A151&gt;0,MIN(_xlfn.RANK.EQ('Core Values Input'!$U151,'Core Values Input'!$U$2:$U$201,0),NumberOfTeams),NumberOfTeams+1)</f>
        <v>1</v>
      </c>
      <c r="W151" s="99"/>
      <c r="X151" s="99"/>
      <c r="Y151" s="99"/>
    </row>
    <row r="152" ht="30.0" customHeight="1">
      <c r="A152" s="38" t="str">
        <f t="array" ref="A152">XLOOKUP(151,'Team and Program Information'!$B$3:$B$202,'Team and Program Information'!$C$3:$C$202,"ERROR",0)</f>
        <v/>
      </c>
      <c r="B152" s="68" t="str">
        <f t="array" ref="B152">XLOOKUP('Core Values Input'!$A152,'Team and Program Information'!$C$3:$C$202,'Team and Program Information'!$D$3:$D$202,"",0,)</f>
        <v>#VALUE!</v>
      </c>
      <c r="C152" s="97" t="str">
        <f t="array" ref="C152">XLOOKUP('Core Values Input'!$A152,'Innovation Project Input'!$A$2:$A$201,'Innovation Project Input'!$D$2:$D$201)</f>
        <v>#N/A</v>
      </c>
      <c r="D152" s="97" t="str">
        <f t="array" ref="D152">XLOOKUP('Core Values Input'!$A152,'Innovation Project Input'!$A$2:$A$201,'Innovation Project Input'!$F$2:$F$201)</f>
        <v>#N/A</v>
      </c>
      <c r="E152" s="97" t="str">
        <f t="array" ref="E152">XLOOKUP('Core Values Input'!$A152,'Innovation Project Input'!$A$2:$A$201,'Innovation Project Input'!$G$2:$G$201)</f>
        <v>#N/A</v>
      </c>
      <c r="F152" s="97" t="str">
        <f t="array" ref="F152">XLOOKUP('Core Values Input'!$A152,'Innovation Project Input'!$A$2:$A$201,'Innovation Project Input'!$K$2:$K$201)</f>
        <v>#N/A</v>
      </c>
      <c r="G152" s="97" t="str">
        <f t="array" ref="G152">XLOOKUP('Core Values Input'!$A152,'Innovation Project Input'!$A$2:$A$201,'Innovation Project Input'!$L$2:$L$201)</f>
        <v>#N/A</v>
      </c>
      <c r="H152" s="97" t="str">
        <f t="array" ref="H152">XLOOKUP('Core Values Input'!$A152,'Robot Design Input'!$A$2:$A$201,'Robot Design Input'!$D$2:$D$201)</f>
        <v/>
      </c>
      <c r="I152" s="97" t="str">
        <f t="array" ref="I152">XLOOKUP('Core Values Input'!$A152,'Robot Design Input'!$A$2:$A$201,'Robot Design Input'!$E$2:$E$201)</f>
        <v/>
      </c>
      <c r="J152" s="97" t="str">
        <f t="array" ref="J152">XLOOKUP('Core Values Input'!$A152,'Robot Design Input'!$A$2:$A$201,'Robot Design Input'!$J$2:$J$201)</f>
        <v/>
      </c>
      <c r="K152" s="97" t="str">
        <f t="array" ref="K152">XLOOKUP('Core Values Input'!$A152,'Robot Design Input'!$A$2:$A$201,'Robot Design Input'!$K$2:$K$201)</f>
        <v/>
      </c>
      <c r="L152" s="97" t="str">
        <f t="array" ref="L152">XLOOKUP('Core Values Input'!$A152,'Robot Design Input'!$A$2:$A$201,'Robot Design Input'!$L$2:$L$201)</f>
        <v/>
      </c>
      <c r="M152" s="38"/>
      <c r="N152" s="38"/>
      <c r="O152" s="38"/>
      <c r="P152" s="38"/>
      <c r="Q152" s="38"/>
      <c r="R152" s="38"/>
      <c r="S152" s="38"/>
      <c r="T152" s="38"/>
      <c r="U152" s="100" t="str">
        <f>SUM('Core Values Input'!$C152:$L152,'Core Values Input'!$T152)</f>
        <v>#N/A</v>
      </c>
      <c r="V152" s="80">
        <f>IF('Core Values Input'!$A152&gt;0,MIN(_xlfn.RANK.EQ('Core Values Input'!$U152,'Core Values Input'!$U$2:$U$201,0),NumberOfTeams),NumberOfTeams+1)</f>
        <v>1</v>
      </c>
      <c r="W152" s="99"/>
      <c r="X152" s="99"/>
      <c r="Y152" s="99"/>
    </row>
    <row r="153" ht="30.0" customHeight="1">
      <c r="A153" s="38" t="str">
        <f t="array" ref="A153">XLOOKUP(152,'Team and Program Information'!$B$3:$B$202,'Team and Program Information'!$C$3:$C$202,"ERROR",0)</f>
        <v/>
      </c>
      <c r="B153" s="68" t="str">
        <f t="array" ref="B153">XLOOKUP('Core Values Input'!$A153,'Team and Program Information'!$C$3:$C$202,'Team and Program Information'!$D$3:$D$202,"",0,)</f>
        <v>#VALUE!</v>
      </c>
      <c r="C153" s="97" t="str">
        <f t="array" ref="C153">XLOOKUP('Core Values Input'!$A153,'Innovation Project Input'!$A$2:$A$201,'Innovation Project Input'!$D$2:$D$201)</f>
        <v>#N/A</v>
      </c>
      <c r="D153" s="97" t="str">
        <f t="array" ref="D153">XLOOKUP('Core Values Input'!$A153,'Innovation Project Input'!$A$2:$A$201,'Innovation Project Input'!$F$2:$F$201)</f>
        <v>#N/A</v>
      </c>
      <c r="E153" s="97" t="str">
        <f t="array" ref="E153">XLOOKUP('Core Values Input'!$A153,'Innovation Project Input'!$A$2:$A$201,'Innovation Project Input'!$G$2:$G$201)</f>
        <v>#N/A</v>
      </c>
      <c r="F153" s="97" t="str">
        <f t="array" ref="F153">XLOOKUP('Core Values Input'!$A153,'Innovation Project Input'!$A$2:$A$201,'Innovation Project Input'!$K$2:$K$201)</f>
        <v>#N/A</v>
      </c>
      <c r="G153" s="97" t="str">
        <f t="array" ref="G153">XLOOKUP('Core Values Input'!$A153,'Innovation Project Input'!$A$2:$A$201,'Innovation Project Input'!$L$2:$L$201)</f>
        <v>#N/A</v>
      </c>
      <c r="H153" s="97" t="str">
        <f t="array" ref="H153">XLOOKUP('Core Values Input'!$A153,'Robot Design Input'!$A$2:$A$201,'Robot Design Input'!$D$2:$D$201)</f>
        <v/>
      </c>
      <c r="I153" s="97" t="str">
        <f t="array" ref="I153">XLOOKUP('Core Values Input'!$A153,'Robot Design Input'!$A$2:$A$201,'Robot Design Input'!$E$2:$E$201)</f>
        <v/>
      </c>
      <c r="J153" s="97" t="str">
        <f t="array" ref="J153">XLOOKUP('Core Values Input'!$A153,'Robot Design Input'!$A$2:$A$201,'Robot Design Input'!$J$2:$J$201)</f>
        <v/>
      </c>
      <c r="K153" s="97" t="str">
        <f t="array" ref="K153">XLOOKUP('Core Values Input'!$A153,'Robot Design Input'!$A$2:$A$201,'Robot Design Input'!$K$2:$K$201)</f>
        <v/>
      </c>
      <c r="L153" s="97" t="str">
        <f t="array" ref="L153">XLOOKUP('Core Values Input'!$A153,'Robot Design Input'!$A$2:$A$201,'Robot Design Input'!$L$2:$L$201)</f>
        <v/>
      </c>
      <c r="M153" s="38"/>
      <c r="N153" s="38"/>
      <c r="O153" s="38"/>
      <c r="P153" s="38"/>
      <c r="Q153" s="38"/>
      <c r="R153" s="38"/>
      <c r="S153" s="38"/>
      <c r="T153" s="38"/>
      <c r="U153" s="100" t="str">
        <f>SUM('Core Values Input'!$C153:$L153,'Core Values Input'!$T153)</f>
        <v>#N/A</v>
      </c>
      <c r="V153" s="80">
        <f>IF('Core Values Input'!$A153&gt;0,MIN(_xlfn.RANK.EQ('Core Values Input'!$U153,'Core Values Input'!$U$2:$U$201,0),NumberOfTeams),NumberOfTeams+1)</f>
        <v>1</v>
      </c>
      <c r="W153" s="99"/>
      <c r="X153" s="99"/>
      <c r="Y153" s="99"/>
    </row>
    <row r="154" ht="30.0" customHeight="1">
      <c r="A154" s="38" t="str">
        <f t="array" ref="A154">XLOOKUP(153,'Team and Program Information'!$B$3:$B$202,'Team and Program Information'!$C$3:$C$202,"ERROR",0)</f>
        <v/>
      </c>
      <c r="B154" s="68" t="str">
        <f t="array" ref="B154">XLOOKUP('Core Values Input'!$A154,'Team and Program Information'!$C$3:$C$202,'Team and Program Information'!$D$3:$D$202,"",0,)</f>
        <v>#VALUE!</v>
      </c>
      <c r="C154" s="97" t="str">
        <f t="array" ref="C154">XLOOKUP('Core Values Input'!$A154,'Innovation Project Input'!$A$2:$A$201,'Innovation Project Input'!$D$2:$D$201)</f>
        <v>#N/A</v>
      </c>
      <c r="D154" s="97" t="str">
        <f t="array" ref="D154">XLOOKUP('Core Values Input'!$A154,'Innovation Project Input'!$A$2:$A$201,'Innovation Project Input'!$F$2:$F$201)</f>
        <v>#N/A</v>
      </c>
      <c r="E154" s="97" t="str">
        <f t="array" ref="E154">XLOOKUP('Core Values Input'!$A154,'Innovation Project Input'!$A$2:$A$201,'Innovation Project Input'!$G$2:$G$201)</f>
        <v>#N/A</v>
      </c>
      <c r="F154" s="97" t="str">
        <f t="array" ref="F154">XLOOKUP('Core Values Input'!$A154,'Innovation Project Input'!$A$2:$A$201,'Innovation Project Input'!$K$2:$K$201)</f>
        <v>#N/A</v>
      </c>
      <c r="G154" s="97" t="str">
        <f t="array" ref="G154">XLOOKUP('Core Values Input'!$A154,'Innovation Project Input'!$A$2:$A$201,'Innovation Project Input'!$L$2:$L$201)</f>
        <v>#N/A</v>
      </c>
      <c r="H154" s="97" t="str">
        <f t="array" ref="H154">XLOOKUP('Core Values Input'!$A154,'Robot Design Input'!$A$2:$A$201,'Robot Design Input'!$D$2:$D$201)</f>
        <v/>
      </c>
      <c r="I154" s="97" t="str">
        <f t="array" ref="I154">XLOOKUP('Core Values Input'!$A154,'Robot Design Input'!$A$2:$A$201,'Robot Design Input'!$E$2:$E$201)</f>
        <v/>
      </c>
      <c r="J154" s="97" t="str">
        <f t="array" ref="J154">XLOOKUP('Core Values Input'!$A154,'Robot Design Input'!$A$2:$A$201,'Robot Design Input'!$J$2:$J$201)</f>
        <v/>
      </c>
      <c r="K154" s="97" t="str">
        <f t="array" ref="K154">XLOOKUP('Core Values Input'!$A154,'Robot Design Input'!$A$2:$A$201,'Robot Design Input'!$K$2:$K$201)</f>
        <v/>
      </c>
      <c r="L154" s="97" t="str">
        <f t="array" ref="L154">XLOOKUP('Core Values Input'!$A154,'Robot Design Input'!$A$2:$A$201,'Robot Design Input'!$L$2:$L$201)</f>
        <v/>
      </c>
      <c r="M154" s="38"/>
      <c r="N154" s="38"/>
      <c r="O154" s="38"/>
      <c r="P154" s="38"/>
      <c r="Q154" s="38"/>
      <c r="R154" s="38"/>
      <c r="S154" s="38"/>
      <c r="T154" s="38"/>
      <c r="U154" s="100" t="str">
        <f>SUM('Core Values Input'!$C154:$L154,'Core Values Input'!$T154)</f>
        <v>#N/A</v>
      </c>
      <c r="V154" s="80">
        <f>IF('Core Values Input'!$A154&gt;0,MIN(_xlfn.RANK.EQ('Core Values Input'!$U154,'Core Values Input'!$U$2:$U$201,0),NumberOfTeams),NumberOfTeams+1)</f>
        <v>1</v>
      </c>
      <c r="W154" s="99"/>
      <c r="X154" s="99"/>
      <c r="Y154" s="99"/>
    </row>
    <row r="155" ht="30.0" customHeight="1">
      <c r="A155" s="38" t="str">
        <f t="array" ref="A155">XLOOKUP(154,'Team and Program Information'!$B$3:$B$202,'Team and Program Information'!$C$3:$C$202,"ERROR",0)</f>
        <v/>
      </c>
      <c r="B155" s="68" t="str">
        <f t="array" ref="B155">XLOOKUP('Core Values Input'!$A155,'Team and Program Information'!$C$3:$C$202,'Team and Program Information'!$D$3:$D$202,"",0,)</f>
        <v>#VALUE!</v>
      </c>
      <c r="C155" s="97" t="str">
        <f t="array" ref="C155">XLOOKUP('Core Values Input'!$A155,'Innovation Project Input'!$A$2:$A$201,'Innovation Project Input'!$D$2:$D$201)</f>
        <v>#N/A</v>
      </c>
      <c r="D155" s="97" t="str">
        <f t="array" ref="D155">XLOOKUP('Core Values Input'!$A155,'Innovation Project Input'!$A$2:$A$201,'Innovation Project Input'!$F$2:$F$201)</f>
        <v>#N/A</v>
      </c>
      <c r="E155" s="97" t="str">
        <f t="array" ref="E155">XLOOKUP('Core Values Input'!$A155,'Innovation Project Input'!$A$2:$A$201,'Innovation Project Input'!$G$2:$G$201)</f>
        <v>#N/A</v>
      </c>
      <c r="F155" s="97" t="str">
        <f t="array" ref="F155">XLOOKUP('Core Values Input'!$A155,'Innovation Project Input'!$A$2:$A$201,'Innovation Project Input'!$K$2:$K$201)</f>
        <v>#N/A</v>
      </c>
      <c r="G155" s="97" t="str">
        <f t="array" ref="G155">XLOOKUP('Core Values Input'!$A155,'Innovation Project Input'!$A$2:$A$201,'Innovation Project Input'!$L$2:$L$201)</f>
        <v>#N/A</v>
      </c>
      <c r="H155" s="97" t="str">
        <f t="array" ref="H155">XLOOKUP('Core Values Input'!$A155,'Robot Design Input'!$A$2:$A$201,'Robot Design Input'!$D$2:$D$201)</f>
        <v/>
      </c>
      <c r="I155" s="97" t="str">
        <f t="array" ref="I155">XLOOKUP('Core Values Input'!$A155,'Robot Design Input'!$A$2:$A$201,'Robot Design Input'!$E$2:$E$201)</f>
        <v/>
      </c>
      <c r="J155" s="97" t="str">
        <f t="array" ref="J155">XLOOKUP('Core Values Input'!$A155,'Robot Design Input'!$A$2:$A$201,'Robot Design Input'!$J$2:$J$201)</f>
        <v/>
      </c>
      <c r="K155" s="97" t="str">
        <f t="array" ref="K155">XLOOKUP('Core Values Input'!$A155,'Robot Design Input'!$A$2:$A$201,'Robot Design Input'!$K$2:$K$201)</f>
        <v/>
      </c>
      <c r="L155" s="97" t="str">
        <f t="array" ref="L155">XLOOKUP('Core Values Input'!$A155,'Robot Design Input'!$A$2:$A$201,'Robot Design Input'!$L$2:$L$201)</f>
        <v/>
      </c>
      <c r="M155" s="38"/>
      <c r="N155" s="38"/>
      <c r="O155" s="38"/>
      <c r="P155" s="38"/>
      <c r="Q155" s="38"/>
      <c r="R155" s="38"/>
      <c r="S155" s="38"/>
      <c r="T155" s="38"/>
      <c r="U155" s="100" t="str">
        <f>SUM('Core Values Input'!$C155:$L155,'Core Values Input'!$T155)</f>
        <v>#N/A</v>
      </c>
      <c r="V155" s="80">
        <f>IF('Core Values Input'!$A155&gt;0,MIN(_xlfn.RANK.EQ('Core Values Input'!$U155,'Core Values Input'!$U$2:$U$201,0),NumberOfTeams),NumberOfTeams+1)</f>
        <v>1</v>
      </c>
      <c r="W155" s="99"/>
      <c r="X155" s="99"/>
      <c r="Y155" s="99"/>
    </row>
    <row r="156" ht="30.0" customHeight="1">
      <c r="A156" s="38" t="str">
        <f t="array" ref="A156">XLOOKUP(155,'Team and Program Information'!$B$3:$B$202,'Team and Program Information'!$C$3:$C$202,"ERROR",0)</f>
        <v/>
      </c>
      <c r="B156" s="68" t="str">
        <f t="array" ref="B156">XLOOKUP('Core Values Input'!$A156,'Team and Program Information'!$C$3:$C$202,'Team and Program Information'!$D$3:$D$202,"",0,)</f>
        <v>#VALUE!</v>
      </c>
      <c r="C156" s="97" t="str">
        <f t="array" ref="C156">XLOOKUP('Core Values Input'!$A156,'Innovation Project Input'!$A$2:$A$201,'Innovation Project Input'!$D$2:$D$201)</f>
        <v>#N/A</v>
      </c>
      <c r="D156" s="97" t="str">
        <f t="array" ref="D156">XLOOKUP('Core Values Input'!$A156,'Innovation Project Input'!$A$2:$A$201,'Innovation Project Input'!$F$2:$F$201)</f>
        <v>#N/A</v>
      </c>
      <c r="E156" s="97" t="str">
        <f t="array" ref="E156">XLOOKUP('Core Values Input'!$A156,'Innovation Project Input'!$A$2:$A$201,'Innovation Project Input'!$G$2:$G$201)</f>
        <v>#N/A</v>
      </c>
      <c r="F156" s="97" t="str">
        <f t="array" ref="F156">XLOOKUP('Core Values Input'!$A156,'Innovation Project Input'!$A$2:$A$201,'Innovation Project Input'!$K$2:$K$201)</f>
        <v>#N/A</v>
      </c>
      <c r="G156" s="97" t="str">
        <f t="array" ref="G156">XLOOKUP('Core Values Input'!$A156,'Innovation Project Input'!$A$2:$A$201,'Innovation Project Input'!$L$2:$L$201)</f>
        <v>#N/A</v>
      </c>
      <c r="H156" s="97" t="str">
        <f t="array" ref="H156">XLOOKUP('Core Values Input'!$A156,'Robot Design Input'!$A$2:$A$201,'Robot Design Input'!$D$2:$D$201)</f>
        <v/>
      </c>
      <c r="I156" s="97" t="str">
        <f t="array" ref="I156">XLOOKUP('Core Values Input'!$A156,'Robot Design Input'!$A$2:$A$201,'Robot Design Input'!$E$2:$E$201)</f>
        <v/>
      </c>
      <c r="J156" s="97" t="str">
        <f t="array" ref="J156">XLOOKUP('Core Values Input'!$A156,'Robot Design Input'!$A$2:$A$201,'Robot Design Input'!$J$2:$J$201)</f>
        <v/>
      </c>
      <c r="K156" s="97" t="str">
        <f t="array" ref="K156">XLOOKUP('Core Values Input'!$A156,'Robot Design Input'!$A$2:$A$201,'Robot Design Input'!$K$2:$K$201)</f>
        <v/>
      </c>
      <c r="L156" s="97" t="str">
        <f t="array" ref="L156">XLOOKUP('Core Values Input'!$A156,'Robot Design Input'!$A$2:$A$201,'Robot Design Input'!$L$2:$L$201)</f>
        <v/>
      </c>
      <c r="M156" s="38"/>
      <c r="N156" s="38"/>
      <c r="O156" s="38"/>
      <c r="P156" s="38"/>
      <c r="Q156" s="38"/>
      <c r="R156" s="38"/>
      <c r="S156" s="38"/>
      <c r="T156" s="38"/>
      <c r="U156" s="100" t="str">
        <f>SUM('Core Values Input'!$C156:$L156,'Core Values Input'!$T156)</f>
        <v>#N/A</v>
      </c>
      <c r="V156" s="80">
        <f>IF('Core Values Input'!$A156&gt;0,MIN(_xlfn.RANK.EQ('Core Values Input'!$U156,'Core Values Input'!$U$2:$U$201,0),NumberOfTeams),NumberOfTeams+1)</f>
        <v>1</v>
      </c>
      <c r="W156" s="99"/>
      <c r="X156" s="99"/>
      <c r="Y156" s="99"/>
    </row>
    <row r="157" ht="30.0" customHeight="1">
      <c r="A157" s="38" t="str">
        <f t="array" ref="A157">XLOOKUP(156,'Team and Program Information'!$B$3:$B$202,'Team and Program Information'!$C$3:$C$202,"ERROR",0)</f>
        <v/>
      </c>
      <c r="B157" s="68" t="str">
        <f t="array" ref="B157">XLOOKUP('Core Values Input'!$A157,'Team and Program Information'!$C$3:$C$202,'Team and Program Information'!$D$3:$D$202,"",0,)</f>
        <v>#VALUE!</v>
      </c>
      <c r="C157" s="97" t="str">
        <f t="array" ref="C157">XLOOKUP('Core Values Input'!$A157,'Innovation Project Input'!$A$2:$A$201,'Innovation Project Input'!$D$2:$D$201)</f>
        <v>#N/A</v>
      </c>
      <c r="D157" s="97" t="str">
        <f t="array" ref="D157">XLOOKUP('Core Values Input'!$A157,'Innovation Project Input'!$A$2:$A$201,'Innovation Project Input'!$F$2:$F$201)</f>
        <v>#N/A</v>
      </c>
      <c r="E157" s="97" t="str">
        <f t="array" ref="E157">XLOOKUP('Core Values Input'!$A157,'Innovation Project Input'!$A$2:$A$201,'Innovation Project Input'!$G$2:$G$201)</f>
        <v>#N/A</v>
      </c>
      <c r="F157" s="97" t="str">
        <f t="array" ref="F157">XLOOKUP('Core Values Input'!$A157,'Innovation Project Input'!$A$2:$A$201,'Innovation Project Input'!$K$2:$K$201)</f>
        <v>#N/A</v>
      </c>
      <c r="G157" s="97" t="str">
        <f t="array" ref="G157">XLOOKUP('Core Values Input'!$A157,'Innovation Project Input'!$A$2:$A$201,'Innovation Project Input'!$L$2:$L$201)</f>
        <v>#N/A</v>
      </c>
      <c r="H157" s="97" t="str">
        <f t="array" ref="H157">XLOOKUP('Core Values Input'!$A157,'Robot Design Input'!$A$2:$A$201,'Robot Design Input'!$D$2:$D$201)</f>
        <v/>
      </c>
      <c r="I157" s="97" t="str">
        <f t="array" ref="I157">XLOOKUP('Core Values Input'!$A157,'Robot Design Input'!$A$2:$A$201,'Robot Design Input'!$E$2:$E$201)</f>
        <v/>
      </c>
      <c r="J157" s="97" t="str">
        <f t="array" ref="J157">XLOOKUP('Core Values Input'!$A157,'Robot Design Input'!$A$2:$A$201,'Robot Design Input'!$J$2:$J$201)</f>
        <v/>
      </c>
      <c r="K157" s="97" t="str">
        <f t="array" ref="K157">XLOOKUP('Core Values Input'!$A157,'Robot Design Input'!$A$2:$A$201,'Robot Design Input'!$K$2:$K$201)</f>
        <v/>
      </c>
      <c r="L157" s="97" t="str">
        <f t="array" ref="L157">XLOOKUP('Core Values Input'!$A157,'Robot Design Input'!$A$2:$A$201,'Robot Design Input'!$L$2:$L$201)</f>
        <v/>
      </c>
      <c r="M157" s="38"/>
      <c r="N157" s="38"/>
      <c r="O157" s="38"/>
      <c r="P157" s="38"/>
      <c r="Q157" s="38"/>
      <c r="R157" s="38"/>
      <c r="S157" s="38"/>
      <c r="T157" s="38"/>
      <c r="U157" s="100" t="str">
        <f>SUM('Core Values Input'!$C157:$L157,'Core Values Input'!$T157)</f>
        <v>#N/A</v>
      </c>
      <c r="V157" s="80">
        <f>IF('Core Values Input'!$A157&gt;0,MIN(_xlfn.RANK.EQ('Core Values Input'!$U157,'Core Values Input'!$U$2:$U$201,0),NumberOfTeams),NumberOfTeams+1)</f>
        <v>1</v>
      </c>
      <c r="W157" s="99"/>
      <c r="X157" s="99"/>
      <c r="Y157" s="99"/>
    </row>
    <row r="158" ht="30.0" customHeight="1">
      <c r="A158" s="38" t="str">
        <f t="array" ref="A158">XLOOKUP(157,'Team and Program Information'!$B$3:$B$202,'Team and Program Information'!$C$3:$C$202,"ERROR",0)</f>
        <v/>
      </c>
      <c r="B158" s="68" t="str">
        <f t="array" ref="B158">XLOOKUP('Core Values Input'!$A158,'Team and Program Information'!$C$3:$C$202,'Team and Program Information'!$D$3:$D$202,"",0,)</f>
        <v>#VALUE!</v>
      </c>
      <c r="C158" s="97" t="str">
        <f t="array" ref="C158">XLOOKUP('Core Values Input'!$A158,'Innovation Project Input'!$A$2:$A$201,'Innovation Project Input'!$D$2:$D$201)</f>
        <v>#N/A</v>
      </c>
      <c r="D158" s="97" t="str">
        <f t="array" ref="D158">XLOOKUP('Core Values Input'!$A158,'Innovation Project Input'!$A$2:$A$201,'Innovation Project Input'!$F$2:$F$201)</f>
        <v>#N/A</v>
      </c>
      <c r="E158" s="97" t="str">
        <f t="array" ref="E158">XLOOKUP('Core Values Input'!$A158,'Innovation Project Input'!$A$2:$A$201,'Innovation Project Input'!$G$2:$G$201)</f>
        <v>#N/A</v>
      </c>
      <c r="F158" s="97" t="str">
        <f t="array" ref="F158">XLOOKUP('Core Values Input'!$A158,'Innovation Project Input'!$A$2:$A$201,'Innovation Project Input'!$K$2:$K$201)</f>
        <v>#N/A</v>
      </c>
      <c r="G158" s="97" t="str">
        <f t="array" ref="G158">XLOOKUP('Core Values Input'!$A158,'Innovation Project Input'!$A$2:$A$201,'Innovation Project Input'!$L$2:$L$201)</f>
        <v>#N/A</v>
      </c>
      <c r="H158" s="97" t="str">
        <f t="array" ref="H158">XLOOKUP('Core Values Input'!$A158,'Robot Design Input'!$A$2:$A$201,'Robot Design Input'!$D$2:$D$201)</f>
        <v/>
      </c>
      <c r="I158" s="97" t="str">
        <f t="array" ref="I158">XLOOKUP('Core Values Input'!$A158,'Robot Design Input'!$A$2:$A$201,'Robot Design Input'!$E$2:$E$201)</f>
        <v/>
      </c>
      <c r="J158" s="97" t="str">
        <f t="array" ref="J158">XLOOKUP('Core Values Input'!$A158,'Robot Design Input'!$A$2:$A$201,'Robot Design Input'!$J$2:$J$201)</f>
        <v/>
      </c>
      <c r="K158" s="97" t="str">
        <f t="array" ref="K158">XLOOKUP('Core Values Input'!$A158,'Robot Design Input'!$A$2:$A$201,'Robot Design Input'!$K$2:$K$201)</f>
        <v/>
      </c>
      <c r="L158" s="97" t="str">
        <f t="array" ref="L158">XLOOKUP('Core Values Input'!$A158,'Robot Design Input'!$A$2:$A$201,'Robot Design Input'!$L$2:$L$201)</f>
        <v/>
      </c>
      <c r="M158" s="38"/>
      <c r="N158" s="38"/>
      <c r="O158" s="38"/>
      <c r="P158" s="38"/>
      <c r="Q158" s="38"/>
      <c r="R158" s="38"/>
      <c r="S158" s="38"/>
      <c r="T158" s="38"/>
      <c r="U158" s="100" t="str">
        <f>SUM('Core Values Input'!$C158:$L158,'Core Values Input'!$T158)</f>
        <v>#N/A</v>
      </c>
      <c r="V158" s="80">
        <f>IF('Core Values Input'!$A158&gt;0,MIN(_xlfn.RANK.EQ('Core Values Input'!$U158,'Core Values Input'!$U$2:$U$201,0),NumberOfTeams),NumberOfTeams+1)</f>
        <v>1</v>
      </c>
      <c r="W158" s="99"/>
      <c r="X158" s="99"/>
      <c r="Y158" s="99"/>
    </row>
    <row r="159" ht="30.0" customHeight="1">
      <c r="A159" s="38" t="str">
        <f t="array" ref="A159">XLOOKUP(158,'Team and Program Information'!$B$3:$B$202,'Team and Program Information'!$C$3:$C$202,"ERROR",0)</f>
        <v/>
      </c>
      <c r="B159" s="68" t="str">
        <f t="array" ref="B159">XLOOKUP('Core Values Input'!$A159,'Team and Program Information'!$C$3:$C$202,'Team and Program Information'!$D$3:$D$202,"",0,)</f>
        <v>#VALUE!</v>
      </c>
      <c r="C159" s="97" t="str">
        <f t="array" ref="C159">XLOOKUP('Core Values Input'!$A159,'Innovation Project Input'!$A$2:$A$201,'Innovation Project Input'!$D$2:$D$201)</f>
        <v>#N/A</v>
      </c>
      <c r="D159" s="97" t="str">
        <f t="array" ref="D159">XLOOKUP('Core Values Input'!$A159,'Innovation Project Input'!$A$2:$A$201,'Innovation Project Input'!$F$2:$F$201)</f>
        <v>#N/A</v>
      </c>
      <c r="E159" s="97" t="str">
        <f t="array" ref="E159">XLOOKUP('Core Values Input'!$A159,'Innovation Project Input'!$A$2:$A$201,'Innovation Project Input'!$G$2:$G$201)</f>
        <v>#N/A</v>
      </c>
      <c r="F159" s="97" t="str">
        <f t="array" ref="F159">XLOOKUP('Core Values Input'!$A159,'Innovation Project Input'!$A$2:$A$201,'Innovation Project Input'!$K$2:$K$201)</f>
        <v>#N/A</v>
      </c>
      <c r="G159" s="97" t="str">
        <f t="array" ref="G159">XLOOKUP('Core Values Input'!$A159,'Innovation Project Input'!$A$2:$A$201,'Innovation Project Input'!$L$2:$L$201)</f>
        <v>#N/A</v>
      </c>
      <c r="H159" s="97" t="str">
        <f t="array" ref="H159">XLOOKUP('Core Values Input'!$A159,'Robot Design Input'!$A$2:$A$201,'Robot Design Input'!$D$2:$D$201)</f>
        <v/>
      </c>
      <c r="I159" s="97" t="str">
        <f t="array" ref="I159">XLOOKUP('Core Values Input'!$A159,'Robot Design Input'!$A$2:$A$201,'Robot Design Input'!$E$2:$E$201)</f>
        <v/>
      </c>
      <c r="J159" s="97" t="str">
        <f t="array" ref="J159">XLOOKUP('Core Values Input'!$A159,'Robot Design Input'!$A$2:$A$201,'Robot Design Input'!$J$2:$J$201)</f>
        <v/>
      </c>
      <c r="K159" s="97" t="str">
        <f t="array" ref="K159">XLOOKUP('Core Values Input'!$A159,'Robot Design Input'!$A$2:$A$201,'Robot Design Input'!$K$2:$K$201)</f>
        <v/>
      </c>
      <c r="L159" s="97" t="str">
        <f t="array" ref="L159">XLOOKUP('Core Values Input'!$A159,'Robot Design Input'!$A$2:$A$201,'Robot Design Input'!$L$2:$L$201)</f>
        <v/>
      </c>
      <c r="M159" s="38"/>
      <c r="N159" s="38"/>
      <c r="O159" s="38"/>
      <c r="P159" s="38"/>
      <c r="Q159" s="38"/>
      <c r="R159" s="38"/>
      <c r="S159" s="38"/>
      <c r="T159" s="38"/>
      <c r="U159" s="100" t="str">
        <f>SUM('Core Values Input'!$C159:$L159,'Core Values Input'!$T159)</f>
        <v>#N/A</v>
      </c>
      <c r="V159" s="80">
        <f>IF('Core Values Input'!$A159&gt;0,MIN(_xlfn.RANK.EQ('Core Values Input'!$U159,'Core Values Input'!$U$2:$U$201,0),NumberOfTeams),NumberOfTeams+1)</f>
        <v>1</v>
      </c>
      <c r="W159" s="99"/>
      <c r="X159" s="99"/>
      <c r="Y159" s="99"/>
    </row>
    <row r="160" ht="30.0" customHeight="1">
      <c r="A160" s="38" t="str">
        <f t="array" ref="A160">XLOOKUP(159,'Team and Program Information'!$B$3:$B$202,'Team and Program Information'!$C$3:$C$202,"ERROR",0)</f>
        <v/>
      </c>
      <c r="B160" s="68" t="str">
        <f t="array" ref="B160">XLOOKUP('Core Values Input'!$A160,'Team and Program Information'!$C$3:$C$202,'Team and Program Information'!$D$3:$D$202,"",0,)</f>
        <v>#VALUE!</v>
      </c>
      <c r="C160" s="97" t="str">
        <f t="array" ref="C160">XLOOKUP('Core Values Input'!$A160,'Innovation Project Input'!$A$2:$A$201,'Innovation Project Input'!$D$2:$D$201)</f>
        <v>#N/A</v>
      </c>
      <c r="D160" s="97" t="str">
        <f t="array" ref="D160">XLOOKUP('Core Values Input'!$A160,'Innovation Project Input'!$A$2:$A$201,'Innovation Project Input'!$F$2:$F$201)</f>
        <v>#N/A</v>
      </c>
      <c r="E160" s="97" t="str">
        <f t="array" ref="E160">XLOOKUP('Core Values Input'!$A160,'Innovation Project Input'!$A$2:$A$201,'Innovation Project Input'!$G$2:$G$201)</f>
        <v>#N/A</v>
      </c>
      <c r="F160" s="97" t="str">
        <f t="array" ref="F160">XLOOKUP('Core Values Input'!$A160,'Innovation Project Input'!$A$2:$A$201,'Innovation Project Input'!$K$2:$K$201)</f>
        <v>#N/A</v>
      </c>
      <c r="G160" s="97" t="str">
        <f t="array" ref="G160">XLOOKUP('Core Values Input'!$A160,'Innovation Project Input'!$A$2:$A$201,'Innovation Project Input'!$L$2:$L$201)</f>
        <v>#N/A</v>
      </c>
      <c r="H160" s="97" t="str">
        <f t="array" ref="H160">XLOOKUP('Core Values Input'!$A160,'Robot Design Input'!$A$2:$A$201,'Robot Design Input'!$D$2:$D$201)</f>
        <v/>
      </c>
      <c r="I160" s="97" t="str">
        <f t="array" ref="I160">XLOOKUP('Core Values Input'!$A160,'Robot Design Input'!$A$2:$A$201,'Robot Design Input'!$E$2:$E$201)</f>
        <v/>
      </c>
      <c r="J160" s="97" t="str">
        <f t="array" ref="J160">XLOOKUP('Core Values Input'!$A160,'Robot Design Input'!$A$2:$A$201,'Robot Design Input'!$J$2:$J$201)</f>
        <v/>
      </c>
      <c r="K160" s="97" t="str">
        <f t="array" ref="K160">XLOOKUP('Core Values Input'!$A160,'Robot Design Input'!$A$2:$A$201,'Robot Design Input'!$K$2:$K$201)</f>
        <v/>
      </c>
      <c r="L160" s="97" t="str">
        <f t="array" ref="L160">XLOOKUP('Core Values Input'!$A160,'Robot Design Input'!$A$2:$A$201,'Robot Design Input'!$L$2:$L$201)</f>
        <v/>
      </c>
      <c r="M160" s="38"/>
      <c r="N160" s="38"/>
      <c r="O160" s="38"/>
      <c r="P160" s="38"/>
      <c r="Q160" s="38"/>
      <c r="R160" s="38"/>
      <c r="S160" s="38"/>
      <c r="T160" s="38"/>
      <c r="U160" s="100" t="str">
        <f>SUM('Core Values Input'!$C160:$L160,'Core Values Input'!$T160)</f>
        <v>#N/A</v>
      </c>
      <c r="V160" s="80">
        <f>IF('Core Values Input'!$A160&gt;0,MIN(_xlfn.RANK.EQ('Core Values Input'!$U160,'Core Values Input'!$U$2:$U$201,0),NumberOfTeams),NumberOfTeams+1)</f>
        <v>1</v>
      </c>
      <c r="W160" s="99"/>
      <c r="X160" s="99"/>
      <c r="Y160" s="99"/>
    </row>
    <row r="161" ht="30.0" customHeight="1">
      <c r="A161" s="38" t="str">
        <f t="array" ref="A161">XLOOKUP(160,'Team and Program Information'!$B$3:$B$202,'Team and Program Information'!$C$3:$C$202,"ERROR",0)</f>
        <v/>
      </c>
      <c r="B161" s="68" t="str">
        <f t="array" ref="B161">XLOOKUP('Core Values Input'!$A161,'Team and Program Information'!$C$3:$C$202,'Team and Program Information'!$D$3:$D$202,"",0,)</f>
        <v>#VALUE!</v>
      </c>
      <c r="C161" s="97" t="str">
        <f t="array" ref="C161">XLOOKUP('Core Values Input'!$A161,'Innovation Project Input'!$A$2:$A$201,'Innovation Project Input'!$D$2:$D$201)</f>
        <v>#N/A</v>
      </c>
      <c r="D161" s="97" t="str">
        <f t="array" ref="D161">XLOOKUP('Core Values Input'!$A161,'Innovation Project Input'!$A$2:$A$201,'Innovation Project Input'!$F$2:$F$201)</f>
        <v>#N/A</v>
      </c>
      <c r="E161" s="97" t="str">
        <f t="array" ref="E161">XLOOKUP('Core Values Input'!$A161,'Innovation Project Input'!$A$2:$A$201,'Innovation Project Input'!$G$2:$G$201)</f>
        <v>#N/A</v>
      </c>
      <c r="F161" s="97" t="str">
        <f t="array" ref="F161">XLOOKUP('Core Values Input'!$A161,'Innovation Project Input'!$A$2:$A$201,'Innovation Project Input'!$K$2:$K$201)</f>
        <v>#N/A</v>
      </c>
      <c r="G161" s="97" t="str">
        <f t="array" ref="G161">XLOOKUP('Core Values Input'!$A161,'Innovation Project Input'!$A$2:$A$201,'Innovation Project Input'!$L$2:$L$201)</f>
        <v>#N/A</v>
      </c>
      <c r="H161" s="97" t="str">
        <f t="array" ref="H161">XLOOKUP('Core Values Input'!$A161,'Robot Design Input'!$A$2:$A$201,'Robot Design Input'!$D$2:$D$201)</f>
        <v/>
      </c>
      <c r="I161" s="97" t="str">
        <f t="array" ref="I161">XLOOKUP('Core Values Input'!$A161,'Robot Design Input'!$A$2:$A$201,'Robot Design Input'!$E$2:$E$201)</f>
        <v/>
      </c>
      <c r="J161" s="97" t="str">
        <f t="array" ref="J161">XLOOKUP('Core Values Input'!$A161,'Robot Design Input'!$A$2:$A$201,'Robot Design Input'!$J$2:$J$201)</f>
        <v/>
      </c>
      <c r="K161" s="97" t="str">
        <f t="array" ref="K161">XLOOKUP('Core Values Input'!$A161,'Robot Design Input'!$A$2:$A$201,'Robot Design Input'!$K$2:$K$201)</f>
        <v/>
      </c>
      <c r="L161" s="97" t="str">
        <f t="array" ref="L161">XLOOKUP('Core Values Input'!$A161,'Robot Design Input'!$A$2:$A$201,'Robot Design Input'!$L$2:$L$201)</f>
        <v/>
      </c>
      <c r="M161" s="38"/>
      <c r="N161" s="38"/>
      <c r="O161" s="38"/>
      <c r="P161" s="38"/>
      <c r="Q161" s="38"/>
      <c r="R161" s="38"/>
      <c r="S161" s="38"/>
      <c r="T161" s="38"/>
      <c r="U161" s="100" t="str">
        <f>SUM('Core Values Input'!$C161:$L161,'Core Values Input'!$T161)</f>
        <v>#N/A</v>
      </c>
      <c r="V161" s="80">
        <f>IF('Core Values Input'!$A161&gt;0,MIN(_xlfn.RANK.EQ('Core Values Input'!$U161,'Core Values Input'!$U$2:$U$201,0),NumberOfTeams),NumberOfTeams+1)</f>
        <v>1</v>
      </c>
      <c r="W161" s="99"/>
      <c r="X161" s="99"/>
      <c r="Y161" s="99"/>
    </row>
    <row r="162" ht="30.0" customHeight="1">
      <c r="A162" s="38" t="str">
        <f t="array" ref="A162">XLOOKUP(161,'Team and Program Information'!$B$3:$B$202,'Team and Program Information'!$C$3:$C$202,"ERROR",0)</f>
        <v/>
      </c>
      <c r="B162" s="68" t="str">
        <f t="array" ref="B162">XLOOKUP('Core Values Input'!$A162,'Team and Program Information'!$C$3:$C$202,'Team and Program Information'!$D$3:$D$202,"",0,)</f>
        <v>#VALUE!</v>
      </c>
      <c r="C162" s="97" t="str">
        <f t="array" ref="C162">XLOOKUP('Core Values Input'!$A162,'Innovation Project Input'!$A$2:$A$201,'Innovation Project Input'!$D$2:$D$201)</f>
        <v>#N/A</v>
      </c>
      <c r="D162" s="97" t="str">
        <f t="array" ref="D162">XLOOKUP('Core Values Input'!$A162,'Innovation Project Input'!$A$2:$A$201,'Innovation Project Input'!$F$2:$F$201)</f>
        <v>#N/A</v>
      </c>
      <c r="E162" s="97" t="str">
        <f t="array" ref="E162">XLOOKUP('Core Values Input'!$A162,'Innovation Project Input'!$A$2:$A$201,'Innovation Project Input'!$G$2:$G$201)</f>
        <v>#N/A</v>
      </c>
      <c r="F162" s="97" t="str">
        <f t="array" ref="F162">XLOOKUP('Core Values Input'!$A162,'Innovation Project Input'!$A$2:$A$201,'Innovation Project Input'!$K$2:$K$201)</f>
        <v>#N/A</v>
      </c>
      <c r="G162" s="97" t="str">
        <f t="array" ref="G162">XLOOKUP('Core Values Input'!$A162,'Innovation Project Input'!$A$2:$A$201,'Innovation Project Input'!$L$2:$L$201)</f>
        <v>#N/A</v>
      </c>
      <c r="H162" s="97" t="str">
        <f t="array" ref="H162">XLOOKUP('Core Values Input'!$A162,'Robot Design Input'!$A$2:$A$201,'Robot Design Input'!$D$2:$D$201)</f>
        <v/>
      </c>
      <c r="I162" s="97" t="str">
        <f t="array" ref="I162">XLOOKUP('Core Values Input'!$A162,'Robot Design Input'!$A$2:$A$201,'Robot Design Input'!$E$2:$E$201)</f>
        <v/>
      </c>
      <c r="J162" s="97" t="str">
        <f t="array" ref="J162">XLOOKUP('Core Values Input'!$A162,'Robot Design Input'!$A$2:$A$201,'Robot Design Input'!$J$2:$J$201)</f>
        <v/>
      </c>
      <c r="K162" s="97" t="str">
        <f t="array" ref="K162">XLOOKUP('Core Values Input'!$A162,'Robot Design Input'!$A$2:$A$201,'Robot Design Input'!$K$2:$K$201)</f>
        <v/>
      </c>
      <c r="L162" s="97" t="str">
        <f t="array" ref="L162">XLOOKUP('Core Values Input'!$A162,'Robot Design Input'!$A$2:$A$201,'Robot Design Input'!$L$2:$L$201)</f>
        <v/>
      </c>
      <c r="M162" s="38"/>
      <c r="N162" s="38"/>
      <c r="O162" s="38"/>
      <c r="P162" s="38"/>
      <c r="Q162" s="38"/>
      <c r="R162" s="38" t="str">
        <f>IF('Core Values Input'!$M162="","",COUNTIF('Core Values Input'!$M162:$Q162,""))</f>
        <v/>
      </c>
      <c r="S162" s="38" t="str">
        <f>IF('Core Values Input'!$M162="","",SUM('Core Values Input'!$M162:$Q162))</f>
        <v/>
      </c>
      <c r="T162" s="38" t="str">
        <f>IF('Core Values Input'!$R162=3,SUM('Core Values Input'!$M162:$Q162),IF('Core Values Input'!$R162=4,SUM('Core Values Input'!$M162:$Q162),IF('Core Values Input'!$R162=2,'Core Values Input'!$S162,IF('Core Values Input'!$R162=1,'Core Values Input'!$S162*0.75,IF('Core Values Input'!$R162=0,'Core Values Input'!$S162*0.6,"")))))</f>
        <v/>
      </c>
      <c r="U162" s="100" t="str">
        <f>SUM('Core Values Input'!$C162:$L162,'Core Values Input'!$T162)</f>
        <v>#N/A</v>
      </c>
      <c r="V162" s="80">
        <f>IF('Core Values Input'!$A162&gt;0,MIN(_xlfn.RANK.EQ('Core Values Input'!$U162,'Core Values Input'!$U$2:$U$201,0),NumberOfTeams),NumberOfTeams+1)</f>
        <v>1</v>
      </c>
      <c r="W162" s="99"/>
      <c r="X162" s="99"/>
      <c r="Y162" s="99"/>
    </row>
    <row r="163" ht="30.0" customHeight="1">
      <c r="A163" s="38" t="str">
        <f t="array" ref="A163">XLOOKUP(162,'Team and Program Information'!$B$3:$B$202,'Team and Program Information'!$C$3:$C$202,"ERROR",0)</f>
        <v/>
      </c>
      <c r="B163" s="68" t="str">
        <f t="array" ref="B163">XLOOKUP('Core Values Input'!$A163,'Team and Program Information'!$C$3:$C$202,'Team and Program Information'!$D$3:$D$202,"",0,)</f>
        <v>#VALUE!</v>
      </c>
      <c r="C163" s="97" t="str">
        <f t="array" ref="C163">XLOOKUP('Core Values Input'!$A163,'Innovation Project Input'!$A$2:$A$201,'Innovation Project Input'!$D$2:$D$201)</f>
        <v>#N/A</v>
      </c>
      <c r="D163" s="97" t="str">
        <f t="array" ref="D163">XLOOKUP('Core Values Input'!$A163,'Innovation Project Input'!$A$2:$A$201,'Innovation Project Input'!$F$2:$F$201)</f>
        <v>#N/A</v>
      </c>
      <c r="E163" s="97" t="str">
        <f t="array" ref="E163">XLOOKUP('Core Values Input'!$A163,'Innovation Project Input'!$A$2:$A$201,'Innovation Project Input'!$G$2:$G$201)</f>
        <v>#N/A</v>
      </c>
      <c r="F163" s="97" t="str">
        <f t="array" ref="F163">XLOOKUP('Core Values Input'!$A163,'Innovation Project Input'!$A$2:$A$201,'Innovation Project Input'!$K$2:$K$201)</f>
        <v>#N/A</v>
      </c>
      <c r="G163" s="97" t="str">
        <f t="array" ref="G163">XLOOKUP('Core Values Input'!$A163,'Innovation Project Input'!$A$2:$A$201,'Innovation Project Input'!$L$2:$L$201)</f>
        <v>#N/A</v>
      </c>
      <c r="H163" s="97" t="str">
        <f t="array" ref="H163">XLOOKUP('Core Values Input'!$A163,'Robot Design Input'!$A$2:$A$201,'Robot Design Input'!$D$2:$D$201)</f>
        <v/>
      </c>
      <c r="I163" s="97" t="str">
        <f t="array" ref="I163">XLOOKUP('Core Values Input'!$A163,'Robot Design Input'!$A$2:$A$201,'Robot Design Input'!$E$2:$E$201)</f>
        <v/>
      </c>
      <c r="J163" s="97" t="str">
        <f t="array" ref="J163">XLOOKUP('Core Values Input'!$A163,'Robot Design Input'!$A$2:$A$201,'Robot Design Input'!$J$2:$J$201)</f>
        <v/>
      </c>
      <c r="K163" s="97" t="str">
        <f t="array" ref="K163">XLOOKUP('Core Values Input'!$A163,'Robot Design Input'!$A$2:$A$201,'Robot Design Input'!$K$2:$K$201)</f>
        <v/>
      </c>
      <c r="L163" s="97" t="str">
        <f t="array" ref="L163">XLOOKUP('Core Values Input'!$A163,'Robot Design Input'!$A$2:$A$201,'Robot Design Input'!$L$2:$L$201)</f>
        <v/>
      </c>
      <c r="M163" s="38"/>
      <c r="N163" s="38"/>
      <c r="O163" s="38"/>
      <c r="P163" s="38"/>
      <c r="Q163" s="38"/>
      <c r="R163" s="38" t="str">
        <f>IF('Core Values Input'!$M163="","",COUNTIF('Core Values Input'!$M163:$Q163,""))</f>
        <v/>
      </c>
      <c r="S163" s="38" t="str">
        <f>IF('Core Values Input'!$M163="","",SUM('Core Values Input'!$M163:$Q163))</f>
        <v/>
      </c>
      <c r="T163" s="38" t="str">
        <f>IF('Core Values Input'!$R163=3,SUM('Core Values Input'!$M163:$Q163),IF('Core Values Input'!$R163=4,SUM('Core Values Input'!$M163:$Q163),IF('Core Values Input'!$R163=2,'Core Values Input'!$S163,IF('Core Values Input'!$R163=1,'Core Values Input'!$S163*0.75,IF('Core Values Input'!$R163=0,'Core Values Input'!$S163*0.6,"")))))</f>
        <v/>
      </c>
      <c r="U163" s="100" t="str">
        <f>SUM('Core Values Input'!$C163:$L163,'Core Values Input'!$T163)</f>
        <v>#N/A</v>
      </c>
      <c r="V163" s="80">
        <f>IF('Core Values Input'!$A163&gt;0,MIN(_xlfn.RANK.EQ('Core Values Input'!$U163,'Core Values Input'!$U$2:$U$201,0),NumberOfTeams),NumberOfTeams+1)</f>
        <v>1</v>
      </c>
      <c r="W163" s="99"/>
      <c r="X163" s="99"/>
      <c r="Y163" s="99"/>
    </row>
    <row r="164" ht="30.0" customHeight="1">
      <c r="A164" s="38" t="str">
        <f t="array" ref="A164">XLOOKUP(163,'Team and Program Information'!$B$3:$B$202,'Team and Program Information'!$C$3:$C$202,"ERROR",0)</f>
        <v/>
      </c>
      <c r="B164" s="68" t="str">
        <f t="array" ref="B164">XLOOKUP('Core Values Input'!$A164,'Team and Program Information'!$C$3:$C$202,'Team and Program Information'!$D$3:$D$202,"",0,)</f>
        <v>#VALUE!</v>
      </c>
      <c r="C164" s="97" t="str">
        <f t="array" ref="C164">XLOOKUP('Core Values Input'!$A164,'Innovation Project Input'!$A$2:$A$201,'Innovation Project Input'!$D$2:$D$201)</f>
        <v>#N/A</v>
      </c>
      <c r="D164" s="97" t="str">
        <f t="array" ref="D164">XLOOKUP('Core Values Input'!$A164,'Innovation Project Input'!$A$2:$A$201,'Innovation Project Input'!$F$2:$F$201)</f>
        <v>#N/A</v>
      </c>
      <c r="E164" s="97" t="str">
        <f t="array" ref="E164">XLOOKUP('Core Values Input'!$A164,'Innovation Project Input'!$A$2:$A$201,'Innovation Project Input'!$G$2:$G$201)</f>
        <v>#N/A</v>
      </c>
      <c r="F164" s="97" t="str">
        <f t="array" ref="F164">XLOOKUP('Core Values Input'!$A164,'Innovation Project Input'!$A$2:$A$201,'Innovation Project Input'!$K$2:$K$201)</f>
        <v>#N/A</v>
      </c>
      <c r="G164" s="97" t="str">
        <f t="array" ref="G164">XLOOKUP('Core Values Input'!$A164,'Innovation Project Input'!$A$2:$A$201,'Innovation Project Input'!$L$2:$L$201)</f>
        <v>#N/A</v>
      </c>
      <c r="H164" s="97" t="str">
        <f t="array" ref="H164">XLOOKUP('Core Values Input'!$A164,'Robot Design Input'!$A$2:$A$201,'Robot Design Input'!$D$2:$D$201)</f>
        <v/>
      </c>
      <c r="I164" s="97" t="str">
        <f t="array" ref="I164">XLOOKUP('Core Values Input'!$A164,'Robot Design Input'!$A$2:$A$201,'Robot Design Input'!$E$2:$E$201)</f>
        <v/>
      </c>
      <c r="J164" s="97" t="str">
        <f t="array" ref="J164">XLOOKUP('Core Values Input'!$A164,'Robot Design Input'!$A$2:$A$201,'Robot Design Input'!$J$2:$J$201)</f>
        <v/>
      </c>
      <c r="K164" s="97" t="str">
        <f t="array" ref="K164">XLOOKUP('Core Values Input'!$A164,'Robot Design Input'!$A$2:$A$201,'Robot Design Input'!$K$2:$K$201)</f>
        <v/>
      </c>
      <c r="L164" s="97" t="str">
        <f t="array" ref="L164">XLOOKUP('Core Values Input'!$A164,'Robot Design Input'!$A$2:$A$201,'Robot Design Input'!$L$2:$L$201)</f>
        <v/>
      </c>
      <c r="M164" s="38"/>
      <c r="N164" s="38"/>
      <c r="O164" s="38"/>
      <c r="P164" s="38"/>
      <c r="Q164" s="38"/>
      <c r="R164" s="38" t="str">
        <f>IF('Core Values Input'!$M164="","",COUNTIF('Core Values Input'!$M164:$Q164,""))</f>
        <v/>
      </c>
      <c r="S164" s="38" t="str">
        <f>IF('Core Values Input'!$M164="","",SUM('Core Values Input'!$M164:$Q164))</f>
        <v/>
      </c>
      <c r="T164" s="38" t="str">
        <f>IF('Core Values Input'!$R164=3,SUM('Core Values Input'!$M164:$Q164),IF('Core Values Input'!$R164=4,SUM('Core Values Input'!$M164:$Q164),IF('Core Values Input'!$R164=2,'Core Values Input'!$S164,IF('Core Values Input'!$R164=1,'Core Values Input'!$S164*0.75,IF('Core Values Input'!$R164=0,'Core Values Input'!$S164*0.6,"")))))</f>
        <v/>
      </c>
      <c r="U164" s="100" t="str">
        <f>SUM('Core Values Input'!$C164:$L164,'Core Values Input'!$T164)</f>
        <v>#N/A</v>
      </c>
      <c r="V164" s="80">
        <f>IF('Core Values Input'!$A164&gt;0,MIN(_xlfn.RANK.EQ('Core Values Input'!$U164,'Core Values Input'!$U$2:$U$201,0),NumberOfTeams),NumberOfTeams+1)</f>
        <v>1</v>
      </c>
      <c r="W164" s="99"/>
      <c r="X164" s="99"/>
      <c r="Y164" s="99"/>
    </row>
    <row r="165" ht="30.0" customHeight="1">
      <c r="A165" s="38" t="str">
        <f t="array" ref="A165">XLOOKUP(164,'Team and Program Information'!$B$3:$B$202,'Team and Program Information'!$C$3:$C$202,"ERROR",0)</f>
        <v/>
      </c>
      <c r="B165" s="68" t="str">
        <f t="array" ref="B165">XLOOKUP('Core Values Input'!$A165,'Team and Program Information'!$C$3:$C$202,'Team and Program Information'!$D$3:$D$202,"",0,)</f>
        <v>#VALUE!</v>
      </c>
      <c r="C165" s="97" t="str">
        <f t="array" ref="C165">XLOOKUP('Core Values Input'!$A165,'Innovation Project Input'!$A$2:$A$201,'Innovation Project Input'!$D$2:$D$201)</f>
        <v>#N/A</v>
      </c>
      <c r="D165" s="97" t="str">
        <f t="array" ref="D165">XLOOKUP('Core Values Input'!$A165,'Innovation Project Input'!$A$2:$A$201,'Innovation Project Input'!$F$2:$F$201)</f>
        <v>#N/A</v>
      </c>
      <c r="E165" s="97" t="str">
        <f t="array" ref="E165">XLOOKUP('Core Values Input'!$A165,'Innovation Project Input'!$A$2:$A$201,'Innovation Project Input'!$G$2:$G$201)</f>
        <v>#N/A</v>
      </c>
      <c r="F165" s="97" t="str">
        <f t="array" ref="F165">XLOOKUP('Core Values Input'!$A165,'Innovation Project Input'!$A$2:$A$201,'Innovation Project Input'!$K$2:$K$201)</f>
        <v>#N/A</v>
      </c>
      <c r="G165" s="97" t="str">
        <f t="array" ref="G165">XLOOKUP('Core Values Input'!$A165,'Innovation Project Input'!$A$2:$A$201,'Innovation Project Input'!$L$2:$L$201)</f>
        <v>#N/A</v>
      </c>
      <c r="H165" s="97" t="str">
        <f t="array" ref="H165">XLOOKUP('Core Values Input'!$A165,'Robot Design Input'!$A$2:$A$201,'Robot Design Input'!$D$2:$D$201)</f>
        <v/>
      </c>
      <c r="I165" s="97" t="str">
        <f t="array" ref="I165">XLOOKUP('Core Values Input'!$A165,'Robot Design Input'!$A$2:$A$201,'Robot Design Input'!$E$2:$E$201)</f>
        <v/>
      </c>
      <c r="J165" s="97" t="str">
        <f t="array" ref="J165">XLOOKUP('Core Values Input'!$A165,'Robot Design Input'!$A$2:$A$201,'Robot Design Input'!$J$2:$J$201)</f>
        <v/>
      </c>
      <c r="K165" s="97" t="str">
        <f t="array" ref="K165">XLOOKUP('Core Values Input'!$A165,'Robot Design Input'!$A$2:$A$201,'Robot Design Input'!$K$2:$K$201)</f>
        <v/>
      </c>
      <c r="L165" s="97" t="str">
        <f t="array" ref="L165">XLOOKUP('Core Values Input'!$A165,'Robot Design Input'!$A$2:$A$201,'Robot Design Input'!$L$2:$L$201)</f>
        <v/>
      </c>
      <c r="M165" s="38"/>
      <c r="N165" s="38"/>
      <c r="O165" s="38"/>
      <c r="P165" s="38"/>
      <c r="Q165" s="38"/>
      <c r="R165" s="38" t="str">
        <f>IF('Core Values Input'!$M165="","",COUNTIF('Core Values Input'!$M165:$Q165,""))</f>
        <v/>
      </c>
      <c r="S165" s="38" t="str">
        <f>IF('Core Values Input'!$M165="","",SUM('Core Values Input'!$M165:$Q165))</f>
        <v/>
      </c>
      <c r="T165" s="38" t="str">
        <f>IF('Core Values Input'!$R165=3,SUM('Core Values Input'!$M165:$Q165),IF('Core Values Input'!$R165=4,SUM('Core Values Input'!$M165:$Q165),IF('Core Values Input'!$R165=2,'Core Values Input'!$S165,IF('Core Values Input'!$R165=1,'Core Values Input'!$S165*0.75,IF('Core Values Input'!$R165=0,'Core Values Input'!$S165*0.6,"")))))</f>
        <v/>
      </c>
      <c r="U165" s="100" t="str">
        <f>SUM('Core Values Input'!$C165:$L165,'Core Values Input'!$T165)</f>
        <v>#N/A</v>
      </c>
      <c r="V165" s="80">
        <f>IF('Core Values Input'!$A165&gt;0,MIN(_xlfn.RANK.EQ('Core Values Input'!$U165,'Core Values Input'!$U$2:$U$201,0),NumberOfTeams),NumberOfTeams+1)</f>
        <v>1</v>
      </c>
      <c r="W165" s="99"/>
      <c r="X165" s="99"/>
      <c r="Y165" s="99"/>
    </row>
    <row r="166" ht="30.0" customHeight="1">
      <c r="A166" s="38" t="str">
        <f t="array" ref="A166">XLOOKUP(165,'Team and Program Information'!$B$3:$B$202,'Team and Program Information'!$C$3:$C$202,"ERROR",0)</f>
        <v/>
      </c>
      <c r="B166" s="68" t="str">
        <f t="array" ref="B166">XLOOKUP('Core Values Input'!$A166,'Team and Program Information'!$C$3:$C$202,'Team and Program Information'!$D$3:$D$202,"",0,)</f>
        <v>#VALUE!</v>
      </c>
      <c r="C166" s="97" t="str">
        <f t="array" ref="C166">XLOOKUP('Core Values Input'!$A166,'Innovation Project Input'!$A$2:$A$201,'Innovation Project Input'!$D$2:$D$201)</f>
        <v>#N/A</v>
      </c>
      <c r="D166" s="97" t="str">
        <f t="array" ref="D166">XLOOKUP('Core Values Input'!$A166,'Innovation Project Input'!$A$2:$A$201,'Innovation Project Input'!$F$2:$F$201)</f>
        <v>#N/A</v>
      </c>
      <c r="E166" s="97" t="str">
        <f t="array" ref="E166">XLOOKUP('Core Values Input'!$A166,'Innovation Project Input'!$A$2:$A$201,'Innovation Project Input'!$G$2:$G$201)</f>
        <v>#N/A</v>
      </c>
      <c r="F166" s="97" t="str">
        <f t="array" ref="F166">XLOOKUP('Core Values Input'!$A166,'Innovation Project Input'!$A$2:$A$201,'Innovation Project Input'!$K$2:$K$201)</f>
        <v>#N/A</v>
      </c>
      <c r="G166" s="97" t="str">
        <f t="array" ref="G166">XLOOKUP('Core Values Input'!$A166,'Innovation Project Input'!$A$2:$A$201,'Innovation Project Input'!$L$2:$L$201)</f>
        <v>#N/A</v>
      </c>
      <c r="H166" s="97" t="str">
        <f t="array" ref="H166">XLOOKUP('Core Values Input'!$A166,'Robot Design Input'!$A$2:$A$201,'Robot Design Input'!$D$2:$D$201)</f>
        <v/>
      </c>
      <c r="I166" s="97" t="str">
        <f t="array" ref="I166">XLOOKUP('Core Values Input'!$A166,'Robot Design Input'!$A$2:$A$201,'Robot Design Input'!$E$2:$E$201)</f>
        <v/>
      </c>
      <c r="J166" s="97" t="str">
        <f t="array" ref="J166">XLOOKUP('Core Values Input'!$A166,'Robot Design Input'!$A$2:$A$201,'Robot Design Input'!$J$2:$J$201)</f>
        <v/>
      </c>
      <c r="K166" s="97" t="str">
        <f t="array" ref="K166">XLOOKUP('Core Values Input'!$A166,'Robot Design Input'!$A$2:$A$201,'Robot Design Input'!$K$2:$K$201)</f>
        <v/>
      </c>
      <c r="L166" s="97" t="str">
        <f t="array" ref="L166">XLOOKUP('Core Values Input'!$A166,'Robot Design Input'!$A$2:$A$201,'Robot Design Input'!$L$2:$L$201)</f>
        <v/>
      </c>
      <c r="M166" s="38"/>
      <c r="N166" s="38"/>
      <c r="O166" s="38"/>
      <c r="P166" s="38"/>
      <c r="Q166" s="38"/>
      <c r="R166" s="38" t="str">
        <f>IF('Core Values Input'!$M166="","",COUNTIF('Core Values Input'!$M166:$Q166,""))</f>
        <v/>
      </c>
      <c r="S166" s="38" t="str">
        <f>IF('Core Values Input'!$M166="","",SUM('Core Values Input'!$M166:$Q166))</f>
        <v/>
      </c>
      <c r="T166" s="38" t="str">
        <f>IF('Core Values Input'!$R166=3,SUM('Core Values Input'!$M166:$Q166),IF('Core Values Input'!$R166=4,SUM('Core Values Input'!$M166:$Q166),IF('Core Values Input'!$R166=2,'Core Values Input'!$S166,IF('Core Values Input'!$R166=1,'Core Values Input'!$S166*0.75,IF('Core Values Input'!$R166=0,'Core Values Input'!$S166*0.6,"")))))</f>
        <v/>
      </c>
      <c r="U166" s="100" t="str">
        <f>SUM('Core Values Input'!$C166:$L166,'Core Values Input'!$T166)</f>
        <v>#N/A</v>
      </c>
      <c r="V166" s="80">
        <f>IF('Core Values Input'!$A166&gt;0,MIN(_xlfn.RANK.EQ('Core Values Input'!$U166,'Core Values Input'!$U$2:$U$201,0),NumberOfTeams),NumberOfTeams+1)</f>
        <v>1</v>
      </c>
      <c r="W166" s="99"/>
      <c r="X166" s="99"/>
      <c r="Y166" s="99"/>
    </row>
    <row r="167" ht="30.0" customHeight="1">
      <c r="A167" s="38" t="str">
        <f t="array" ref="A167">XLOOKUP(166,'Team and Program Information'!$B$3:$B$202,'Team and Program Information'!$C$3:$C$202,"ERROR",0)</f>
        <v/>
      </c>
      <c r="B167" s="68" t="str">
        <f t="array" ref="B167">XLOOKUP('Core Values Input'!$A167,'Team and Program Information'!$C$3:$C$202,'Team and Program Information'!$D$3:$D$202,"",0,)</f>
        <v>#VALUE!</v>
      </c>
      <c r="C167" s="97" t="str">
        <f t="array" ref="C167">XLOOKUP('Core Values Input'!$A167,'Innovation Project Input'!$A$2:$A$201,'Innovation Project Input'!$D$2:$D$201)</f>
        <v>#N/A</v>
      </c>
      <c r="D167" s="97" t="str">
        <f t="array" ref="D167">XLOOKUP('Core Values Input'!$A167,'Innovation Project Input'!$A$2:$A$201,'Innovation Project Input'!$F$2:$F$201)</f>
        <v>#N/A</v>
      </c>
      <c r="E167" s="97" t="str">
        <f t="array" ref="E167">XLOOKUP('Core Values Input'!$A167,'Innovation Project Input'!$A$2:$A$201,'Innovation Project Input'!$G$2:$G$201)</f>
        <v>#N/A</v>
      </c>
      <c r="F167" s="97" t="str">
        <f t="array" ref="F167">XLOOKUP('Core Values Input'!$A167,'Innovation Project Input'!$A$2:$A$201,'Innovation Project Input'!$K$2:$K$201)</f>
        <v>#N/A</v>
      </c>
      <c r="G167" s="97" t="str">
        <f t="array" ref="G167">XLOOKUP('Core Values Input'!$A167,'Innovation Project Input'!$A$2:$A$201,'Innovation Project Input'!$L$2:$L$201)</f>
        <v>#N/A</v>
      </c>
      <c r="H167" s="97" t="str">
        <f t="array" ref="H167">XLOOKUP('Core Values Input'!$A167,'Robot Design Input'!$A$2:$A$201,'Robot Design Input'!$D$2:$D$201)</f>
        <v/>
      </c>
      <c r="I167" s="97" t="str">
        <f t="array" ref="I167">XLOOKUP('Core Values Input'!$A167,'Robot Design Input'!$A$2:$A$201,'Robot Design Input'!$E$2:$E$201)</f>
        <v/>
      </c>
      <c r="J167" s="97" t="str">
        <f t="array" ref="J167">XLOOKUP('Core Values Input'!$A167,'Robot Design Input'!$A$2:$A$201,'Robot Design Input'!$J$2:$J$201)</f>
        <v/>
      </c>
      <c r="K167" s="97" t="str">
        <f t="array" ref="K167">XLOOKUP('Core Values Input'!$A167,'Robot Design Input'!$A$2:$A$201,'Robot Design Input'!$K$2:$K$201)</f>
        <v/>
      </c>
      <c r="L167" s="97" t="str">
        <f t="array" ref="L167">XLOOKUP('Core Values Input'!$A167,'Robot Design Input'!$A$2:$A$201,'Robot Design Input'!$L$2:$L$201)</f>
        <v/>
      </c>
      <c r="M167" s="38"/>
      <c r="N167" s="38"/>
      <c r="O167" s="38"/>
      <c r="P167" s="38"/>
      <c r="Q167" s="38"/>
      <c r="R167" s="38" t="str">
        <f>IF('Core Values Input'!$M167="","",COUNTIF('Core Values Input'!$M167:$Q167,""))</f>
        <v/>
      </c>
      <c r="S167" s="38" t="str">
        <f>IF('Core Values Input'!$M167="","",SUM('Core Values Input'!$M167:$Q167))</f>
        <v/>
      </c>
      <c r="T167" s="38" t="str">
        <f>IF('Core Values Input'!$R167=3,SUM('Core Values Input'!$M167:$Q167),IF('Core Values Input'!$R167=4,SUM('Core Values Input'!$M167:$Q167),IF('Core Values Input'!$R167=2,'Core Values Input'!$S167,IF('Core Values Input'!$R167=1,'Core Values Input'!$S167*0.75,IF('Core Values Input'!$R167=0,'Core Values Input'!$S167*0.6,"")))))</f>
        <v/>
      </c>
      <c r="U167" s="100" t="str">
        <f>SUM('Core Values Input'!$C167:$L167,'Core Values Input'!$T167)</f>
        <v>#N/A</v>
      </c>
      <c r="V167" s="80">
        <f>IF('Core Values Input'!$A167&gt;0,MIN(_xlfn.RANK.EQ('Core Values Input'!$U167,'Core Values Input'!$U$2:$U$201,0),NumberOfTeams),NumberOfTeams+1)</f>
        <v>1</v>
      </c>
      <c r="W167" s="99"/>
      <c r="X167" s="99"/>
      <c r="Y167" s="99"/>
    </row>
    <row r="168" ht="30.0" customHeight="1">
      <c r="A168" s="38" t="str">
        <f t="array" ref="A168">XLOOKUP(167,'Team and Program Information'!$B$3:$B$202,'Team and Program Information'!$C$3:$C$202,"ERROR",0)</f>
        <v/>
      </c>
      <c r="B168" s="68" t="str">
        <f t="array" ref="B168">XLOOKUP('Core Values Input'!$A168,'Team and Program Information'!$C$3:$C$202,'Team and Program Information'!$D$3:$D$202,"",0,)</f>
        <v>#VALUE!</v>
      </c>
      <c r="C168" s="97" t="str">
        <f t="array" ref="C168">XLOOKUP('Core Values Input'!$A168,'Innovation Project Input'!$A$2:$A$201,'Innovation Project Input'!$D$2:$D$201)</f>
        <v>#N/A</v>
      </c>
      <c r="D168" s="97" t="str">
        <f t="array" ref="D168">XLOOKUP('Core Values Input'!$A168,'Innovation Project Input'!$A$2:$A$201,'Innovation Project Input'!$F$2:$F$201)</f>
        <v>#N/A</v>
      </c>
      <c r="E168" s="97" t="str">
        <f t="array" ref="E168">XLOOKUP('Core Values Input'!$A168,'Innovation Project Input'!$A$2:$A$201,'Innovation Project Input'!$G$2:$G$201)</f>
        <v>#N/A</v>
      </c>
      <c r="F168" s="97" t="str">
        <f t="array" ref="F168">XLOOKUP('Core Values Input'!$A168,'Innovation Project Input'!$A$2:$A$201,'Innovation Project Input'!$K$2:$K$201)</f>
        <v>#N/A</v>
      </c>
      <c r="G168" s="97" t="str">
        <f t="array" ref="G168">XLOOKUP('Core Values Input'!$A168,'Innovation Project Input'!$A$2:$A$201,'Innovation Project Input'!$L$2:$L$201)</f>
        <v>#N/A</v>
      </c>
      <c r="H168" s="97" t="str">
        <f t="array" ref="H168">XLOOKUP('Core Values Input'!$A168,'Robot Design Input'!$A$2:$A$201,'Robot Design Input'!$D$2:$D$201)</f>
        <v/>
      </c>
      <c r="I168" s="97" t="str">
        <f t="array" ref="I168">XLOOKUP('Core Values Input'!$A168,'Robot Design Input'!$A$2:$A$201,'Robot Design Input'!$E$2:$E$201)</f>
        <v/>
      </c>
      <c r="J168" s="97" t="str">
        <f t="array" ref="J168">XLOOKUP('Core Values Input'!$A168,'Robot Design Input'!$A$2:$A$201,'Robot Design Input'!$J$2:$J$201)</f>
        <v/>
      </c>
      <c r="K168" s="97" t="str">
        <f t="array" ref="K168">XLOOKUP('Core Values Input'!$A168,'Robot Design Input'!$A$2:$A$201,'Robot Design Input'!$K$2:$K$201)</f>
        <v/>
      </c>
      <c r="L168" s="97" t="str">
        <f t="array" ref="L168">XLOOKUP('Core Values Input'!$A168,'Robot Design Input'!$A$2:$A$201,'Robot Design Input'!$L$2:$L$201)</f>
        <v/>
      </c>
      <c r="M168" s="38"/>
      <c r="N168" s="38"/>
      <c r="O168" s="38"/>
      <c r="P168" s="38"/>
      <c r="Q168" s="38"/>
      <c r="R168" s="38" t="str">
        <f>IF('Core Values Input'!$M168="","",COUNTIF('Core Values Input'!$M168:$Q168,""))</f>
        <v/>
      </c>
      <c r="S168" s="38" t="str">
        <f>IF('Core Values Input'!$M168="","",SUM('Core Values Input'!$M168:$Q168))</f>
        <v/>
      </c>
      <c r="T168" s="38" t="str">
        <f>IF('Core Values Input'!$R168=3,SUM('Core Values Input'!$M168:$Q168),IF('Core Values Input'!$R168=4,SUM('Core Values Input'!$M168:$Q168),IF('Core Values Input'!$R168=2,'Core Values Input'!$S168,IF('Core Values Input'!$R168=1,'Core Values Input'!$S168*0.75,IF('Core Values Input'!$R168=0,'Core Values Input'!$S168*0.6,"")))))</f>
        <v/>
      </c>
      <c r="U168" s="100" t="str">
        <f>SUM('Core Values Input'!$C168:$L168,'Core Values Input'!$T168)</f>
        <v>#N/A</v>
      </c>
      <c r="V168" s="80">
        <f>IF('Core Values Input'!$A168&gt;0,MIN(_xlfn.RANK.EQ('Core Values Input'!$U168,'Core Values Input'!$U$2:$U$201,0),NumberOfTeams),NumberOfTeams+1)</f>
        <v>1</v>
      </c>
      <c r="W168" s="99"/>
      <c r="X168" s="99"/>
      <c r="Y168" s="99"/>
    </row>
    <row r="169" ht="30.0" customHeight="1">
      <c r="A169" s="38" t="str">
        <f t="array" ref="A169">XLOOKUP(168,'Team and Program Information'!$B$3:$B$202,'Team and Program Information'!$C$3:$C$202,"ERROR",0)</f>
        <v/>
      </c>
      <c r="B169" s="68" t="str">
        <f t="array" ref="B169">XLOOKUP('Core Values Input'!$A169,'Team and Program Information'!$C$3:$C$202,'Team and Program Information'!$D$3:$D$202,"",0,)</f>
        <v>#VALUE!</v>
      </c>
      <c r="C169" s="97" t="str">
        <f t="array" ref="C169">XLOOKUP('Core Values Input'!$A169,'Innovation Project Input'!$A$2:$A$201,'Innovation Project Input'!$D$2:$D$201)</f>
        <v>#N/A</v>
      </c>
      <c r="D169" s="97" t="str">
        <f t="array" ref="D169">XLOOKUP('Core Values Input'!$A169,'Innovation Project Input'!$A$2:$A$201,'Innovation Project Input'!$F$2:$F$201)</f>
        <v>#N/A</v>
      </c>
      <c r="E169" s="97" t="str">
        <f t="array" ref="E169">XLOOKUP('Core Values Input'!$A169,'Innovation Project Input'!$A$2:$A$201,'Innovation Project Input'!$G$2:$G$201)</f>
        <v>#N/A</v>
      </c>
      <c r="F169" s="97" t="str">
        <f t="array" ref="F169">XLOOKUP('Core Values Input'!$A169,'Innovation Project Input'!$A$2:$A$201,'Innovation Project Input'!$K$2:$K$201)</f>
        <v>#N/A</v>
      </c>
      <c r="G169" s="97" t="str">
        <f t="array" ref="G169">XLOOKUP('Core Values Input'!$A169,'Innovation Project Input'!$A$2:$A$201,'Innovation Project Input'!$L$2:$L$201)</f>
        <v>#N/A</v>
      </c>
      <c r="H169" s="97" t="str">
        <f t="array" ref="H169">XLOOKUP('Core Values Input'!$A169,'Robot Design Input'!$A$2:$A$201,'Robot Design Input'!$D$2:$D$201)</f>
        <v/>
      </c>
      <c r="I169" s="97" t="str">
        <f t="array" ref="I169">XLOOKUP('Core Values Input'!$A169,'Robot Design Input'!$A$2:$A$201,'Robot Design Input'!$E$2:$E$201)</f>
        <v/>
      </c>
      <c r="J169" s="97" t="str">
        <f t="array" ref="J169">XLOOKUP('Core Values Input'!$A169,'Robot Design Input'!$A$2:$A$201,'Robot Design Input'!$J$2:$J$201)</f>
        <v/>
      </c>
      <c r="K169" s="97" t="str">
        <f t="array" ref="K169">XLOOKUP('Core Values Input'!$A169,'Robot Design Input'!$A$2:$A$201,'Robot Design Input'!$K$2:$K$201)</f>
        <v/>
      </c>
      <c r="L169" s="97" t="str">
        <f t="array" ref="L169">XLOOKUP('Core Values Input'!$A169,'Robot Design Input'!$A$2:$A$201,'Robot Design Input'!$L$2:$L$201)</f>
        <v/>
      </c>
      <c r="M169" s="38"/>
      <c r="N169" s="38"/>
      <c r="O169" s="38"/>
      <c r="P169" s="38"/>
      <c r="Q169" s="38"/>
      <c r="R169" s="38" t="str">
        <f>IF('Core Values Input'!$M169="","",COUNTIF('Core Values Input'!$M169:$Q169,""))</f>
        <v/>
      </c>
      <c r="S169" s="38" t="str">
        <f>IF('Core Values Input'!$M169="","",SUM('Core Values Input'!$M169:$Q169))</f>
        <v/>
      </c>
      <c r="T169" s="38" t="str">
        <f>IF('Core Values Input'!$R169=3,SUM('Core Values Input'!$M169:$Q169),IF('Core Values Input'!$R169=4,SUM('Core Values Input'!$M169:$Q169),IF('Core Values Input'!$R169=2,'Core Values Input'!$S169,IF('Core Values Input'!$R169=1,'Core Values Input'!$S169*0.75,IF('Core Values Input'!$R169=0,'Core Values Input'!$S169*0.6,"")))))</f>
        <v/>
      </c>
      <c r="U169" s="100" t="str">
        <f>SUM('Core Values Input'!$C169:$L169,'Core Values Input'!$T169)</f>
        <v>#N/A</v>
      </c>
      <c r="V169" s="80">
        <f>IF('Core Values Input'!$A169&gt;0,MIN(_xlfn.RANK.EQ('Core Values Input'!$U169,'Core Values Input'!$U$2:$U$201,0),NumberOfTeams),NumberOfTeams+1)</f>
        <v>1</v>
      </c>
      <c r="W169" s="99"/>
      <c r="X169" s="99"/>
      <c r="Y169" s="99"/>
    </row>
    <row r="170" ht="30.0" customHeight="1">
      <c r="A170" s="38" t="str">
        <f t="array" ref="A170">XLOOKUP(169,'Team and Program Information'!$B$3:$B$202,'Team and Program Information'!$C$3:$C$202,"ERROR",0)</f>
        <v/>
      </c>
      <c r="B170" s="68" t="str">
        <f t="array" ref="B170">XLOOKUP('Core Values Input'!$A170,'Team and Program Information'!$C$3:$C$202,'Team and Program Information'!$D$3:$D$202,"",0,)</f>
        <v>#VALUE!</v>
      </c>
      <c r="C170" s="97" t="str">
        <f t="array" ref="C170">XLOOKUP('Core Values Input'!$A170,'Innovation Project Input'!$A$2:$A$201,'Innovation Project Input'!$D$2:$D$201)</f>
        <v>#N/A</v>
      </c>
      <c r="D170" s="97" t="str">
        <f t="array" ref="D170">XLOOKUP('Core Values Input'!$A170,'Innovation Project Input'!$A$2:$A$201,'Innovation Project Input'!$F$2:$F$201)</f>
        <v>#N/A</v>
      </c>
      <c r="E170" s="97" t="str">
        <f t="array" ref="E170">XLOOKUP('Core Values Input'!$A170,'Innovation Project Input'!$A$2:$A$201,'Innovation Project Input'!$G$2:$G$201)</f>
        <v>#N/A</v>
      </c>
      <c r="F170" s="97" t="str">
        <f t="array" ref="F170">XLOOKUP('Core Values Input'!$A170,'Innovation Project Input'!$A$2:$A$201,'Innovation Project Input'!$K$2:$K$201)</f>
        <v>#N/A</v>
      </c>
      <c r="G170" s="97" t="str">
        <f t="array" ref="G170">XLOOKUP('Core Values Input'!$A170,'Innovation Project Input'!$A$2:$A$201,'Innovation Project Input'!$L$2:$L$201)</f>
        <v>#N/A</v>
      </c>
      <c r="H170" s="97" t="str">
        <f t="array" ref="H170">XLOOKUP('Core Values Input'!$A170,'Robot Design Input'!$A$2:$A$201,'Robot Design Input'!$D$2:$D$201)</f>
        <v/>
      </c>
      <c r="I170" s="97" t="str">
        <f t="array" ref="I170">XLOOKUP('Core Values Input'!$A170,'Robot Design Input'!$A$2:$A$201,'Robot Design Input'!$E$2:$E$201)</f>
        <v/>
      </c>
      <c r="J170" s="97" t="str">
        <f t="array" ref="J170">XLOOKUP('Core Values Input'!$A170,'Robot Design Input'!$A$2:$A$201,'Robot Design Input'!$J$2:$J$201)</f>
        <v/>
      </c>
      <c r="K170" s="97" t="str">
        <f t="array" ref="K170">XLOOKUP('Core Values Input'!$A170,'Robot Design Input'!$A$2:$A$201,'Robot Design Input'!$K$2:$K$201)</f>
        <v/>
      </c>
      <c r="L170" s="97" t="str">
        <f t="array" ref="L170">XLOOKUP('Core Values Input'!$A170,'Robot Design Input'!$A$2:$A$201,'Robot Design Input'!$L$2:$L$201)</f>
        <v/>
      </c>
      <c r="M170" s="38"/>
      <c r="N170" s="38"/>
      <c r="O170" s="38"/>
      <c r="P170" s="38"/>
      <c r="Q170" s="38"/>
      <c r="R170" s="38" t="str">
        <f>IF('Core Values Input'!$M170="","",COUNTIF('Core Values Input'!$M170:$Q170,""))</f>
        <v/>
      </c>
      <c r="S170" s="38" t="str">
        <f>IF('Core Values Input'!$M170="","",SUM('Core Values Input'!$M170:$Q170))</f>
        <v/>
      </c>
      <c r="T170" s="38" t="str">
        <f>IF('Core Values Input'!$R170=3,SUM('Core Values Input'!$M170:$Q170),IF('Core Values Input'!$R170=4,SUM('Core Values Input'!$M170:$Q170),IF('Core Values Input'!$R170=2,'Core Values Input'!$S170,IF('Core Values Input'!$R170=1,'Core Values Input'!$S170*0.75,IF('Core Values Input'!$R170=0,'Core Values Input'!$S170*0.6,"")))))</f>
        <v/>
      </c>
      <c r="U170" s="100" t="str">
        <f>SUM('Core Values Input'!$C170:$L170,'Core Values Input'!$T170)</f>
        <v>#N/A</v>
      </c>
      <c r="V170" s="80">
        <f>IF('Core Values Input'!$A170&gt;0,MIN(_xlfn.RANK.EQ('Core Values Input'!$U170,'Core Values Input'!$U$2:$U$201,0),NumberOfTeams),NumberOfTeams+1)</f>
        <v>1</v>
      </c>
      <c r="W170" s="99"/>
      <c r="X170" s="99"/>
      <c r="Y170" s="99"/>
    </row>
    <row r="171" ht="30.0" customHeight="1">
      <c r="A171" s="38" t="str">
        <f t="array" ref="A171">XLOOKUP(170,'Team and Program Information'!$B$3:$B$202,'Team and Program Information'!$C$3:$C$202,"ERROR",0)</f>
        <v/>
      </c>
      <c r="B171" s="68" t="str">
        <f t="array" ref="B171">XLOOKUP('Core Values Input'!$A171,'Team and Program Information'!$C$3:$C$202,'Team and Program Information'!$D$3:$D$202,"",0,)</f>
        <v>#VALUE!</v>
      </c>
      <c r="C171" s="97" t="str">
        <f t="array" ref="C171">XLOOKUP('Core Values Input'!$A171,'Innovation Project Input'!$A$2:$A$201,'Innovation Project Input'!$D$2:$D$201)</f>
        <v>#N/A</v>
      </c>
      <c r="D171" s="97" t="str">
        <f t="array" ref="D171">XLOOKUP('Core Values Input'!$A171,'Innovation Project Input'!$A$2:$A$201,'Innovation Project Input'!$F$2:$F$201)</f>
        <v>#N/A</v>
      </c>
      <c r="E171" s="97" t="str">
        <f t="array" ref="E171">XLOOKUP('Core Values Input'!$A171,'Innovation Project Input'!$A$2:$A$201,'Innovation Project Input'!$G$2:$G$201)</f>
        <v>#N/A</v>
      </c>
      <c r="F171" s="97" t="str">
        <f t="array" ref="F171">XLOOKUP('Core Values Input'!$A171,'Innovation Project Input'!$A$2:$A$201,'Innovation Project Input'!$K$2:$K$201)</f>
        <v>#N/A</v>
      </c>
      <c r="G171" s="97" t="str">
        <f t="array" ref="G171">XLOOKUP('Core Values Input'!$A171,'Innovation Project Input'!$A$2:$A$201,'Innovation Project Input'!$L$2:$L$201)</f>
        <v>#N/A</v>
      </c>
      <c r="H171" s="97" t="str">
        <f t="array" ref="H171">XLOOKUP('Core Values Input'!$A171,'Robot Design Input'!$A$2:$A$201,'Robot Design Input'!$D$2:$D$201)</f>
        <v/>
      </c>
      <c r="I171" s="97" t="str">
        <f t="array" ref="I171">XLOOKUP('Core Values Input'!$A171,'Robot Design Input'!$A$2:$A$201,'Robot Design Input'!$E$2:$E$201)</f>
        <v/>
      </c>
      <c r="J171" s="97" t="str">
        <f t="array" ref="J171">XLOOKUP('Core Values Input'!$A171,'Robot Design Input'!$A$2:$A$201,'Robot Design Input'!$J$2:$J$201)</f>
        <v/>
      </c>
      <c r="K171" s="97" t="str">
        <f t="array" ref="K171">XLOOKUP('Core Values Input'!$A171,'Robot Design Input'!$A$2:$A$201,'Robot Design Input'!$K$2:$K$201)</f>
        <v/>
      </c>
      <c r="L171" s="97" t="str">
        <f t="array" ref="L171">XLOOKUP('Core Values Input'!$A171,'Robot Design Input'!$A$2:$A$201,'Robot Design Input'!$L$2:$L$201)</f>
        <v/>
      </c>
      <c r="M171" s="38"/>
      <c r="N171" s="38"/>
      <c r="O171" s="38"/>
      <c r="P171" s="38"/>
      <c r="Q171" s="38"/>
      <c r="R171" s="38" t="str">
        <f>IF('Core Values Input'!$M171="","",COUNTIF('Core Values Input'!$M171:$Q171,""))</f>
        <v/>
      </c>
      <c r="S171" s="38" t="str">
        <f>IF('Core Values Input'!$M171="","",SUM('Core Values Input'!$M171:$Q171))</f>
        <v/>
      </c>
      <c r="T171" s="38" t="str">
        <f>IF('Core Values Input'!$R171=3,SUM('Core Values Input'!$M171:$Q171),IF('Core Values Input'!$R171=4,SUM('Core Values Input'!$M171:$Q171),IF('Core Values Input'!$R171=2,'Core Values Input'!$S171,IF('Core Values Input'!$R171=1,'Core Values Input'!$S171*0.75,IF('Core Values Input'!$R171=0,'Core Values Input'!$S171*0.6,"")))))</f>
        <v/>
      </c>
      <c r="U171" s="100" t="str">
        <f>SUM('Core Values Input'!$C171:$L171,'Core Values Input'!$T171)</f>
        <v>#N/A</v>
      </c>
      <c r="V171" s="80">
        <f>IF('Core Values Input'!$A171&gt;0,MIN(_xlfn.RANK.EQ('Core Values Input'!$U171,'Core Values Input'!$U$2:$U$201,0),NumberOfTeams),NumberOfTeams+1)</f>
        <v>1</v>
      </c>
      <c r="W171" s="99"/>
      <c r="X171" s="99"/>
      <c r="Y171" s="99"/>
    </row>
    <row r="172" ht="30.0" customHeight="1">
      <c r="A172" s="38" t="str">
        <f t="array" ref="A172">XLOOKUP(171,'Team and Program Information'!$B$3:$B$202,'Team and Program Information'!$C$3:$C$202,"ERROR",0)</f>
        <v/>
      </c>
      <c r="B172" s="68" t="str">
        <f t="array" ref="B172">XLOOKUP('Core Values Input'!$A172,'Team and Program Information'!$C$3:$C$202,'Team and Program Information'!$D$3:$D$202,"",0,)</f>
        <v>#VALUE!</v>
      </c>
      <c r="C172" s="97" t="str">
        <f t="array" ref="C172">XLOOKUP('Core Values Input'!$A172,'Innovation Project Input'!$A$2:$A$201,'Innovation Project Input'!$D$2:$D$201)</f>
        <v>#N/A</v>
      </c>
      <c r="D172" s="97" t="str">
        <f t="array" ref="D172">XLOOKUP('Core Values Input'!$A172,'Innovation Project Input'!$A$2:$A$201,'Innovation Project Input'!$F$2:$F$201)</f>
        <v>#N/A</v>
      </c>
      <c r="E172" s="97" t="str">
        <f t="array" ref="E172">XLOOKUP('Core Values Input'!$A172,'Innovation Project Input'!$A$2:$A$201,'Innovation Project Input'!$G$2:$G$201)</f>
        <v>#N/A</v>
      </c>
      <c r="F172" s="97" t="str">
        <f t="array" ref="F172">XLOOKUP('Core Values Input'!$A172,'Innovation Project Input'!$A$2:$A$201,'Innovation Project Input'!$K$2:$K$201)</f>
        <v>#N/A</v>
      </c>
      <c r="G172" s="97" t="str">
        <f t="array" ref="G172">XLOOKUP('Core Values Input'!$A172,'Innovation Project Input'!$A$2:$A$201,'Innovation Project Input'!$L$2:$L$201)</f>
        <v>#N/A</v>
      </c>
      <c r="H172" s="97" t="str">
        <f t="array" ref="H172">XLOOKUP('Core Values Input'!$A172,'Robot Design Input'!$A$2:$A$201,'Robot Design Input'!$D$2:$D$201)</f>
        <v/>
      </c>
      <c r="I172" s="97" t="str">
        <f t="array" ref="I172">XLOOKUP('Core Values Input'!$A172,'Robot Design Input'!$A$2:$A$201,'Robot Design Input'!$E$2:$E$201)</f>
        <v/>
      </c>
      <c r="J172" s="97" t="str">
        <f t="array" ref="J172">XLOOKUP('Core Values Input'!$A172,'Robot Design Input'!$A$2:$A$201,'Robot Design Input'!$J$2:$J$201)</f>
        <v/>
      </c>
      <c r="K172" s="97" t="str">
        <f t="array" ref="K172">XLOOKUP('Core Values Input'!$A172,'Robot Design Input'!$A$2:$A$201,'Robot Design Input'!$K$2:$K$201)</f>
        <v/>
      </c>
      <c r="L172" s="97" t="str">
        <f t="array" ref="L172">XLOOKUP('Core Values Input'!$A172,'Robot Design Input'!$A$2:$A$201,'Robot Design Input'!$L$2:$L$201)</f>
        <v/>
      </c>
      <c r="M172" s="38"/>
      <c r="N172" s="38"/>
      <c r="O172" s="38"/>
      <c r="P172" s="38"/>
      <c r="Q172" s="38"/>
      <c r="R172" s="38" t="str">
        <f>IF('Core Values Input'!$M172="","",COUNTIF('Core Values Input'!$M172:$Q172,""))</f>
        <v/>
      </c>
      <c r="S172" s="38" t="str">
        <f>IF('Core Values Input'!$M172="","",SUM('Core Values Input'!$M172:$Q172))</f>
        <v/>
      </c>
      <c r="T172" s="38" t="str">
        <f>IF('Core Values Input'!$R172=3,SUM('Core Values Input'!$M172:$Q172),IF('Core Values Input'!$R172=4,SUM('Core Values Input'!$M172:$Q172),IF('Core Values Input'!$R172=2,'Core Values Input'!$S172,IF('Core Values Input'!$R172=1,'Core Values Input'!$S172*0.75,IF('Core Values Input'!$R172=0,'Core Values Input'!$S172*0.6,"")))))</f>
        <v/>
      </c>
      <c r="U172" s="100" t="str">
        <f>SUM('Core Values Input'!$C172:$L172,'Core Values Input'!$T172)</f>
        <v>#N/A</v>
      </c>
      <c r="V172" s="80">
        <f>IF('Core Values Input'!$A172&gt;0,MIN(_xlfn.RANK.EQ('Core Values Input'!$U172,'Core Values Input'!$U$2:$U$201,0),NumberOfTeams),NumberOfTeams+1)</f>
        <v>1</v>
      </c>
      <c r="W172" s="99"/>
      <c r="X172" s="99"/>
      <c r="Y172" s="99"/>
    </row>
    <row r="173" ht="30.0" customHeight="1">
      <c r="A173" s="38" t="str">
        <f t="array" ref="A173">XLOOKUP(172,'Team and Program Information'!$B$3:$B$202,'Team and Program Information'!$C$3:$C$202,"ERROR",0)</f>
        <v/>
      </c>
      <c r="B173" s="68" t="str">
        <f t="array" ref="B173">XLOOKUP('Core Values Input'!$A173,'Team and Program Information'!$C$3:$C$202,'Team and Program Information'!$D$3:$D$202,"",0,)</f>
        <v>#VALUE!</v>
      </c>
      <c r="C173" s="97" t="str">
        <f t="array" ref="C173">XLOOKUP('Core Values Input'!$A173,'Innovation Project Input'!$A$2:$A$201,'Innovation Project Input'!$D$2:$D$201)</f>
        <v>#N/A</v>
      </c>
      <c r="D173" s="97" t="str">
        <f t="array" ref="D173">XLOOKUP('Core Values Input'!$A173,'Innovation Project Input'!$A$2:$A$201,'Innovation Project Input'!$F$2:$F$201)</f>
        <v>#N/A</v>
      </c>
      <c r="E173" s="97" t="str">
        <f t="array" ref="E173">XLOOKUP('Core Values Input'!$A173,'Innovation Project Input'!$A$2:$A$201,'Innovation Project Input'!$G$2:$G$201)</f>
        <v>#N/A</v>
      </c>
      <c r="F173" s="97" t="str">
        <f t="array" ref="F173">XLOOKUP('Core Values Input'!$A173,'Innovation Project Input'!$A$2:$A$201,'Innovation Project Input'!$K$2:$K$201)</f>
        <v>#N/A</v>
      </c>
      <c r="G173" s="97" t="str">
        <f t="array" ref="G173">XLOOKUP('Core Values Input'!$A173,'Innovation Project Input'!$A$2:$A$201,'Innovation Project Input'!$L$2:$L$201)</f>
        <v>#N/A</v>
      </c>
      <c r="H173" s="97" t="str">
        <f t="array" ref="H173">XLOOKUP('Core Values Input'!$A173,'Robot Design Input'!$A$2:$A$201,'Robot Design Input'!$D$2:$D$201)</f>
        <v/>
      </c>
      <c r="I173" s="97" t="str">
        <f t="array" ref="I173">XLOOKUP('Core Values Input'!$A173,'Robot Design Input'!$A$2:$A$201,'Robot Design Input'!$E$2:$E$201)</f>
        <v/>
      </c>
      <c r="J173" s="97" t="str">
        <f t="array" ref="J173">XLOOKUP('Core Values Input'!$A173,'Robot Design Input'!$A$2:$A$201,'Robot Design Input'!$J$2:$J$201)</f>
        <v/>
      </c>
      <c r="K173" s="97" t="str">
        <f t="array" ref="K173">XLOOKUP('Core Values Input'!$A173,'Robot Design Input'!$A$2:$A$201,'Robot Design Input'!$K$2:$K$201)</f>
        <v/>
      </c>
      <c r="L173" s="97" t="str">
        <f t="array" ref="L173">XLOOKUP('Core Values Input'!$A173,'Robot Design Input'!$A$2:$A$201,'Robot Design Input'!$L$2:$L$201)</f>
        <v/>
      </c>
      <c r="M173" s="38"/>
      <c r="N173" s="38"/>
      <c r="O173" s="38"/>
      <c r="P173" s="38"/>
      <c r="Q173" s="38"/>
      <c r="R173" s="38" t="str">
        <f>IF('Core Values Input'!$M173="","",COUNTIF('Core Values Input'!$M173:$Q173,""))</f>
        <v/>
      </c>
      <c r="S173" s="38" t="str">
        <f>IF('Core Values Input'!$M173="","",SUM('Core Values Input'!$M173:$Q173))</f>
        <v/>
      </c>
      <c r="T173" s="38" t="str">
        <f>IF('Core Values Input'!$R173=3,SUM('Core Values Input'!$M173:$Q173),IF('Core Values Input'!$R173=4,SUM('Core Values Input'!$M173:$Q173),IF('Core Values Input'!$R173=2,'Core Values Input'!$S173,IF('Core Values Input'!$R173=1,'Core Values Input'!$S173*0.75,IF('Core Values Input'!$R173=0,'Core Values Input'!$S173*0.6,"")))))</f>
        <v/>
      </c>
      <c r="U173" s="100" t="str">
        <f>SUM('Core Values Input'!$C173:$L173,'Core Values Input'!$T173)</f>
        <v>#N/A</v>
      </c>
      <c r="V173" s="80">
        <f>IF('Core Values Input'!$A173&gt;0,MIN(_xlfn.RANK.EQ('Core Values Input'!$U173,'Core Values Input'!$U$2:$U$201,0),NumberOfTeams),NumberOfTeams+1)</f>
        <v>1</v>
      </c>
      <c r="W173" s="99"/>
      <c r="X173" s="99"/>
      <c r="Y173" s="99"/>
    </row>
    <row r="174" ht="30.0" customHeight="1">
      <c r="A174" s="38" t="str">
        <f t="array" ref="A174">XLOOKUP(173,'Team and Program Information'!$B$3:$B$202,'Team and Program Information'!$C$3:$C$202,"ERROR",0)</f>
        <v/>
      </c>
      <c r="B174" s="68" t="str">
        <f t="array" ref="B174">XLOOKUP('Core Values Input'!$A174,'Team and Program Information'!$C$3:$C$202,'Team and Program Information'!$D$3:$D$202,"",0,)</f>
        <v>#VALUE!</v>
      </c>
      <c r="C174" s="97" t="str">
        <f t="array" ref="C174">XLOOKUP('Core Values Input'!$A174,'Innovation Project Input'!$A$2:$A$201,'Innovation Project Input'!$D$2:$D$201)</f>
        <v>#N/A</v>
      </c>
      <c r="D174" s="97" t="str">
        <f t="array" ref="D174">XLOOKUP('Core Values Input'!$A174,'Innovation Project Input'!$A$2:$A$201,'Innovation Project Input'!$F$2:$F$201)</f>
        <v>#N/A</v>
      </c>
      <c r="E174" s="97" t="str">
        <f t="array" ref="E174">XLOOKUP('Core Values Input'!$A174,'Innovation Project Input'!$A$2:$A$201,'Innovation Project Input'!$G$2:$G$201)</f>
        <v>#N/A</v>
      </c>
      <c r="F174" s="97" t="str">
        <f t="array" ref="F174">XLOOKUP('Core Values Input'!$A174,'Innovation Project Input'!$A$2:$A$201,'Innovation Project Input'!$K$2:$K$201)</f>
        <v>#N/A</v>
      </c>
      <c r="G174" s="97" t="str">
        <f t="array" ref="G174">XLOOKUP('Core Values Input'!$A174,'Innovation Project Input'!$A$2:$A$201,'Innovation Project Input'!$L$2:$L$201)</f>
        <v>#N/A</v>
      </c>
      <c r="H174" s="97" t="str">
        <f t="array" ref="H174">XLOOKUP('Core Values Input'!$A174,'Robot Design Input'!$A$2:$A$201,'Robot Design Input'!$D$2:$D$201)</f>
        <v/>
      </c>
      <c r="I174" s="97" t="str">
        <f t="array" ref="I174">XLOOKUP('Core Values Input'!$A174,'Robot Design Input'!$A$2:$A$201,'Robot Design Input'!$E$2:$E$201)</f>
        <v/>
      </c>
      <c r="J174" s="97" t="str">
        <f t="array" ref="J174">XLOOKUP('Core Values Input'!$A174,'Robot Design Input'!$A$2:$A$201,'Robot Design Input'!$J$2:$J$201)</f>
        <v/>
      </c>
      <c r="K174" s="97" t="str">
        <f t="array" ref="K174">XLOOKUP('Core Values Input'!$A174,'Robot Design Input'!$A$2:$A$201,'Robot Design Input'!$K$2:$K$201)</f>
        <v/>
      </c>
      <c r="L174" s="97" t="str">
        <f t="array" ref="L174">XLOOKUP('Core Values Input'!$A174,'Robot Design Input'!$A$2:$A$201,'Robot Design Input'!$L$2:$L$201)</f>
        <v/>
      </c>
      <c r="M174" s="38"/>
      <c r="N174" s="38"/>
      <c r="O174" s="38"/>
      <c r="P174" s="38"/>
      <c r="Q174" s="38"/>
      <c r="R174" s="38" t="str">
        <f>IF('Core Values Input'!$M174="","",COUNTIF('Core Values Input'!$M174:$Q174,""))</f>
        <v/>
      </c>
      <c r="S174" s="38" t="str">
        <f>IF('Core Values Input'!$M174="","",SUM('Core Values Input'!$M174:$Q174))</f>
        <v/>
      </c>
      <c r="T174" s="38" t="str">
        <f>IF('Core Values Input'!$R174=3,SUM('Core Values Input'!$M174:$Q174),IF('Core Values Input'!$R174=4,SUM('Core Values Input'!$M174:$Q174),IF('Core Values Input'!$R174=2,'Core Values Input'!$S174,IF('Core Values Input'!$R174=1,'Core Values Input'!$S174*0.75,IF('Core Values Input'!$R174=0,'Core Values Input'!$S174*0.6,"")))))</f>
        <v/>
      </c>
      <c r="U174" s="100" t="str">
        <f>SUM('Core Values Input'!$C174:$L174,'Core Values Input'!$T174)</f>
        <v>#N/A</v>
      </c>
      <c r="V174" s="80">
        <f>IF('Core Values Input'!$A174&gt;0,MIN(_xlfn.RANK.EQ('Core Values Input'!$U174,'Core Values Input'!$U$2:$U$201,0),NumberOfTeams),NumberOfTeams+1)</f>
        <v>1</v>
      </c>
      <c r="W174" s="99"/>
      <c r="X174" s="99"/>
      <c r="Y174" s="99"/>
    </row>
    <row r="175" ht="30.0" customHeight="1">
      <c r="A175" s="38" t="str">
        <f t="array" ref="A175">XLOOKUP(174,'Team and Program Information'!$B$3:$B$202,'Team and Program Information'!$C$3:$C$202,"ERROR",0)</f>
        <v/>
      </c>
      <c r="B175" s="68" t="str">
        <f t="array" ref="B175">XLOOKUP('Core Values Input'!$A175,'Team and Program Information'!$C$3:$C$202,'Team and Program Information'!$D$3:$D$202,"",0,)</f>
        <v>#VALUE!</v>
      </c>
      <c r="C175" s="97" t="str">
        <f t="array" ref="C175">XLOOKUP('Core Values Input'!$A175,'Innovation Project Input'!$A$2:$A$201,'Innovation Project Input'!$D$2:$D$201)</f>
        <v>#N/A</v>
      </c>
      <c r="D175" s="97" t="str">
        <f t="array" ref="D175">XLOOKUP('Core Values Input'!$A175,'Innovation Project Input'!$A$2:$A$201,'Innovation Project Input'!$F$2:$F$201)</f>
        <v>#N/A</v>
      </c>
      <c r="E175" s="97" t="str">
        <f t="array" ref="E175">XLOOKUP('Core Values Input'!$A175,'Innovation Project Input'!$A$2:$A$201,'Innovation Project Input'!$G$2:$G$201)</f>
        <v>#N/A</v>
      </c>
      <c r="F175" s="97" t="str">
        <f t="array" ref="F175">XLOOKUP('Core Values Input'!$A175,'Innovation Project Input'!$A$2:$A$201,'Innovation Project Input'!$K$2:$K$201)</f>
        <v>#N/A</v>
      </c>
      <c r="G175" s="97" t="str">
        <f t="array" ref="G175">XLOOKUP('Core Values Input'!$A175,'Innovation Project Input'!$A$2:$A$201,'Innovation Project Input'!$L$2:$L$201)</f>
        <v>#N/A</v>
      </c>
      <c r="H175" s="97" t="str">
        <f t="array" ref="H175">XLOOKUP('Core Values Input'!$A175,'Robot Design Input'!$A$2:$A$201,'Robot Design Input'!$D$2:$D$201)</f>
        <v/>
      </c>
      <c r="I175" s="97" t="str">
        <f t="array" ref="I175">XLOOKUP('Core Values Input'!$A175,'Robot Design Input'!$A$2:$A$201,'Robot Design Input'!$E$2:$E$201)</f>
        <v/>
      </c>
      <c r="J175" s="97" t="str">
        <f t="array" ref="J175">XLOOKUP('Core Values Input'!$A175,'Robot Design Input'!$A$2:$A$201,'Robot Design Input'!$J$2:$J$201)</f>
        <v/>
      </c>
      <c r="K175" s="97" t="str">
        <f t="array" ref="K175">XLOOKUP('Core Values Input'!$A175,'Robot Design Input'!$A$2:$A$201,'Robot Design Input'!$K$2:$K$201)</f>
        <v/>
      </c>
      <c r="L175" s="97" t="str">
        <f t="array" ref="L175">XLOOKUP('Core Values Input'!$A175,'Robot Design Input'!$A$2:$A$201,'Robot Design Input'!$L$2:$L$201)</f>
        <v/>
      </c>
      <c r="M175" s="38"/>
      <c r="N175" s="38"/>
      <c r="O175" s="38"/>
      <c r="P175" s="38"/>
      <c r="Q175" s="38"/>
      <c r="R175" s="38" t="str">
        <f>IF('Core Values Input'!$M175="","",COUNTIF('Core Values Input'!$M175:$Q175,""))</f>
        <v/>
      </c>
      <c r="S175" s="38" t="str">
        <f>IF('Core Values Input'!$M175="","",SUM('Core Values Input'!$M175:$Q175))</f>
        <v/>
      </c>
      <c r="T175" s="38" t="str">
        <f>IF('Core Values Input'!$R175=3,SUM('Core Values Input'!$M175:$Q175),IF('Core Values Input'!$R175=4,SUM('Core Values Input'!$M175:$Q175),IF('Core Values Input'!$R175=2,'Core Values Input'!$S175,IF('Core Values Input'!$R175=1,'Core Values Input'!$S175*0.75,IF('Core Values Input'!$R175=0,'Core Values Input'!$S175*0.6,"")))))</f>
        <v/>
      </c>
      <c r="U175" s="100" t="str">
        <f>SUM('Core Values Input'!$C175:$L175,'Core Values Input'!$T175)</f>
        <v>#N/A</v>
      </c>
      <c r="V175" s="80">
        <f>IF('Core Values Input'!$A175&gt;0,MIN(_xlfn.RANK.EQ('Core Values Input'!$U175,'Core Values Input'!$U$2:$U$201,0),NumberOfTeams),NumberOfTeams+1)</f>
        <v>1</v>
      </c>
      <c r="W175" s="99"/>
      <c r="X175" s="99"/>
      <c r="Y175" s="99"/>
    </row>
    <row r="176" ht="30.0" customHeight="1">
      <c r="A176" s="38" t="str">
        <f t="array" ref="A176">XLOOKUP(175,'Team and Program Information'!$B$3:$B$202,'Team and Program Information'!$C$3:$C$202,"ERROR",0)</f>
        <v/>
      </c>
      <c r="B176" s="68" t="str">
        <f t="array" ref="B176">XLOOKUP('Core Values Input'!$A176,'Team and Program Information'!$C$3:$C$202,'Team and Program Information'!$D$3:$D$202,"",0,)</f>
        <v>#VALUE!</v>
      </c>
      <c r="C176" s="97" t="str">
        <f t="array" ref="C176">XLOOKUP('Core Values Input'!$A176,'Innovation Project Input'!$A$2:$A$201,'Innovation Project Input'!$D$2:$D$201)</f>
        <v>#N/A</v>
      </c>
      <c r="D176" s="97" t="str">
        <f t="array" ref="D176">XLOOKUP('Core Values Input'!$A176,'Innovation Project Input'!$A$2:$A$201,'Innovation Project Input'!$F$2:$F$201)</f>
        <v>#N/A</v>
      </c>
      <c r="E176" s="97" t="str">
        <f t="array" ref="E176">XLOOKUP('Core Values Input'!$A176,'Innovation Project Input'!$A$2:$A$201,'Innovation Project Input'!$G$2:$G$201)</f>
        <v>#N/A</v>
      </c>
      <c r="F176" s="97" t="str">
        <f t="array" ref="F176">XLOOKUP('Core Values Input'!$A176,'Innovation Project Input'!$A$2:$A$201,'Innovation Project Input'!$K$2:$K$201)</f>
        <v>#N/A</v>
      </c>
      <c r="G176" s="97" t="str">
        <f t="array" ref="G176">XLOOKUP('Core Values Input'!$A176,'Innovation Project Input'!$A$2:$A$201,'Innovation Project Input'!$L$2:$L$201)</f>
        <v>#N/A</v>
      </c>
      <c r="H176" s="97" t="str">
        <f t="array" ref="H176">XLOOKUP('Core Values Input'!$A176,'Robot Design Input'!$A$2:$A$201,'Robot Design Input'!$D$2:$D$201)</f>
        <v/>
      </c>
      <c r="I176" s="97" t="str">
        <f t="array" ref="I176">XLOOKUP('Core Values Input'!$A176,'Robot Design Input'!$A$2:$A$201,'Robot Design Input'!$E$2:$E$201)</f>
        <v/>
      </c>
      <c r="J176" s="97" t="str">
        <f t="array" ref="J176">XLOOKUP('Core Values Input'!$A176,'Robot Design Input'!$A$2:$A$201,'Robot Design Input'!$J$2:$J$201)</f>
        <v/>
      </c>
      <c r="K176" s="97" t="str">
        <f t="array" ref="K176">XLOOKUP('Core Values Input'!$A176,'Robot Design Input'!$A$2:$A$201,'Robot Design Input'!$K$2:$K$201)</f>
        <v/>
      </c>
      <c r="L176" s="97" t="str">
        <f t="array" ref="L176">XLOOKUP('Core Values Input'!$A176,'Robot Design Input'!$A$2:$A$201,'Robot Design Input'!$L$2:$L$201)</f>
        <v/>
      </c>
      <c r="M176" s="38"/>
      <c r="N176" s="38"/>
      <c r="O176" s="38"/>
      <c r="P176" s="38"/>
      <c r="Q176" s="38"/>
      <c r="R176" s="38" t="str">
        <f>IF('Core Values Input'!$M176="","",COUNTIF('Core Values Input'!$M176:$Q176,""))</f>
        <v/>
      </c>
      <c r="S176" s="38" t="str">
        <f>IF('Core Values Input'!$M176="","",SUM('Core Values Input'!$M176:$Q176))</f>
        <v/>
      </c>
      <c r="T176" s="38" t="str">
        <f>IF('Core Values Input'!$R176=3,SUM('Core Values Input'!$M176:$Q176),IF('Core Values Input'!$R176=4,SUM('Core Values Input'!$M176:$Q176),IF('Core Values Input'!$R176=2,'Core Values Input'!$S176,IF('Core Values Input'!$R176=1,'Core Values Input'!$S176*0.75,IF('Core Values Input'!$R176=0,'Core Values Input'!$S176*0.6,"")))))</f>
        <v/>
      </c>
      <c r="U176" s="100" t="str">
        <f>SUM('Core Values Input'!$C176:$L176,'Core Values Input'!$T176)</f>
        <v>#N/A</v>
      </c>
      <c r="V176" s="80">
        <f>IF('Core Values Input'!$A176&gt;0,MIN(_xlfn.RANK.EQ('Core Values Input'!$U176,'Core Values Input'!$U$2:$U$201,0),NumberOfTeams),NumberOfTeams+1)</f>
        <v>1</v>
      </c>
      <c r="W176" s="99"/>
      <c r="X176" s="99"/>
      <c r="Y176" s="99"/>
    </row>
    <row r="177" ht="30.0" customHeight="1">
      <c r="A177" s="38" t="str">
        <f t="array" ref="A177">XLOOKUP(176,'Team and Program Information'!$B$3:$B$202,'Team and Program Information'!$C$3:$C$202,"ERROR",0)</f>
        <v/>
      </c>
      <c r="B177" s="68" t="str">
        <f t="array" ref="B177">XLOOKUP('Core Values Input'!$A177,'Team and Program Information'!$C$3:$C$202,'Team and Program Information'!$D$3:$D$202,"",0,)</f>
        <v>#VALUE!</v>
      </c>
      <c r="C177" s="97" t="str">
        <f t="array" ref="C177">XLOOKUP('Core Values Input'!$A177,'Innovation Project Input'!$A$2:$A$201,'Innovation Project Input'!$D$2:$D$201)</f>
        <v>#N/A</v>
      </c>
      <c r="D177" s="97" t="str">
        <f t="array" ref="D177">XLOOKUP('Core Values Input'!$A177,'Innovation Project Input'!$A$2:$A$201,'Innovation Project Input'!$F$2:$F$201)</f>
        <v>#N/A</v>
      </c>
      <c r="E177" s="97" t="str">
        <f t="array" ref="E177">XLOOKUP('Core Values Input'!$A177,'Innovation Project Input'!$A$2:$A$201,'Innovation Project Input'!$G$2:$G$201)</f>
        <v>#N/A</v>
      </c>
      <c r="F177" s="97" t="str">
        <f t="array" ref="F177">XLOOKUP('Core Values Input'!$A177,'Innovation Project Input'!$A$2:$A$201,'Innovation Project Input'!$K$2:$K$201)</f>
        <v>#N/A</v>
      </c>
      <c r="G177" s="97" t="str">
        <f t="array" ref="G177">XLOOKUP('Core Values Input'!$A177,'Innovation Project Input'!$A$2:$A$201,'Innovation Project Input'!$L$2:$L$201)</f>
        <v>#N/A</v>
      </c>
      <c r="H177" s="97" t="str">
        <f t="array" ref="H177">XLOOKUP('Core Values Input'!$A177,'Robot Design Input'!$A$2:$A$201,'Robot Design Input'!$D$2:$D$201)</f>
        <v/>
      </c>
      <c r="I177" s="97" t="str">
        <f t="array" ref="I177">XLOOKUP('Core Values Input'!$A177,'Robot Design Input'!$A$2:$A$201,'Robot Design Input'!$E$2:$E$201)</f>
        <v/>
      </c>
      <c r="J177" s="97" t="str">
        <f t="array" ref="J177">XLOOKUP('Core Values Input'!$A177,'Robot Design Input'!$A$2:$A$201,'Robot Design Input'!$J$2:$J$201)</f>
        <v/>
      </c>
      <c r="K177" s="97" t="str">
        <f t="array" ref="K177">XLOOKUP('Core Values Input'!$A177,'Robot Design Input'!$A$2:$A$201,'Robot Design Input'!$K$2:$K$201)</f>
        <v/>
      </c>
      <c r="L177" s="97" t="str">
        <f t="array" ref="L177">XLOOKUP('Core Values Input'!$A177,'Robot Design Input'!$A$2:$A$201,'Robot Design Input'!$L$2:$L$201)</f>
        <v/>
      </c>
      <c r="M177" s="38"/>
      <c r="N177" s="38"/>
      <c r="O177" s="38"/>
      <c r="P177" s="38"/>
      <c r="Q177" s="38"/>
      <c r="R177" s="38" t="str">
        <f>IF('Core Values Input'!$M177="","",COUNTIF('Core Values Input'!$M177:$Q177,""))</f>
        <v/>
      </c>
      <c r="S177" s="38" t="str">
        <f>IF('Core Values Input'!$M177="","",SUM('Core Values Input'!$M177:$Q177))</f>
        <v/>
      </c>
      <c r="T177" s="38" t="str">
        <f>IF('Core Values Input'!$R177=3,SUM('Core Values Input'!$M177:$Q177),IF('Core Values Input'!$R177=4,SUM('Core Values Input'!$M177:$Q177),IF('Core Values Input'!$R177=2,'Core Values Input'!$S177,IF('Core Values Input'!$R177=1,'Core Values Input'!$S177*0.75,IF('Core Values Input'!$R177=0,'Core Values Input'!$S177*0.6,"")))))</f>
        <v/>
      </c>
      <c r="U177" s="100" t="str">
        <f>SUM('Core Values Input'!$C177:$L177,'Core Values Input'!$T177)</f>
        <v>#N/A</v>
      </c>
      <c r="V177" s="80">
        <f>IF('Core Values Input'!$A177&gt;0,MIN(_xlfn.RANK.EQ('Core Values Input'!$U177,'Core Values Input'!$U$2:$U$201,0),NumberOfTeams),NumberOfTeams+1)</f>
        <v>1</v>
      </c>
      <c r="W177" s="99"/>
      <c r="X177" s="99"/>
      <c r="Y177" s="99"/>
    </row>
    <row r="178" ht="30.0" customHeight="1">
      <c r="A178" s="38" t="str">
        <f t="array" ref="A178">XLOOKUP(177,'Team and Program Information'!$B$3:$B$202,'Team and Program Information'!$C$3:$C$202,"ERROR",0)</f>
        <v/>
      </c>
      <c r="B178" s="68" t="str">
        <f t="array" ref="B178">XLOOKUP('Core Values Input'!$A178,'Team and Program Information'!$C$3:$C$202,'Team and Program Information'!$D$3:$D$202,"",0,)</f>
        <v>#VALUE!</v>
      </c>
      <c r="C178" s="97" t="str">
        <f t="array" ref="C178">XLOOKUP('Core Values Input'!$A178,'Innovation Project Input'!$A$2:$A$201,'Innovation Project Input'!$D$2:$D$201)</f>
        <v>#N/A</v>
      </c>
      <c r="D178" s="97" t="str">
        <f t="array" ref="D178">XLOOKUP('Core Values Input'!$A178,'Innovation Project Input'!$A$2:$A$201,'Innovation Project Input'!$F$2:$F$201)</f>
        <v>#N/A</v>
      </c>
      <c r="E178" s="97" t="str">
        <f t="array" ref="E178">XLOOKUP('Core Values Input'!$A178,'Innovation Project Input'!$A$2:$A$201,'Innovation Project Input'!$G$2:$G$201)</f>
        <v>#N/A</v>
      </c>
      <c r="F178" s="97" t="str">
        <f t="array" ref="F178">XLOOKUP('Core Values Input'!$A178,'Innovation Project Input'!$A$2:$A$201,'Innovation Project Input'!$K$2:$K$201)</f>
        <v>#N/A</v>
      </c>
      <c r="G178" s="97" t="str">
        <f t="array" ref="G178">XLOOKUP('Core Values Input'!$A178,'Innovation Project Input'!$A$2:$A$201,'Innovation Project Input'!$L$2:$L$201)</f>
        <v>#N/A</v>
      </c>
      <c r="H178" s="97" t="str">
        <f t="array" ref="H178">XLOOKUP('Core Values Input'!$A178,'Robot Design Input'!$A$2:$A$201,'Robot Design Input'!$D$2:$D$201)</f>
        <v/>
      </c>
      <c r="I178" s="97" t="str">
        <f t="array" ref="I178">XLOOKUP('Core Values Input'!$A178,'Robot Design Input'!$A$2:$A$201,'Robot Design Input'!$E$2:$E$201)</f>
        <v/>
      </c>
      <c r="J178" s="97" t="str">
        <f t="array" ref="J178">XLOOKUP('Core Values Input'!$A178,'Robot Design Input'!$A$2:$A$201,'Robot Design Input'!$J$2:$J$201)</f>
        <v/>
      </c>
      <c r="K178" s="97" t="str">
        <f t="array" ref="K178">XLOOKUP('Core Values Input'!$A178,'Robot Design Input'!$A$2:$A$201,'Robot Design Input'!$K$2:$K$201)</f>
        <v/>
      </c>
      <c r="L178" s="97" t="str">
        <f t="array" ref="L178">XLOOKUP('Core Values Input'!$A178,'Robot Design Input'!$A$2:$A$201,'Robot Design Input'!$L$2:$L$201)</f>
        <v/>
      </c>
      <c r="M178" s="38"/>
      <c r="N178" s="38"/>
      <c r="O178" s="38"/>
      <c r="P178" s="38"/>
      <c r="Q178" s="38"/>
      <c r="R178" s="38" t="str">
        <f>IF('Core Values Input'!$M178="","",COUNTIF('Core Values Input'!$M178:$Q178,""))</f>
        <v/>
      </c>
      <c r="S178" s="38" t="str">
        <f>IF('Core Values Input'!$M178="","",SUM('Core Values Input'!$M178:$Q178))</f>
        <v/>
      </c>
      <c r="T178" s="38" t="str">
        <f>IF('Core Values Input'!$R178=3,SUM('Core Values Input'!$M178:$Q178),IF('Core Values Input'!$R178=4,SUM('Core Values Input'!$M178:$Q178),IF('Core Values Input'!$R178=2,'Core Values Input'!$S178,IF('Core Values Input'!$R178=1,'Core Values Input'!$S178*0.75,IF('Core Values Input'!$R178=0,'Core Values Input'!$S178*0.6,"")))))</f>
        <v/>
      </c>
      <c r="U178" s="100" t="str">
        <f>SUM('Core Values Input'!$C178:$L178,'Core Values Input'!$T178)</f>
        <v>#N/A</v>
      </c>
      <c r="V178" s="80">
        <f>IF('Core Values Input'!$A178&gt;0,MIN(_xlfn.RANK.EQ('Core Values Input'!$U178,'Core Values Input'!$U$2:$U$201,0),NumberOfTeams),NumberOfTeams+1)</f>
        <v>1</v>
      </c>
      <c r="W178" s="99"/>
      <c r="X178" s="99"/>
      <c r="Y178" s="99"/>
    </row>
    <row r="179" ht="30.0" customHeight="1">
      <c r="A179" s="38" t="str">
        <f t="array" ref="A179">XLOOKUP(178,'Team and Program Information'!$B$3:$B$202,'Team and Program Information'!$C$3:$C$202,"ERROR",0)</f>
        <v/>
      </c>
      <c r="B179" s="68" t="str">
        <f t="array" ref="B179">XLOOKUP('Core Values Input'!$A179,'Team and Program Information'!$C$3:$C$202,'Team and Program Information'!$D$3:$D$202,"",0,)</f>
        <v>#VALUE!</v>
      </c>
      <c r="C179" s="97" t="str">
        <f t="array" ref="C179">XLOOKUP('Core Values Input'!$A179,'Innovation Project Input'!$A$2:$A$201,'Innovation Project Input'!$D$2:$D$201)</f>
        <v>#N/A</v>
      </c>
      <c r="D179" s="97" t="str">
        <f t="array" ref="D179">XLOOKUP('Core Values Input'!$A179,'Innovation Project Input'!$A$2:$A$201,'Innovation Project Input'!$F$2:$F$201)</f>
        <v>#N/A</v>
      </c>
      <c r="E179" s="97" t="str">
        <f t="array" ref="E179">XLOOKUP('Core Values Input'!$A179,'Innovation Project Input'!$A$2:$A$201,'Innovation Project Input'!$G$2:$G$201)</f>
        <v>#N/A</v>
      </c>
      <c r="F179" s="97" t="str">
        <f t="array" ref="F179">XLOOKUP('Core Values Input'!$A179,'Innovation Project Input'!$A$2:$A$201,'Innovation Project Input'!$K$2:$K$201)</f>
        <v>#N/A</v>
      </c>
      <c r="G179" s="97" t="str">
        <f t="array" ref="G179">XLOOKUP('Core Values Input'!$A179,'Innovation Project Input'!$A$2:$A$201,'Innovation Project Input'!$L$2:$L$201)</f>
        <v>#N/A</v>
      </c>
      <c r="H179" s="97" t="str">
        <f t="array" ref="H179">XLOOKUP('Core Values Input'!$A179,'Robot Design Input'!$A$2:$A$201,'Robot Design Input'!$D$2:$D$201)</f>
        <v/>
      </c>
      <c r="I179" s="97" t="str">
        <f t="array" ref="I179">XLOOKUP('Core Values Input'!$A179,'Robot Design Input'!$A$2:$A$201,'Robot Design Input'!$E$2:$E$201)</f>
        <v/>
      </c>
      <c r="J179" s="97" t="str">
        <f t="array" ref="J179">XLOOKUP('Core Values Input'!$A179,'Robot Design Input'!$A$2:$A$201,'Robot Design Input'!$J$2:$J$201)</f>
        <v/>
      </c>
      <c r="K179" s="97" t="str">
        <f t="array" ref="K179">XLOOKUP('Core Values Input'!$A179,'Robot Design Input'!$A$2:$A$201,'Robot Design Input'!$K$2:$K$201)</f>
        <v/>
      </c>
      <c r="L179" s="97" t="str">
        <f t="array" ref="L179">XLOOKUP('Core Values Input'!$A179,'Robot Design Input'!$A$2:$A$201,'Robot Design Input'!$L$2:$L$201)</f>
        <v/>
      </c>
      <c r="M179" s="38"/>
      <c r="N179" s="38"/>
      <c r="O179" s="38"/>
      <c r="P179" s="38"/>
      <c r="Q179" s="38"/>
      <c r="R179" s="38" t="str">
        <f>IF('Core Values Input'!$M179="","",COUNTIF('Core Values Input'!$M179:$Q179,""))</f>
        <v/>
      </c>
      <c r="S179" s="38" t="str">
        <f>IF('Core Values Input'!$M179="","",SUM('Core Values Input'!$M179:$Q179))</f>
        <v/>
      </c>
      <c r="T179" s="38" t="str">
        <f>IF('Core Values Input'!$R179=3,SUM('Core Values Input'!$M179:$Q179),IF('Core Values Input'!$R179=4,SUM('Core Values Input'!$M179:$Q179),IF('Core Values Input'!$R179=2,'Core Values Input'!$S179,IF('Core Values Input'!$R179=1,'Core Values Input'!$S179*0.75,IF('Core Values Input'!$R179=0,'Core Values Input'!$S179*0.6,"")))))</f>
        <v/>
      </c>
      <c r="U179" s="100" t="str">
        <f>SUM('Core Values Input'!$C179:$L179,'Core Values Input'!$T179)</f>
        <v>#N/A</v>
      </c>
      <c r="V179" s="80">
        <f>IF('Core Values Input'!$A179&gt;0,MIN(_xlfn.RANK.EQ('Core Values Input'!$U179,'Core Values Input'!$U$2:$U$201,0),NumberOfTeams),NumberOfTeams+1)</f>
        <v>1</v>
      </c>
      <c r="W179" s="99"/>
      <c r="X179" s="99"/>
      <c r="Y179" s="99"/>
    </row>
    <row r="180" ht="30.0" customHeight="1">
      <c r="A180" s="38" t="str">
        <f t="array" ref="A180">XLOOKUP(179,'Team and Program Information'!$B$3:$B$202,'Team and Program Information'!$C$3:$C$202,"ERROR",0)</f>
        <v/>
      </c>
      <c r="B180" s="68" t="str">
        <f t="array" ref="B180">XLOOKUP('Core Values Input'!$A180,'Team and Program Information'!$C$3:$C$202,'Team and Program Information'!$D$3:$D$202,"",0,)</f>
        <v>#VALUE!</v>
      </c>
      <c r="C180" s="97" t="str">
        <f t="array" ref="C180">XLOOKUP('Core Values Input'!$A180,'Innovation Project Input'!$A$2:$A$201,'Innovation Project Input'!$D$2:$D$201)</f>
        <v>#N/A</v>
      </c>
      <c r="D180" s="97" t="str">
        <f t="array" ref="D180">XLOOKUP('Core Values Input'!$A180,'Innovation Project Input'!$A$2:$A$201,'Innovation Project Input'!$F$2:$F$201)</f>
        <v>#N/A</v>
      </c>
      <c r="E180" s="97" t="str">
        <f t="array" ref="E180">XLOOKUP('Core Values Input'!$A180,'Innovation Project Input'!$A$2:$A$201,'Innovation Project Input'!$G$2:$G$201)</f>
        <v>#N/A</v>
      </c>
      <c r="F180" s="97" t="str">
        <f t="array" ref="F180">XLOOKUP('Core Values Input'!$A180,'Innovation Project Input'!$A$2:$A$201,'Innovation Project Input'!$K$2:$K$201)</f>
        <v>#N/A</v>
      </c>
      <c r="G180" s="97" t="str">
        <f t="array" ref="G180">XLOOKUP('Core Values Input'!$A180,'Innovation Project Input'!$A$2:$A$201,'Innovation Project Input'!$L$2:$L$201)</f>
        <v>#N/A</v>
      </c>
      <c r="H180" s="97" t="str">
        <f t="array" ref="H180">XLOOKUP('Core Values Input'!$A180,'Robot Design Input'!$A$2:$A$201,'Robot Design Input'!$D$2:$D$201)</f>
        <v/>
      </c>
      <c r="I180" s="97" t="str">
        <f t="array" ref="I180">XLOOKUP('Core Values Input'!$A180,'Robot Design Input'!$A$2:$A$201,'Robot Design Input'!$E$2:$E$201)</f>
        <v/>
      </c>
      <c r="J180" s="97" t="str">
        <f t="array" ref="J180">XLOOKUP('Core Values Input'!$A180,'Robot Design Input'!$A$2:$A$201,'Robot Design Input'!$J$2:$J$201)</f>
        <v/>
      </c>
      <c r="K180" s="97" t="str">
        <f t="array" ref="K180">XLOOKUP('Core Values Input'!$A180,'Robot Design Input'!$A$2:$A$201,'Robot Design Input'!$K$2:$K$201)</f>
        <v/>
      </c>
      <c r="L180" s="97" t="str">
        <f t="array" ref="L180">XLOOKUP('Core Values Input'!$A180,'Robot Design Input'!$A$2:$A$201,'Robot Design Input'!$L$2:$L$201)</f>
        <v/>
      </c>
      <c r="M180" s="38"/>
      <c r="N180" s="38"/>
      <c r="O180" s="38"/>
      <c r="P180" s="38"/>
      <c r="Q180" s="38"/>
      <c r="R180" s="38" t="str">
        <f>IF('Core Values Input'!$M180="","",COUNTIF('Core Values Input'!$M180:$Q180,""))</f>
        <v/>
      </c>
      <c r="S180" s="38" t="str">
        <f>IF('Core Values Input'!$M180="","",SUM('Core Values Input'!$M180:$Q180))</f>
        <v/>
      </c>
      <c r="T180" s="38" t="str">
        <f>IF('Core Values Input'!$R180=3,SUM('Core Values Input'!$M180:$Q180),IF('Core Values Input'!$R180=4,SUM('Core Values Input'!$M180:$Q180),IF('Core Values Input'!$R180=2,'Core Values Input'!$S180,IF('Core Values Input'!$R180=1,'Core Values Input'!$S180*0.75,IF('Core Values Input'!$R180=0,'Core Values Input'!$S180*0.6,"")))))</f>
        <v/>
      </c>
      <c r="U180" s="100" t="str">
        <f>SUM('Core Values Input'!$C180:$L180,'Core Values Input'!$T180)</f>
        <v>#N/A</v>
      </c>
      <c r="V180" s="80">
        <f>IF('Core Values Input'!$A180&gt;0,MIN(_xlfn.RANK.EQ('Core Values Input'!$U180,'Core Values Input'!$U$2:$U$201,0),NumberOfTeams),NumberOfTeams+1)</f>
        <v>1</v>
      </c>
      <c r="W180" s="99"/>
      <c r="X180" s="99"/>
      <c r="Y180" s="99"/>
    </row>
    <row r="181" ht="30.0" customHeight="1">
      <c r="A181" s="38" t="str">
        <f t="array" ref="A181">XLOOKUP(180,'Team and Program Information'!$B$3:$B$202,'Team and Program Information'!$C$3:$C$202,"ERROR",0)</f>
        <v/>
      </c>
      <c r="B181" s="68" t="str">
        <f t="array" ref="B181">XLOOKUP('Core Values Input'!$A181,'Team and Program Information'!$C$3:$C$202,'Team and Program Information'!$D$3:$D$202,"",0,)</f>
        <v>#VALUE!</v>
      </c>
      <c r="C181" s="97" t="str">
        <f t="array" ref="C181">XLOOKUP('Core Values Input'!$A181,'Innovation Project Input'!$A$2:$A$201,'Innovation Project Input'!$D$2:$D$201)</f>
        <v>#N/A</v>
      </c>
      <c r="D181" s="97" t="str">
        <f t="array" ref="D181">XLOOKUP('Core Values Input'!$A181,'Innovation Project Input'!$A$2:$A$201,'Innovation Project Input'!$F$2:$F$201)</f>
        <v>#N/A</v>
      </c>
      <c r="E181" s="97" t="str">
        <f t="array" ref="E181">XLOOKUP('Core Values Input'!$A181,'Innovation Project Input'!$A$2:$A$201,'Innovation Project Input'!$G$2:$G$201)</f>
        <v>#N/A</v>
      </c>
      <c r="F181" s="97" t="str">
        <f t="array" ref="F181">XLOOKUP('Core Values Input'!$A181,'Innovation Project Input'!$A$2:$A$201,'Innovation Project Input'!$K$2:$K$201)</f>
        <v>#N/A</v>
      </c>
      <c r="G181" s="97" t="str">
        <f t="array" ref="G181">XLOOKUP('Core Values Input'!$A181,'Innovation Project Input'!$A$2:$A$201,'Innovation Project Input'!$L$2:$L$201)</f>
        <v>#N/A</v>
      </c>
      <c r="H181" s="97" t="str">
        <f t="array" ref="H181">XLOOKUP('Core Values Input'!$A181,'Robot Design Input'!$A$2:$A$201,'Robot Design Input'!$D$2:$D$201)</f>
        <v/>
      </c>
      <c r="I181" s="97" t="str">
        <f t="array" ref="I181">XLOOKUP('Core Values Input'!$A181,'Robot Design Input'!$A$2:$A$201,'Robot Design Input'!$E$2:$E$201)</f>
        <v/>
      </c>
      <c r="J181" s="97" t="str">
        <f t="array" ref="J181">XLOOKUP('Core Values Input'!$A181,'Robot Design Input'!$A$2:$A$201,'Robot Design Input'!$J$2:$J$201)</f>
        <v/>
      </c>
      <c r="K181" s="97" t="str">
        <f t="array" ref="K181">XLOOKUP('Core Values Input'!$A181,'Robot Design Input'!$A$2:$A$201,'Robot Design Input'!$K$2:$K$201)</f>
        <v/>
      </c>
      <c r="L181" s="97" t="str">
        <f t="array" ref="L181">XLOOKUP('Core Values Input'!$A181,'Robot Design Input'!$A$2:$A$201,'Robot Design Input'!$L$2:$L$201)</f>
        <v/>
      </c>
      <c r="M181" s="38"/>
      <c r="N181" s="38"/>
      <c r="O181" s="38"/>
      <c r="P181" s="38"/>
      <c r="Q181" s="38"/>
      <c r="R181" s="38" t="str">
        <f>IF('Core Values Input'!$M181="","",COUNTIF('Core Values Input'!$M181:$Q181,""))</f>
        <v/>
      </c>
      <c r="S181" s="38" t="str">
        <f>IF('Core Values Input'!$M181="","",SUM('Core Values Input'!$M181:$Q181))</f>
        <v/>
      </c>
      <c r="T181" s="38" t="str">
        <f>IF('Core Values Input'!$R181=3,SUM('Core Values Input'!$M181:$Q181),IF('Core Values Input'!$R181=4,SUM('Core Values Input'!$M181:$Q181),IF('Core Values Input'!$R181=2,'Core Values Input'!$S181,IF('Core Values Input'!$R181=1,'Core Values Input'!$S181*0.75,IF('Core Values Input'!$R181=0,'Core Values Input'!$S181*0.6,"")))))</f>
        <v/>
      </c>
      <c r="U181" s="100" t="str">
        <f>SUM('Core Values Input'!$C181:$L181,'Core Values Input'!$T181)</f>
        <v>#N/A</v>
      </c>
      <c r="V181" s="80">
        <f>IF('Core Values Input'!$A181&gt;0,MIN(_xlfn.RANK.EQ('Core Values Input'!$U181,'Core Values Input'!$U$2:$U$201,0),NumberOfTeams),NumberOfTeams+1)</f>
        <v>1</v>
      </c>
      <c r="W181" s="99"/>
      <c r="X181" s="99"/>
      <c r="Y181" s="99"/>
    </row>
    <row r="182" ht="30.0" customHeight="1">
      <c r="A182" s="38" t="str">
        <f t="array" ref="A182">XLOOKUP(181,'Team and Program Information'!$B$3:$B$202,'Team and Program Information'!$C$3:$C$202,"ERROR",0)</f>
        <v/>
      </c>
      <c r="B182" s="68" t="str">
        <f t="array" ref="B182">XLOOKUP('Core Values Input'!$A182,'Team and Program Information'!$C$3:$C$202,'Team and Program Information'!$D$3:$D$202,"",0,)</f>
        <v>#VALUE!</v>
      </c>
      <c r="C182" s="97" t="str">
        <f t="array" ref="C182">XLOOKUP('Core Values Input'!$A182,'Innovation Project Input'!$A$2:$A$201,'Innovation Project Input'!$D$2:$D$201)</f>
        <v>#N/A</v>
      </c>
      <c r="D182" s="97" t="str">
        <f t="array" ref="D182">XLOOKUP('Core Values Input'!$A182,'Innovation Project Input'!$A$2:$A$201,'Innovation Project Input'!$F$2:$F$201)</f>
        <v>#N/A</v>
      </c>
      <c r="E182" s="97" t="str">
        <f t="array" ref="E182">XLOOKUP('Core Values Input'!$A182,'Innovation Project Input'!$A$2:$A$201,'Innovation Project Input'!$G$2:$G$201)</f>
        <v>#N/A</v>
      </c>
      <c r="F182" s="97" t="str">
        <f t="array" ref="F182">XLOOKUP('Core Values Input'!$A182,'Innovation Project Input'!$A$2:$A$201,'Innovation Project Input'!$K$2:$K$201)</f>
        <v>#N/A</v>
      </c>
      <c r="G182" s="97" t="str">
        <f t="array" ref="G182">XLOOKUP('Core Values Input'!$A182,'Innovation Project Input'!$A$2:$A$201,'Innovation Project Input'!$L$2:$L$201)</f>
        <v>#N/A</v>
      </c>
      <c r="H182" s="97" t="str">
        <f t="array" ref="H182">XLOOKUP('Core Values Input'!$A182,'Robot Design Input'!$A$2:$A$201,'Robot Design Input'!$D$2:$D$201)</f>
        <v/>
      </c>
      <c r="I182" s="97" t="str">
        <f t="array" ref="I182">XLOOKUP('Core Values Input'!$A182,'Robot Design Input'!$A$2:$A$201,'Robot Design Input'!$E$2:$E$201)</f>
        <v/>
      </c>
      <c r="J182" s="97" t="str">
        <f t="array" ref="J182">XLOOKUP('Core Values Input'!$A182,'Robot Design Input'!$A$2:$A$201,'Robot Design Input'!$J$2:$J$201)</f>
        <v/>
      </c>
      <c r="K182" s="97" t="str">
        <f t="array" ref="K182">XLOOKUP('Core Values Input'!$A182,'Robot Design Input'!$A$2:$A$201,'Robot Design Input'!$K$2:$K$201)</f>
        <v/>
      </c>
      <c r="L182" s="97" t="str">
        <f t="array" ref="L182">XLOOKUP('Core Values Input'!$A182,'Robot Design Input'!$A$2:$A$201,'Robot Design Input'!$L$2:$L$201)</f>
        <v/>
      </c>
      <c r="M182" s="38"/>
      <c r="N182" s="38"/>
      <c r="O182" s="38"/>
      <c r="P182" s="38"/>
      <c r="Q182" s="38"/>
      <c r="R182" s="38" t="str">
        <f>IF('Core Values Input'!$M182="","",COUNTIF('Core Values Input'!$M182:$Q182,""))</f>
        <v/>
      </c>
      <c r="S182" s="38" t="str">
        <f>IF('Core Values Input'!$M182="","",SUM('Core Values Input'!$M182:$Q182))</f>
        <v/>
      </c>
      <c r="T182" s="38" t="str">
        <f>IF('Core Values Input'!$R182=3,SUM('Core Values Input'!$M182:$Q182),IF('Core Values Input'!$R182=4,SUM('Core Values Input'!$M182:$Q182),IF('Core Values Input'!$R182=2,'Core Values Input'!$S182,IF('Core Values Input'!$R182=1,'Core Values Input'!$S182*0.75,IF('Core Values Input'!$R182=0,'Core Values Input'!$S182*0.6,"")))))</f>
        <v/>
      </c>
      <c r="U182" s="100" t="str">
        <f>SUM('Core Values Input'!$C182:$L182,'Core Values Input'!$T182)</f>
        <v>#N/A</v>
      </c>
      <c r="V182" s="80">
        <f>IF('Core Values Input'!$A182&gt;0,MIN(_xlfn.RANK.EQ('Core Values Input'!$U182,'Core Values Input'!$U$2:$U$201,0),NumberOfTeams),NumberOfTeams+1)</f>
        <v>1</v>
      </c>
      <c r="W182" s="99"/>
      <c r="X182" s="99"/>
      <c r="Y182" s="99"/>
    </row>
    <row r="183" ht="30.0" customHeight="1">
      <c r="A183" s="38" t="str">
        <f t="array" ref="A183">XLOOKUP(182,'Team and Program Information'!$B$3:$B$202,'Team and Program Information'!$C$3:$C$202,"ERROR",0)</f>
        <v/>
      </c>
      <c r="B183" s="68" t="str">
        <f t="array" ref="B183">XLOOKUP('Core Values Input'!$A183,'Team and Program Information'!$C$3:$C$202,'Team and Program Information'!$D$3:$D$202,"",0,)</f>
        <v>#VALUE!</v>
      </c>
      <c r="C183" s="97" t="str">
        <f t="array" ref="C183">XLOOKUP('Core Values Input'!$A183,'Innovation Project Input'!$A$2:$A$201,'Innovation Project Input'!$D$2:$D$201)</f>
        <v>#N/A</v>
      </c>
      <c r="D183" s="97" t="str">
        <f t="array" ref="D183">XLOOKUP('Core Values Input'!$A183,'Innovation Project Input'!$A$2:$A$201,'Innovation Project Input'!$F$2:$F$201)</f>
        <v>#N/A</v>
      </c>
      <c r="E183" s="97" t="str">
        <f t="array" ref="E183">XLOOKUP('Core Values Input'!$A183,'Innovation Project Input'!$A$2:$A$201,'Innovation Project Input'!$G$2:$G$201)</f>
        <v>#N/A</v>
      </c>
      <c r="F183" s="97" t="str">
        <f t="array" ref="F183">XLOOKUP('Core Values Input'!$A183,'Innovation Project Input'!$A$2:$A$201,'Innovation Project Input'!$K$2:$K$201)</f>
        <v>#N/A</v>
      </c>
      <c r="G183" s="97" t="str">
        <f t="array" ref="G183">XLOOKUP('Core Values Input'!$A183,'Innovation Project Input'!$A$2:$A$201,'Innovation Project Input'!$L$2:$L$201)</f>
        <v>#N/A</v>
      </c>
      <c r="H183" s="97" t="str">
        <f t="array" ref="H183">XLOOKUP('Core Values Input'!$A183,'Robot Design Input'!$A$2:$A$201,'Robot Design Input'!$D$2:$D$201)</f>
        <v/>
      </c>
      <c r="I183" s="97" t="str">
        <f t="array" ref="I183">XLOOKUP('Core Values Input'!$A183,'Robot Design Input'!$A$2:$A$201,'Robot Design Input'!$E$2:$E$201)</f>
        <v/>
      </c>
      <c r="J183" s="97" t="str">
        <f t="array" ref="J183">XLOOKUP('Core Values Input'!$A183,'Robot Design Input'!$A$2:$A$201,'Robot Design Input'!$J$2:$J$201)</f>
        <v/>
      </c>
      <c r="K183" s="97" t="str">
        <f t="array" ref="K183">XLOOKUP('Core Values Input'!$A183,'Robot Design Input'!$A$2:$A$201,'Robot Design Input'!$K$2:$K$201)</f>
        <v/>
      </c>
      <c r="L183" s="97" t="str">
        <f t="array" ref="L183">XLOOKUP('Core Values Input'!$A183,'Robot Design Input'!$A$2:$A$201,'Robot Design Input'!$L$2:$L$201)</f>
        <v/>
      </c>
      <c r="M183" s="38"/>
      <c r="N183" s="38"/>
      <c r="O183" s="38"/>
      <c r="P183" s="38"/>
      <c r="Q183" s="38"/>
      <c r="R183" s="38" t="str">
        <f>IF('Core Values Input'!$M183="","",COUNTIF('Core Values Input'!$M183:$Q183,""))</f>
        <v/>
      </c>
      <c r="S183" s="38" t="str">
        <f>IF('Core Values Input'!$M183="","",SUM('Core Values Input'!$M183:$Q183))</f>
        <v/>
      </c>
      <c r="T183" s="38" t="str">
        <f>IF('Core Values Input'!$R183=3,SUM('Core Values Input'!$M183:$Q183),IF('Core Values Input'!$R183=4,SUM('Core Values Input'!$M183:$Q183),IF('Core Values Input'!$R183=2,'Core Values Input'!$S183,IF('Core Values Input'!$R183=1,'Core Values Input'!$S183*0.75,IF('Core Values Input'!$R183=0,'Core Values Input'!$S183*0.6,"")))))</f>
        <v/>
      </c>
      <c r="U183" s="100" t="str">
        <f>SUM('Core Values Input'!$C183:$L183,'Core Values Input'!$T183)</f>
        <v>#N/A</v>
      </c>
      <c r="V183" s="80">
        <f>IF('Core Values Input'!$A183&gt;0,MIN(_xlfn.RANK.EQ('Core Values Input'!$U183,'Core Values Input'!$U$2:$U$201,0),NumberOfTeams),NumberOfTeams+1)</f>
        <v>1</v>
      </c>
      <c r="W183" s="99"/>
      <c r="X183" s="99"/>
      <c r="Y183" s="99"/>
    </row>
    <row r="184" ht="30.0" customHeight="1">
      <c r="A184" s="38" t="str">
        <f t="array" ref="A184">XLOOKUP(183,'Team and Program Information'!$B$3:$B$202,'Team and Program Information'!$C$3:$C$202,"ERROR",0)</f>
        <v/>
      </c>
      <c r="B184" s="68" t="str">
        <f t="array" ref="B184">XLOOKUP('Core Values Input'!$A184,'Team and Program Information'!$C$3:$C$202,'Team and Program Information'!$D$3:$D$202,"",0,)</f>
        <v>#VALUE!</v>
      </c>
      <c r="C184" s="97" t="str">
        <f t="array" ref="C184">XLOOKUP('Core Values Input'!$A184,'Innovation Project Input'!$A$2:$A$201,'Innovation Project Input'!$D$2:$D$201)</f>
        <v>#N/A</v>
      </c>
      <c r="D184" s="97" t="str">
        <f t="array" ref="D184">XLOOKUP('Core Values Input'!$A184,'Innovation Project Input'!$A$2:$A$201,'Innovation Project Input'!$F$2:$F$201)</f>
        <v>#N/A</v>
      </c>
      <c r="E184" s="97" t="str">
        <f t="array" ref="E184">XLOOKUP('Core Values Input'!$A184,'Innovation Project Input'!$A$2:$A$201,'Innovation Project Input'!$G$2:$G$201)</f>
        <v>#N/A</v>
      </c>
      <c r="F184" s="97" t="str">
        <f t="array" ref="F184">XLOOKUP('Core Values Input'!$A184,'Innovation Project Input'!$A$2:$A$201,'Innovation Project Input'!$K$2:$K$201)</f>
        <v>#N/A</v>
      </c>
      <c r="G184" s="97" t="str">
        <f t="array" ref="G184">XLOOKUP('Core Values Input'!$A184,'Innovation Project Input'!$A$2:$A$201,'Innovation Project Input'!$L$2:$L$201)</f>
        <v>#N/A</v>
      </c>
      <c r="H184" s="97" t="str">
        <f t="array" ref="H184">XLOOKUP('Core Values Input'!$A184,'Robot Design Input'!$A$2:$A$201,'Robot Design Input'!$D$2:$D$201)</f>
        <v/>
      </c>
      <c r="I184" s="97" t="str">
        <f t="array" ref="I184">XLOOKUP('Core Values Input'!$A184,'Robot Design Input'!$A$2:$A$201,'Robot Design Input'!$E$2:$E$201)</f>
        <v/>
      </c>
      <c r="J184" s="97" t="str">
        <f t="array" ref="J184">XLOOKUP('Core Values Input'!$A184,'Robot Design Input'!$A$2:$A$201,'Robot Design Input'!$J$2:$J$201)</f>
        <v/>
      </c>
      <c r="K184" s="97" t="str">
        <f t="array" ref="K184">XLOOKUP('Core Values Input'!$A184,'Robot Design Input'!$A$2:$A$201,'Robot Design Input'!$K$2:$K$201)</f>
        <v/>
      </c>
      <c r="L184" s="97" t="str">
        <f t="array" ref="L184">XLOOKUP('Core Values Input'!$A184,'Robot Design Input'!$A$2:$A$201,'Robot Design Input'!$L$2:$L$201)</f>
        <v/>
      </c>
      <c r="M184" s="38"/>
      <c r="N184" s="38"/>
      <c r="O184" s="38"/>
      <c r="P184" s="38"/>
      <c r="Q184" s="38"/>
      <c r="R184" s="38" t="str">
        <f>IF('Core Values Input'!$M184="","",COUNTIF('Core Values Input'!$M184:$Q184,""))</f>
        <v/>
      </c>
      <c r="S184" s="38" t="str">
        <f>IF('Core Values Input'!$M184="","",SUM('Core Values Input'!$M184:$Q184))</f>
        <v/>
      </c>
      <c r="T184" s="38" t="str">
        <f>IF('Core Values Input'!$R184=3,SUM('Core Values Input'!$M184:$Q184),IF('Core Values Input'!$R184=4,SUM('Core Values Input'!$M184:$Q184),IF('Core Values Input'!$R184=2,'Core Values Input'!$S184,IF('Core Values Input'!$R184=1,'Core Values Input'!$S184*0.75,IF('Core Values Input'!$R184=0,'Core Values Input'!$S184*0.6,"")))))</f>
        <v/>
      </c>
      <c r="U184" s="100" t="str">
        <f>SUM('Core Values Input'!$C184:$L184,'Core Values Input'!$T184)</f>
        <v>#N/A</v>
      </c>
      <c r="V184" s="80">
        <f>IF('Core Values Input'!$A184&gt;0,MIN(_xlfn.RANK.EQ('Core Values Input'!$U184,'Core Values Input'!$U$2:$U$201,0),NumberOfTeams),NumberOfTeams+1)</f>
        <v>1</v>
      </c>
      <c r="W184" s="99"/>
      <c r="X184" s="99"/>
      <c r="Y184" s="99"/>
    </row>
    <row r="185" ht="30.0" customHeight="1">
      <c r="A185" s="38" t="str">
        <f t="array" ref="A185">XLOOKUP(184,'Team and Program Information'!$B$3:$B$202,'Team and Program Information'!$C$3:$C$202,"ERROR",0)</f>
        <v/>
      </c>
      <c r="B185" s="68" t="str">
        <f t="array" ref="B185">XLOOKUP('Core Values Input'!$A185,'Team and Program Information'!$C$3:$C$202,'Team and Program Information'!$D$3:$D$202,"",0,)</f>
        <v>#VALUE!</v>
      </c>
      <c r="C185" s="97" t="str">
        <f t="array" ref="C185">XLOOKUP('Core Values Input'!$A185,'Innovation Project Input'!$A$2:$A$201,'Innovation Project Input'!$D$2:$D$201)</f>
        <v>#N/A</v>
      </c>
      <c r="D185" s="97" t="str">
        <f t="array" ref="D185">XLOOKUP('Core Values Input'!$A185,'Innovation Project Input'!$A$2:$A$201,'Innovation Project Input'!$F$2:$F$201)</f>
        <v>#N/A</v>
      </c>
      <c r="E185" s="97" t="str">
        <f t="array" ref="E185">XLOOKUP('Core Values Input'!$A185,'Innovation Project Input'!$A$2:$A$201,'Innovation Project Input'!$G$2:$G$201)</f>
        <v>#N/A</v>
      </c>
      <c r="F185" s="97" t="str">
        <f t="array" ref="F185">XLOOKUP('Core Values Input'!$A185,'Innovation Project Input'!$A$2:$A$201,'Innovation Project Input'!$K$2:$K$201)</f>
        <v>#N/A</v>
      </c>
      <c r="G185" s="97" t="str">
        <f t="array" ref="G185">XLOOKUP('Core Values Input'!$A185,'Innovation Project Input'!$A$2:$A$201,'Innovation Project Input'!$L$2:$L$201)</f>
        <v>#N/A</v>
      </c>
      <c r="H185" s="97" t="str">
        <f t="array" ref="H185">XLOOKUP('Core Values Input'!$A185,'Robot Design Input'!$A$2:$A$201,'Robot Design Input'!$D$2:$D$201)</f>
        <v/>
      </c>
      <c r="I185" s="97" t="str">
        <f t="array" ref="I185">XLOOKUP('Core Values Input'!$A185,'Robot Design Input'!$A$2:$A$201,'Robot Design Input'!$E$2:$E$201)</f>
        <v/>
      </c>
      <c r="J185" s="97" t="str">
        <f t="array" ref="J185">XLOOKUP('Core Values Input'!$A185,'Robot Design Input'!$A$2:$A$201,'Robot Design Input'!$J$2:$J$201)</f>
        <v/>
      </c>
      <c r="K185" s="97" t="str">
        <f t="array" ref="K185">XLOOKUP('Core Values Input'!$A185,'Robot Design Input'!$A$2:$A$201,'Robot Design Input'!$K$2:$K$201)</f>
        <v/>
      </c>
      <c r="L185" s="97" t="str">
        <f t="array" ref="L185">XLOOKUP('Core Values Input'!$A185,'Robot Design Input'!$A$2:$A$201,'Robot Design Input'!$L$2:$L$201)</f>
        <v/>
      </c>
      <c r="M185" s="38"/>
      <c r="N185" s="38"/>
      <c r="O185" s="38"/>
      <c r="P185" s="38"/>
      <c r="Q185" s="38"/>
      <c r="R185" s="38" t="str">
        <f>IF('Core Values Input'!$M185="","",COUNTIF('Core Values Input'!$M185:$Q185,""))</f>
        <v/>
      </c>
      <c r="S185" s="38" t="str">
        <f>IF('Core Values Input'!$M185="","",SUM('Core Values Input'!$M185:$Q185))</f>
        <v/>
      </c>
      <c r="T185" s="38" t="str">
        <f>IF('Core Values Input'!$R185=3,SUM('Core Values Input'!$M185:$Q185),IF('Core Values Input'!$R185=4,SUM('Core Values Input'!$M185:$Q185),IF('Core Values Input'!$R185=2,'Core Values Input'!$S185,IF('Core Values Input'!$R185=1,'Core Values Input'!$S185*0.75,IF('Core Values Input'!$R185=0,'Core Values Input'!$S185*0.6,"")))))</f>
        <v/>
      </c>
      <c r="U185" s="100" t="str">
        <f>SUM('Core Values Input'!$C185:$L185,'Core Values Input'!$T185)</f>
        <v>#N/A</v>
      </c>
      <c r="V185" s="80">
        <f>IF('Core Values Input'!$A185&gt;0,MIN(_xlfn.RANK.EQ('Core Values Input'!$U185,'Core Values Input'!$U$2:$U$201,0),NumberOfTeams),NumberOfTeams+1)</f>
        <v>1</v>
      </c>
      <c r="W185" s="99"/>
      <c r="X185" s="99"/>
      <c r="Y185" s="99"/>
    </row>
    <row r="186" ht="30.0" customHeight="1">
      <c r="A186" s="38" t="str">
        <f t="array" ref="A186">XLOOKUP(185,'Team and Program Information'!$B$3:$B$202,'Team and Program Information'!$C$3:$C$202,"ERROR",0)</f>
        <v/>
      </c>
      <c r="B186" s="68" t="str">
        <f t="array" ref="B186">XLOOKUP('Core Values Input'!$A186,'Team and Program Information'!$C$3:$C$202,'Team and Program Information'!$D$3:$D$202,"",0,)</f>
        <v>#VALUE!</v>
      </c>
      <c r="C186" s="97" t="str">
        <f t="array" ref="C186">XLOOKUP('Core Values Input'!$A186,'Innovation Project Input'!$A$2:$A$201,'Innovation Project Input'!$D$2:$D$201)</f>
        <v>#N/A</v>
      </c>
      <c r="D186" s="97" t="str">
        <f t="array" ref="D186">XLOOKUP('Core Values Input'!$A186,'Innovation Project Input'!$A$2:$A$201,'Innovation Project Input'!$F$2:$F$201)</f>
        <v>#N/A</v>
      </c>
      <c r="E186" s="97" t="str">
        <f t="array" ref="E186">XLOOKUP('Core Values Input'!$A186,'Innovation Project Input'!$A$2:$A$201,'Innovation Project Input'!$G$2:$G$201)</f>
        <v>#N/A</v>
      </c>
      <c r="F186" s="97" t="str">
        <f t="array" ref="F186">XLOOKUP('Core Values Input'!$A186,'Innovation Project Input'!$A$2:$A$201,'Innovation Project Input'!$K$2:$K$201)</f>
        <v>#N/A</v>
      </c>
      <c r="G186" s="97" t="str">
        <f t="array" ref="G186">XLOOKUP('Core Values Input'!$A186,'Innovation Project Input'!$A$2:$A$201,'Innovation Project Input'!$L$2:$L$201)</f>
        <v>#N/A</v>
      </c>
      <c r="H186" s="97" t="str">
        <f t="array" ref="H186">XLOOKUP('Core Values Input'!$A186,'Robot Design Input'!$A$2:$A$201,'Robot Design Input'!$D$2:$D$201)</f>
        <v/>
      </c>
      <c r="I186" s="97" t="str">
        <f t="array" ref="I186">XLOOKUP('Core Values Input'!$A186,'Robot Design Input'!$A$2:$A$201,'Robot Design Input'!$E$2:$E$201)</f>
        <v/>
      </c>
      <c r="J186" s="97" t="str">
        <f t="array" ref="J186">XLOOKUP('Core Values Input'!$A186,'Robot Design Input'!$A$2:$A$201,'Robot Design Input'!$J$2:$J$201)</f>
        <v/>
      </c>
      <c r="K186" s="97" t="str">
        <f t="array" ref="K186">XLOOKUP('Core Values Input'!$A186,'Robot Design Input'!$A$2:$A$201,'Robot Design Input'!$K$2:$K$201)</f>
        <v/>
      </c>
      <c r="L186" s="97" t="str">
        <f t="array" ref="L186">XLOOKUP('Core Values Input'!$A186,'Robot Design Input'!$A$2:$A$201,'Robot Design Input'!$L$2:$L$201)</f>
        <v/>
      </c>
      <c r="M186" s="38"/>
      <c r="N186" s="38"/>
      <c r="O186" s="38"/>
      <c r="P186" s="38"/>
      <c r="Q186" s="38"/>
      <c r="R186" s="38" t="str">
        <f>IF('Core Values Input'!$M186="","",COUNTIF('Core Values Input'!$M186:$Q186,""))</f>
        <v/>
      </c>
      <c r="S186" s="38" t="str">
        <f>IF('Core Values Input'!$M186="","",SUM('Core Values Input'!$M186:$Q186))</f>
        <v/>
      </c>
      <c r="T186" s="38" t="str">
        <f>IF('Core Values Input'!$R186=3,SUM('Core Values Input'!$M186:$Q186),IF('Core Values Input'!$R186=4,SUM('Core Values Input'!$M186:$Q186),IF('Core Values Input'!$R186=2,'Core Values Input'!$S186,IF('Core Values Input'!$R186=1,'Core Values Input'!$S186*0.75,IF('Core Values Input'!$R186=0,'Core Values Input'!$S186*0.6,"")))))</f>
        <v/>
      </c>
      <c r="U186" s="100" t="str">
        <f>SUM('Core Values Input'!$C186:$L186,'Core Values Input'!$T186)</f>
        <v>#N/A</v>
      </c>
      <c r="V186" s="80">
        <f>IF('Core Values Input'!$A186&gt;0,MIN(_xlfn.RANK.EQ('Core Values Input'!$U186,'Core Values Input'!$U$2:$U$201,0),NumberOfTeams),NumberOfTeams+1)</f>
        <v>1</v>
      </c>
      <c r="W186" s="99"/>
      <c r="X186" s="99"/>
      <c r="Y186" s="99"/>
    </row>
    <row r="187" ht="30.0" customHeight="1">
      <c r="A187" s="38" t="str">
        <f t="array" ref="A187">XLOOKUP(186,'Team and Program Information'!$B$3:$B$202,'Team and Program Information'!$C$3:$C$202,"ERROR",0)</f>
        <v/>
      </c>
      <c r="B187" s="68" t="str">
        <f t="array" ref="B187">XLOOKUP('Core Values Input'!$A187,'Team and Program Information'!$C$3:$C$202,'Team and Program Information'!$D$3:$D$202,"",0,)</f>
        <v>#VALUE!</v>
      </c>
      <c r="C187" s="97" t="str">
        <f t="array" ref="C187">XLOOKUP('Core Values Input'!$A187,'Innovation Project Input'!$A$2:$A$201,'Innovation Project Input'!$D$2:$D$201)</f>
        <v>#N/A</v>
      </c>
      <c r="D187" s="97" t="str">
        <f t="array" ref="D187">XLOOKUP('Core Values Input'!$A187,'Innovation Project Input'!$A$2:$A$201,'Innovation Project Input'!$F$2:$F$201)</f>
        <v>#N/A</v>
      </c>
      <c r="E187" s="97" t="str">
        <f t="array" ref="E187">XLOOKUP('Core Values Input'!$A187,'Innovation Project Input'!$A$2:$A$201,'Innovation Project Input'!$G$2:$G$201)</f>
        <v>#N/A</v>
      </c>
      <c r="F187" s="97" t="str">
        <f t="array" ref="F187">XLOOKUP('Core Values Input'!$A187,'Innovation Project Input'!$A$2:$A$201,'Innovation Project Input'!$K$2:$K$201)</f>
        <v>#N/A</v>
      </c>
      <c r="G187" s="97" t="str">
        <f t="array" ref="G187">XLOOKUP('Core Values Input'!$A187,'Innovation Project Input'!$A$2:$A$201,'Innovation Project Input'!$L$2:$L$201)</f>
        <v>#N/A</v>
      </c>
      <c r="H187" s="97" t="str">
        <f t="array" ref="H187">XLOOKUP('Core Values Input'!$A187,'Robot Design Input'!$A$2:$A$201,'Robot Design Input'!$D$2:$D$201)</f>
        <v/>
      </c>
      <c r="I187" s="97" t="str">
        <f t="array" ref="I187">XLOOKUP('Core Values Input'!$A187,'Robot Design Input'!$A$2:$A$201,'Robot Design Input'!$E$2:$E$201)</f>
        <v/>
      </c>
      <c r="J187" s="97" t="str">
        <f t="array" ref="J187">XLOOKUP('Core Values Input'!$A187,'Robot Design Input'!$A$2:$A$201,'Robot Design Input'!$J$2:$J$201)</f>
        <v/>
      </c>
      <c r="K187" s="97" t="str">
        <f t="array" ref="K187">XLOOKUP('Core Values Input'!$A187,'Robot Design Input'!$A$2:$A$201,'Robot Design Input'!$K$2:$K$201)</f>
        <v/>
      </c>
      <c r="L187" s="97" t="str">
        <f t="array" ref="L187">XLOOKUP('Core Values Input'!$A187,'Robot Design Input'!$A$2:$A$201,'Robot Design Input'!$L$2:$L$201)</f>
        <v/>
      </c>
      <c r="M187" s="38"/>
      <c r="N187" s="38"/>
      <c r="O187" s="38"/>
      <c r="P187" s="38"/>
      <c r="Q187" s="38"/>
      <c r="R187" s="38" t="str">
        <f>IF('Core Values Input'!$M187="","",COUNTIF('Core Values Input'!$M187:$Q187,""))</f>
        <v/>
      </c>
      <c r="S187" s="38" t="str">
        <f>IF('Core Values Input'!$M187="","",SUM('Core Values Input'!$M187:$Q187))</f>
        <v/>
      </c>
      <c r="T187" s="38" t="str">
        <f>IF('Core Values Input'!$R187=3,SUM('Core Values Input'!$M187:$Q187),IF('Core Values Input'!$R187=4,SUM('Core Values Input'!$M187:$Q187),IF('Core Values Input'!$R187=2,'Core Values Input'!$S187,IF('Core Values Input'!$R187=1,'Core Values Input'!$S187*0.75,IF('Core Values Input'!$R187=0,'Core Values Input'!$S187*0.6,"")))))</f>
        <v/>
      </c>
      <c r="U187" s="100" t="str">
        <f>SUM('Core Values Input'!$C187:$L187,'Core Values Input'!$T187)</f>
        <v>#N/A</v>
      </c>
      <c r="V187" s="80">
        <f>IF('Core Values Input'!$A187&gt;0,MIN(_xlfn.RANK.EQ('Core Values Input'!$U187,'Core Values Input'!$U$2:$U$201,0),NumberOfTeams),NumberOfTeams+1)</f>
        <v>1</v>
      </c>
      <c r="W187" s="99"/>
      <c r="X187" s="99"/>
      <c r="Y187" s="99"/>
    </row>
    <row r="188" ht="30.0" customHeight="1">
      <c r="A188" s="38" t="str">
        <f t="array" ref="A188">XLOOKUP(187,'Team and Program Information'!$B$3:$B$202,'Team and Program Information'!$C$3:$C$202,"ERROR",0)</f>
        <v/>
      </c>
      <c r="B188" s="68" t="str">
        <f t="array" ref="B188">XLOOKUP('Core Values Input'!$A188,'Team and Program Information'!$C$3:$C$202,'Team and Program Information'!$D$3:$D$202,"",0,)</f>
        <v>#VALUE!</v>
      </c>
      <c r="C188" s="97" t="str">
        <f t="array" ref="C188">XLOOKUP('Core Values Input'!$A188,'Innovation Project Input'!$A$2:$A$201,'Innovation Project Input'!$D$2:$D$201)</f>
        <v>#N/A</v>
      </c>
      <c r="D188" s="97" t="str">
        <f t="array" ref="D188">XLOOKUP('Core Values Input'!$A188,'Innovation Project Input'!$A$2:$A$201,'Innovation Project Input'!$F$2:$F$201)</f>
        <v>#N/A</v>
      </c>
      <c r="E188" s="97" t="str">
        <f t="array" ref="E188">XLOOKUP('Core Values Input'!$A188,'Innovation Project Input'!$A$2:$A$201,'Innovation Project Input'!$G$2:$G$201)</f>
        <v>#N/A</v>
      </c>
      <c r="F188" s="97" t="str">
        <f t="array" ref="F188">XLOOKUP('Core Values Input'!$A188,'Innovation Project Input'!$A$2:$A$201,'Innovation Project Input'!$K$2:$K$201)</f>
        <v>#N/A</v>
      </c>
      <c r="G188" s="97" t="str">
        <f t="array" ref="G188">XLOOKUP('Core Values Input'!$A188,'Innovation Project Input'!$A$2:$A$201,'Innovation Project Input'!$L$2:$L$201)</f>
        <v>#N/A</v>
      </c>
      <c r="H188" s="97" t="str">
        <f t="array" ref="H188">XLOOKUP('Core Values Input'!$A188,'Robot Design Input'!$A$2:$A$201,'Robot Design Input'!$D$2:$D$201)</f>
        <v/>
      </c>
      <c r="I188" s="97" t="str">
        <f t="array" ref="I188">XLOOKUP('Core Values Input'!$A188,'Robot Design Input'!$A$2:$A$201,'Robot Design Input'!$E$2:$E$201)</f>
        <v/>
      </c>
      <c r="J188" s="97" t="str">
        <f t="array" ref="J188">XLOOKUP('Core Values Input'!$A188,'Robot Design Input'!$A$2:$A$201,'Robot Design Input'!$J$2:$J$201)</f>
        <v/>
      </c>
      <c r="K188" s="97" t="str">
        <f t="array" ref="K188">XLOOKUP('Core Values Input'!$A188,'Robot Design Input'!$A$2:$A$201,'Robot Design Input'!$K$2:$K$201)</f>
        <v/>
      </c>
      <c r="L188" s="97" t="str">
        <f t="array" ref="L188">XLOOKUP('Core Values Input'!$A188,'Robot Design Input'!$A$2:$A$201,'Robot Design Input'!$L$2:$L$201)</f>
        <v/>
      </c>
      <c r="M188" s="38"/>
      <c r="N188" s="38"/>
      <c r="O188" s="38"/>
      <c r="P188" s="38"/>
      <c r="Q188" s="38"/>
      <c r="R188" s="38" t="str">
        <f>IF('Core Values Input'!$M188="","",COUNTIF('Core Values Input'!$M188:$Q188,""))</f>
        <v/>
      </c>
      <c r="S188" s="38" t="str">
        <f>IF('Core Values Input'!$M188="","",SUM('Core Values Input'!$M188:$Q188))</f>
        <v/>
      </c>
      <c r="T188" s="38" t="str">
        <f>IF('Core Values Input'!$R188=3,SUM('Core Values Input'!$M188:$Q188),IF('Core Values Input'!$R188=4,SUM('Core Values Input'!$M188:$Q188),IF('Core Values Input'!$R188=2,'Core Values Input'!$S188,IF('Core Values Input'!$R188=1,'Core Values Input'!$S188*0.75,IF('Core Values Input'!$R188=0,'Core Values Input'!$S188*0.6,"")))))</f>
        <v/>
      </c>
      <c r="U188" s="100" t="str">
        <f>SUM('Core Values Input'!$C188:$L188,'Core Values Input'!$T188)</f>
        <v>#N/A</v>
      </c>
      <c r="V188" s="80">
        <f>IF('Core Values Input'!$A188&gt;0,MIN(_xlfn.RANK.EQ('Core Values Input'!$U188,'Core Values Input'!$U$2:$U$201,0),NumberOfTeams),NumberOfTeams+1)</f>
        <v>1</v>
      </c>
      <c r="W188" s="99"/>
      <c r="X188" s="99"/>
      <c r="Y188" s="99"/>
    </row>
    <row r="189" ht="30.0" customHeight="1">
      <c r="A189" s="38" t="str">
        <f t="array" ref="A189">XLOOKUP(188,'Team and Program Information'!$B$3:$B$202,'Team and Program Information'!$C$3:$C$202,"ERROR",0)</f>
        <v/>
      </c>
      <c r="B189" s="68" t="str">
        <f t="array" ref="B189">XLOOKUP('Core Values Input'!$A189,'Team and Program Information'!$C$3:$C$202,'Team and Program Information'!$D$3:$D$202,"",0,)</f>
        <v>#VALUE!</v>
      </c>
      <c r="C189" s="97" t="str">
        <f t="array" ref="C189">XLOOKUP('Core Values Input'!$A189,'Innovation Project Input'!$A$2:$A$201,'Innovation Project Input'!$D$2:$D$201)</f>
        <v>#N/A</v>
      </c>
      <c r="D189" s="97" t="str">
        <f t="array" ref="D189">XLOOKUP('Core Values Input'!$A189,'Innovation Project Input'!$A$2:$A$201,'Innovation Project Input'!$F$2:$F$201)</f>
        <v>#N/A</v>
      </c>
      <c r="E189" s="97" t="str">
        <f t="array" ref="E189">XLOOKUP('Core Values Input'!$A189,'Innovation Project Input'!$A$2:$A$201,'Innovation Project Input'!$G$2:$G$201)</f>
        <v>#N/A</v>
      </c>
      <c r="F189" s="97" t="str">
        <f t="array" ref="F189">XLOOKUP('Core Values Input'!$A189,'Innovation Project Input'!$A$2:$A$201,'Innovation Project Input'!$K$2:$K$201)</f>
        <v>#N/A</v>
      </c>
      <c r="G189" s="97" t="str">
        <f t="array" ref="G189">XLOOKUP('Core Values Input'!$A189,'Innovation Project Input'!$A$2:$A$201,'Innovation Project Input'!$L$2:$L$201)</f>
        <v>#N/A</v>
      </c>
      <c r="H189" s="97" t="str">
        <f t="array" ref="H189">XLOOKUP('Core Values Input'!$A189,'Robot Design Input'!$A$2:$A$201,'Robot Design Input'!$D$2:$D$201)</f>
        <v/>
      </c>
      <c r="I189" s="97" t="str">
        <f t="array" ref="I189">XLOOKUP('Core Values Input'!$A189,'Robot Design Input'!$A$2:$A$201,'Robot Design Input'!$E$2:$E$201)</f>
        <v/>
      </c>
      <c r="J189" s="97" t="str">
        <f t="array" ref="J189">XLOOKUP('Core Values Input'!$A189,'Robot Design Input'!$A$2:$A$201,'Robot Design Input'!$J$2:$J$201)</f>
        <v/>
      </c>
      <c r="K189" s="97" t="str">
        <f t="array" ref="K189">XLOOKUP('Core Values Input'!$A189,'Robot Design Input'!$A$2:$A$201,'Robot Design Input'!$K$2:$K$201)</f>
        <v/>
      </c>
      <c r="L189" s="97" t="str">
        <f t="array" ref="L189">XLOOKUP('Core Values Input'!$A189,'Robot Design Input'!$A$2:$A$201,'Robot Design Input'!$L$2:$L$201)</f>
        <v/>
      </c>
      <c r="M189" s="38"/>
      <c r="N189" s="38"/>
      <c r="O189" s="38"/>
      <c r="P189" s="38"/>
      <c r="Q189" s="38"/>
      <c r="R189" s="38" t="str">
        <f>IF('Core Values Input'!$M189="","",COUNTIF('Core Values Input'!$M189:$Q189,""))</f>
        <v/>
      </c>
      <c r="S189" s="38" t="str">
        <f>IF('Core Values Input'!$M189="","",SUM('Core Values Input'!$M189:$Q189))</f>
        <v/>
      </c>
      <c r="T189" s="38" t="str">
        <f>IF('Core Values Input'!$R189=3,SUM('Core Values Input'!$M189:$Q189),IF('Core Values Input'!$R189=4,SUM('Core Values Input'!$M189:$Q189),IF('Core Values Input'!$R189=2,'Core Values Input'!$S189,IF('Core Values Input'!$R189=1,'Core Values Input'!$S189*0.75,IF('Core Values Input'!$R189=0,'Core Values Input'!$S189*0.6,"")))))</f>
        <v/>
      </c>
      <c r="U189" s="100" t="str">
        <f>SUM('Core Values Input'!$C189:$L189,'Core Values Input'!$T189)</f>
        <v>#N/A</v>
      </c>
      <c r="V189" s="80">
        <f>IF('Core Values Input'!$A189&gt;0,MIN(_xlfn.RANK.EQ('Core Values Input'!$U189,'Core Values Input'!$U$2:$U$201,0),NumberOfTeams),NumberOfTeams+1)</f>
        <v>1</v>
      </c>
      <c r="W189" s="99"/>
      <c r="X189" s="99"/>
      <c r="Y189" s="99"/>
    </row>
    <row r="190" ht="30.0" customHeight="1">
      <c r="A190" s="38" t="str">
        <f t="array" ref="A190">XLOOKUP(189,'Team and Program Information'!$B$3:$B$202,'Team and Program Information'!$C$3:$C$202,"ERROR",0)</f>
        <v/>
      </c>
      <c r="B190" s="68" t="str">
        <f t="array" ref="B190">XLOOKUP('Core Values Input'!$A190,'Team and Program Information'!$C$3:$C$202,'Team and Program Information'!$D$3:$D$202,"",0,)</f>
        <v>#VALUE!</v>
      </c>
      <c r="C190" s="97" t="str">
        <f t="array" ref="C190">XLOOKUP('Core Values Input'!$A190,'Innovation Project Input'!$A$2:$A$201,'Innovation Project Input'!$D$2:$D$201)</f>
        <v>#N/A</v>
      </c>
      <c r="D190" s="97" t="str">
        <f t="array" ref="D190">XLOOKUP('Core Values Input'!$A190,'Innovation Project Input'!$A$2:$A$201,'Innovation Project Input'!$F$2:$F$201)</f>
        <v>#N/A</v>
      </c>
      <c r="E190" s="97" t="str">
        <f t="array" ref="E190">XLOOKUP('Core Values Input'!$A190,'Innovation Project Input'!$A$2:$A$201,'Innovation Project Input'!$G$2:$G$201)</f>
        <v>#N/A</v>
      </c>
      <c r="F190" s="97" t="str">
        <f t="array" ref="F190">XLOOKUP('Core Values Input'!$A190,'Innovation Project Input'!$A$2:$A$201,'Innovation Project Input'!$K$2:$K$201)</f>
        <v>#N/A</v>
      </c>
      <c r="G190" s="97" t="str">
        <f t="array" ref="G190">XLOOKUP('Core Values Input'!$A190,'Innovation Project Input'!$A$2:$A$201,'Innovation Project Input'!$L$2:$L$201)</f>
        <v>#N/A</v>
      </c>
      <c r="H190" s="97" t="str">
        <f t="array" ref="H190">XLOOKUP('Core Values Input'!$A190,'Robot Design Input'!$A$2:$A$201,'Robot Design Input'!$D$2:$D$201)</f>
        <v/>
      </c>
      <c r="I190" s="97" t="str">
        <f t="array" ref="I190">XLOOKUP('Core Values Input'!$A190,'Robot Design Input'!$A$2:$A$201,'Robot Design Input'!$E$2:$E$201)</f>
        <v/>
      </c>
      <c r="J190" s="97" t="str">
        <f t="array" ref="J190">XLOOKUP('Core Values Input'!$A190,'Robot Design Input'!$A$2:$A$201,'Robot Design Input'!$J$2:$J$201)</f>
        <v/>
      </c>
      <c r="K190" s="97" t="str">
        <f t="array" ref="K190">XLOOKUP('Core Values Input'!$A190,'Robot Design Input'!$A$2:$A$201,'Robot Design Input'!$K$2:$K$201)</f>
        <v/>
      </c>
      <c r="L190" s="97" t="str">
        <f t="array" ref="L190">XLOOKUP('Core Values Input'!$A190,'Robot Design Input'!$A$2:$A$201,'Robot Design Input'!$L$2:$L$201)</f>
        <v/>
      </c>
      <c r="M190" s="38"/>
      <c r="N190" s="38"/>
      <c r="O190" s="38"/>
      <c r="P190" s="38"/>
      <c r="Q190" s="38"/>
      <c r="R190" s="38" t="str">
        <f>IF('Core Values Input'!$M190="","",COUNTIF('Core Values Input'!$M190:$Q190,""))</f>
        <v/>
      </c>
      <c r="S190" s="38" t="str">
        <f>IF('Core Values Input'!$M190="","",SUM('Core Values Input'!$M190:$Q190))</f>
        <v/>
      </c>
      <c r="T190" s="38" t="str">
        <f>IF('Core Values Input'!$R190=3,SUM('Core Values Input'!$M190:$Q190),IF('Core Values Input'!$R190=4,SUM('Core Values Input'!$M190:$Q190),IF('Core Values Input'!$R190=2,'Core Values Input'!$S190,IF('Core Values Input'!$R190=1,'Core Values Input'!$S190*0.75,IF('Core Values Input'!$R190=0,'Core Values Input'!$S190*0.6,"")))))</f>
        <v/>
      </c>
      <c r="U190" s="100" t="str">
        <f>SUM('Core Values Input'!$C190:$L190,'Core Values Input'!$T190)</f>
        <v>#N/A</v>
      </c>
      <c r="V190" s="80">
        <f>IF('Core Values Input'!$A190&gt;0,MIN(_xlfn.RANK.EQ('Core Values Input'!$U190,'Core Values Input'!$U$2:$U$201,0),NumberOfTeams),NumberOfTeams+1)</f>
        <v>1</v>
      </c>
      <c r="W190" s="99"/>
      <c r="X190" s="99"/>
      <c r="Y190" s="99"/>
    </row>
    <row r="191" ht="30.0" customHeight="1">
      <c r="A191" s="38" t="str">
        <f t="array" ref="A191">XLOOKUP(190,'Team and Program Information'!$B$3:$B$202,'Team and Program Information'!$C$3:$C$202,"ERROR",0)</f>
        <v/>
      </c>
      <c r="B191" s="68" t="str">
        <f t="array" ref="B191">XLOOKUP('Core Values Input'!$A191,'Team and Program Information'!$C$3:$C$202,'Team and Program Information'!$D$3:$D$202,"",0,)</f>
        <v>#VALUE!</v>
      </c>
      <c r="C191" s="97" t="str">
        <f t="array" ref="C191">XLOOKUP('Core Values Input'!$A191,'Innovation Project Input'!$A$2:$A$201,'Innovation Project Input'!$D$2:$D$201)</f>
        <v>#N/A</v>
      </c>
      <c r="D191" s="97" t="str">
        <f t="array" ref="D191">XLOOKUP('Core Values Input'!$A191,'Innovation Project Input'!$A$2:$A$201,'Innovation Project Input'!$F$2:$F$201)</f>
        <v>#N/A</v>
      </c>
      <c r="E191" s="97" t="str">
        <f t="array" ref="E191">XLOOKUP('Core Values Input'!$A191,'Innovation Project Input'!$A$2:$A$201,'Innovation Project Input'!$G$2:$G$201)</f>
        <v>#N/A</v>
      </c>
      <c r="F191" s="97" t="str">
        <f t="array" ref="F191">XLOOKUP('Core Values Input'!$A191,'Innovation Project Input'!$A$2:$A$201,'Innovation Project Input'!$K$2:$K$201)</f>
        <v>#N/A</v>
      </c>
      <c r="G191" s="97" t="str">
        <f t="array" ref="G191">XLOOKUP('Core Values Input'!$A191,'Innovation Project Input'!$A$2:$A$201,'Innovation Project Input'!$L$2:$L$201)</f>
        <v>#N/A</v>
      </c>
      <c r="H191" s="97" t="str">
        <f t="array" ref="H191">XLOOKUP('Core Values Input'!$A191,'Robot Design Input'!$A$2:$A$201,'Robot Design Input'!$D$2:$D$201)</f>
        <v/>
      </c>
      <c r="I191" s="97" t="str">
        <f t="array" ref="I191">XLOOKUP('Core Values Input'!$A191,'Robot Design Input'!$A$2:$A$201,'Robot Design Input'!$E$2:$E$201)</f>
        <v/>
      </c>
      <c r="J191" s="97" t="str">
        <f t="array" ref="J191">XLOOKUP('Core Values Input'!$A191,'Robot Design Input'!$A$2:$A$201,'Robot Design Input'!$J$2:$J$201)</f>
        <v/>
      </c>
      <c r="K191" s="97" t="str">
        <f t="array" ref="K191">XLOOKUP('Core Values Input'!$A191,'Robot Design Input'!$A$2:$A$201,'Robot Design Input'!$K$2:$K$201)</f>
        <v/>
      </c>
      <c r="L191" s="97" t="str">
        <f t="array" ref="L191">XLOOKUP('Core Values Input'!$A191,'Robot Design Input'!$A$2:$A$201,'Robot Design Input'!$L$2:$L$201)</f>
        <v/>
      </c>
      <c r="M191" s="38"/>
      <c r="N191" s="38"/>
      <c r="O191" s="38"/>
      <c r="P191" s="38"/>
      <c r="Q191" s="38"/>
      <c r="R191" s="38" t="str">
        <f>IF('Core Values Input'!$M191="","",COUNTIF('Core Values Input'!$M191:$Q191,""))</f>
        <v/>
      </c>
      <c r="S191" s="38" t="str">
        <f>IF('Core Values Input'!$M191="","",SUM('Core Values Input'!$M191:$Q191))</f>
        <v/>
      </c>
      <c r="T191" s="38" t="str">
        <f>IF('Core Values Input'!$R191=3,SUM('Core Values Input'!$M191:$Q191),IF('Core Values Input'!$R191=4,SUM('Core Values Input'!$M191:$Q191),IF('Core Values Input'!$R191=2,'Core Values Input'!$S191,IF('Core Values Input'!$R191=1,'Core Values Input'!$S191*0.75,IF('Core Values Input'!$R191=0,'Core Values Input'!$S191*0.6,"")))))</f>
        <v/>
      </c>
      <c r="U191" s="100" t="str">
        <f>SUM('Core Values Input'!$C191:$L191,'Core Values Input'!$T191)</f>
        <v>#N/A</v>
      </c>
      <c r="V191" s="80">
        <f>IF('Core Values Input'!$A191&gt;0,MIN(_xlfn.RANK.EQ('Core Values Input'!$U191,'Core Values Input'!$U$2:$U$201,0),NumberOfTeams),NumberOfTeams+1)</f>
        <v>1</v>
      </c>
      <c r="W191" s="99"/>
      <c r="X191" s="99"/>
      <c r="Y191" s="99"/>
    </row>
    <row r="192" ht="30.0" customHeight="1">
      <c r="A192" s="38" t="str">
        <f t="array" ref="A192">XLOOKUP(191,'Team and Program Information'!$B$3:$B$202,'Team and Program Information'!$C$3:$C$202,"ERROR",0)</f>
        <v/>
      </c>
      <c r="B192" s="68" t="str">
        <f t="array" ref="B192">XLOOKUP('Core Values Input'!$A192,'Team and Program Information'!$C$3:$C$202,'Team and Program Information'!$D$3:$D$202,"",0,)</f>
        <v>#VALUE!</v>
      </c>
      <c r="C192" s="97" t="str">
        <f t="array" ref="C192">XLOOKUP('Core Values Input'!$A192,'Innovation Project Input'!$A$2:$A$201,'Innovation Project Input'!$D$2:$D$201)</f>
        <v>#N/A</v>
      </c>
      <c r="D192" s="97" t="str">
        <f t="array" ref="D192">XLOOKUP('Core Values Input'!$A192,'Innovation Project Input'!$A$2:$A$201,'Innovation Project Input'!$F$2:$F$201)</f>
        <v>#N/A</v>
      </c>
      <c r="E192" s="97" t="str">
        <f t="array" ref="E192">XLOOKUP('Core Values Input'!$A192,'Innovation Project Input'!$A$2:$A$201,'Innovation Project Input'!$G$2:$G$201)</f>
        <v>#N/A</v>
      </c>
      <c r="F192" s="97" t="str">
        <f t="array" ref="F192">XLOOKUP('Core Values Input'!$A192,'Innovation Project Input'!$A$2:$A$201,'Innovation Project Input'!$K$2:$K$201)</f>
        <v>#N/A</v>
      </c>
      <c r="G192" s="97" t="str">
        <f t="array" ref="G192">XLOOKUP('Core Values Input'!$A192,'Innovation Project Input'!$A$2:$A$201,'Innovation Project Input'!$L$2:$L$201)</f>
        <v>#N/A</v>
      </c>
      <c r="H192" s="97" t="str">
        <f t="array" ref="H192">XLOOKUP('Core Values Input'!$A192,'Robot Design Input'!$A$2:$A$201,'Robot Design Input'!$D$2:$D$201)</f>
        <v/>
      </c>
      <c r="I192" s="97" t="str">
        <f t="array" ref="I192">XLOOKUP('Core Values Input'!$A192,'Robot Design Input'!$A$2:$A$201,'Robot Design Input'!$E$2:$E$201)</f>
        <v/>
      </c>
      <c r="J192" s="97" t="str">
        <f t="array" ref="J192">XLOOKUP('Core Values Input'!$A192,'Robot Design Input'!$A$2:$A$201,'Robot Design Input'!$J$2:$J$201)</f>
        <v/>
      </c>
      <c r="K192" s="97" t="str">
        <f t="array" ref="K192">XLOOKUP('Core Values Input'!$A192,'Robot Design Input'!$A$2:$A$201,'Robot Design Input'!$K$2:$K$201)</f>
        <v/>
      </c>
      <c r="L192" s="97" t="str">
        <f t="array" ref="L192">XLOOKUP('Core Values Input'!$A192,'Robot Design Input'!$A$2:$A$201,'Robot Design Input'!$L$2:$L$201)</f>
        <v/>
      </c>
      <c r="M192" s="38"/>
      <c r="N192" s="38"/>
      <c r="O192" s="38"/>
      <c r="P192" s="38"/>
      <c r="Q192" s="38"/>
      <c r="R192" s="38" t="str">
        <f>IF('Core Values Input'!$M192="","",COUNTIF('Core Values Input'!$M192:$Q192,""))</f>
        <v/>
      </c>
      <c r="S192" s="38" t="str">
        <f>IF('Core Values Input'!$M192="","",SUM('Core Values Input'!$M192:$Q192))</f>
        <v/>
      </c>
      <c r="T192" s="38" t="str">
        <f>IF('Core Values Input'!$R192=3,SUM('Core Values Input'!$M192:$Q192),IF('Core Values Input'!$R192=4,SUM('Core Values Input'!$M192:$Q192),IF('Core Values Input'!$R192=2,'Core Values Input'!$S192,IF('Core Values Input'!$R192=1,'Core Values Input'!$S192*0.75,IF('Core Values Input'!$R192=0,'Core Values Input'!$S192*0.6,"")))))</f>
        <v/>
      </c>
      <c r="U192" s="100" t="str">
        <f>SUM('Core Values Input'!$C192:$L192,'Core Values Input'!$T192)</f>
        <v>#N/A</v>
      </c>
      <c r="V192" s="80">
        <f>IF('Core Values Input'!$A192&gt;0,MIN(_xlfn.RANK.EQ('Core Values Input'!$U192,'Core Values Input'!$U$2:$U$201,0),NumberOfTeams),NumberOfTeams+1)</f>
        <v>1</v>
      </c>
      <c r="W192" s="99"/>
      <c r="X192" s="99"/>
      <c r="Y192" s="99"/>
    </row>
    <row r="193" ht="30.0" customHeight="1">
      <c r="A193" s="38" t="str">
        <f t="array" ref="A193">XLOOKUP(192,'Team and Program Information'!$B$3:$B$202,'Team and Program Information'!$C$3:$C$202,"ERROR",0)</f>
        <v/>
      </c>
      <c r="B193" s="68" t="str">
        <f t="array" ref="B193">XLOOKUP('Core Values Input'!$A193,'Team and Program Information'!$C$3:$C$202,'Team and Program Information'!$D$3:$D$202,"",0,)</f>
        <v>#VALUE!</v>
      </c>
      <c r="C193" s="97" t="str">
        <f t="array" ref="C193">XLOOKUP('Core Values Input'!$A193,'Innovation Project Input'!$A$2:$A$201,'Innovation Project Input'!$D$2:$D$201)</f>
        <v>#N/A</v>
      </c>
      <c r="D193" s="97" t="str">
        <f t="array" ref="D193">XLOOKUP('Core Values Input'!$A193,'Innovation Project Input'!$A$2:$A$201,'Innovation Project Input'!$F$2:$F$201)</f>
        <v>#N/A</v>
      </c>
      <c r="E193" s="97" t="str">
        <f t="array" ref="E193">XLOOKUP('Core Values Input'!$A193,'Innovation Project Input'!$A$2:$A$201,'Innovation Project Input'!$G$2:$G$201)</f>
        <v>#N/A</v>
      </c>
      <c r="F193" s="97" t="str">
        <f t="array" ref="F193">XLOOKUP('Core Values Input'!$A193,'Innovation Project Input'!$A$2:$A$201,'Innovation Project Input'!$K$2:$K$201)</f>
        <v>#N/A</v>
      </c>
      <c r="G193" s="97" t="str">
        <f t="array" ref="G193">XLOOKUP('Core Values Input'!$A193,'Innovation Project Input'!$A$2:$A$201,'Innovation Project Input'!$L$2:$L$201)</f>
        <v>#N/A</v>
      </c>
      <c r="H193" s="97" t="str">
        <f t="array" ref="H193">XLOOKUP('Core Values Input'!$A193,'Robot Design Input'!$A$2:$A$201,'Robot Design Input'!$D$2:$D$201)</f>
        <v/>
      </c>
      <c r="I193" s="97" t="str">
        <f t="array" ref="I193">XLOOKUP('Core Values Input'!$A193,'Robot Design Input'!$A$2:$A$201,'Robot Design Input'!$E$2:$E$201)</f>
        <v/>
      </c>
      <c r="J193" s="97" t="str">
        <f t="array" ref="J193">XLOOKUP('Core Values Input'!$A193,'Robot Design Input'!$A$2:$A$201,'Robot Design Input'!$J$2:$J$201)</f>
        <v/>
      </c>
      <c r="K193" s="97" t="str">
        <f t="array" ref="K193">XLOOKUP('Core Values Input'!$A193,'Robot Design Input'!$A$2:$A$201,'Robot Design Input'!$K$2:$K$201)</f>
        <v/>
      </c>
      <c r="L193" s="97" t="str">
        <f t="array" ref="L193">XLOOKUP('Core Values Input'!$A193,'Robot Design Input'!$A$2:$A$201,'Robot Design Input'!$L$2:$L$201)</f>
        <v/>
      </c>
      <c r="M193" s="38"/>
      <c r="N193" s="38"/>
      <c r="O193" s="38"/>
      <c r="P193" s="38"/>
      <c r="Q193" s="38"/>
      <c r="R193" s="38" t="str">
        <f>IF('Core Values Input'!$M193="","",COUNTIF('Core Values Input'!$M193:$Q193,""))</f>
        <v/>
      </c>
      <c r="S193" s="38" t="str">
        <f>IF('Core Values Input'!$M193="","",SUM('Core Values Input'!$M193:$Q193))</f>
        <v/>
      </c>
      <c r="T193" s="38" t="str">
        <f>IF('Core Values Input'!$R193=3,SUM('Core Values Input'!$M193:$Q193),IF('Core Values Input'!$R193=4,SUM('Core Values Input'!$M193:$Q193),IF('Core Values Input'!$R193=2,'Core Values Input'!$S193,IF('Core Values Input'!$R193=1,'Core Values Input'!$S193*0.75,IF('Core Values Input'!$R193=0,'Core Values Input'!$S193*0.6,"")))))</f>
        <v/>
      </c>
      <c r="U193" s="100" t="str">
        <f>SUM('Core Values Input'!$C193:$L193,'Core Values Input'!$T193)</f>
        <v>#N/A</v>
      </c>
      <c r="V193" s="80">
        <f>IF('Core Values Input'!$A193&gt;0,MIN(_xlfn.RANK.EQ('Core Values Input'!$U193,'Core Values Input'!$U$2:$U$201,0),NumberOfTeams),NumberOfTeams+1)</f>
        <v>1</v>
      </c>
      <c r="W193" s="99"/>
      <c r="X193" s="99"/>
      <c r="Y193" s="99"/>
    </row>
    <row r="194" ht="30.0" customHeight="1">
      <c r="A194" s="38" t="str">
        <f t="array" ref="A194">XLOOKUP(193,'Team and Program Information'!$B$3:$B$202,'Team and Program Information'!$C$3:$C$202,"ERROR",0)</f>
        <v/>
      </c>
      <c r="B194" s="68" t="str">
        <f t="array" ref="B194">XLOOKUP('Core Values Input'!$A194,'Team and Program Information'!$C$3:$C$202,'Team and Program Information'!$D$3:$D$202,"",0,)</f>
        <v>#VALUE!</v>
      </c>
      <c r="C194" s="97" t="str">
        <f t="array" ref="C194">XLOOKUP('Core Values Input'!$A194,'Innovation Project Input'!$A$2:$A$201,'Innovation Project Input'!$D$2:$D$201)</f>
        <v>#N/A</v>
      </c>
      <c r="D194" s="97" t="str">
        <f t="array" ref="D194">XLOOKUP('Core Values Input'!$A194,'Innovation Project Input'!$A$2:$A$201,'Innovation Project Input'!$F$2:$F$201)</f>
        <v>#N/A</v>
      </c>
      <c r="E194" s="97" t="str">
        <f t="array" ref="E194">XLOOKUP('Core Values Input'!$A194,'Innovation Project Input'!$A$2:$A$201,'Innovation Project Input'!$G$2:$G$201)</f>
        <v>#N/A</v>
      </c>
      <c r="F194" s="97" t="str">
        <f t="array" ref="F194">XLOOKUP('Core Values Input'!$A194,'Innovation Project Input'!$A$2:$A$201,'Innovation Project Input'!$K$2:$K$201)</f>
        <v>#N/A</v>
      </c>
      <c r="G194" s="97" t="str">
        <f t="array" ref="G194">XLOOKUP('Core Values Input'!$A194,'Innovation Project Input'!$A$2:$A$201,'Innovation Project Input'!$L$2:$L$201)</f>
        <v>#N/A</v>
      </c>
      <c r="H194" s="97" t="str">
        <f t="array" ref="H194">XLOOKUP('Core Values Input'!$A194,'Robot Design Input'!$A$2:$A$201,'Robot Design Input'!$D$2:$D$201)</f>
        <v/>
      </c>
      <c r="I194" s="97" t="str">
        <f t="array" ref="I194">XLOOKUP('Core Values Input'!$A194,'Robot Design Input'!$A$2:$A$201,'Robot Design Input'!$E$2:$E$201)</f>
        <v/>
      </c>
      <c r="J194" s="97" t="str">
        <f t="array" ref="J194">XLOOKUP('Core Values Input'!$A194,'Robot Design Input'!$A$2:$A$201,'Robot Design Input'!$J$2:$J$201)</f>
        <v/>
      </c>
      <c r="K194" s="97" t="str">
        <f t="array" ref="K194">XLOOKUP('Core Values Input'!$A194,'Robot Design Input'!$A$2:$A$201,'Robot Design Input'!$K$2:$K$201)</f>
        <v/>
      </c>
      <c r="L194" s="97" t="str">
        <f t="array" ref="L194">XLOOKUP('Core Values Input'!$A194,'Robot Design Input'!$A$2:$A$201,'Robot Design Input'!$L$2:$L$201)</f>
        <v/>
      </c>
      <c r="M194" s="38"/>
      <c r="N194" s="38"/>
      <c r="O194" s="38"/>
      <c r="P194" s="38"/>
      <c r="Q194" s="38"/>
      <c r="R194" s="38" t="str">
        <f>IF('Core Values Input'!$M194="","",COUNTIF('Core Values Input'!$M194:$Q194,""))</f>
        <v/>
      </c>
      <c r="S194" s="38" t="str">
        <f>IF('Core Values Input'!$M194="","",SUM('Core Values Input'!$M194:$Q194))</f>
        <v/>
      </c>
      <c r="T194" s="38" t="str">
        <f>IF('Core Values Input'!$R194=3,SUM('Core Values Input'!$M194:$Q194),IF('Core Values Input'!$R194=4,SUM('Core Values Input'!$M194:$Q194),IF('Core Values Input'!$R194=2,'Core Values Input'!$S194,IF('Core Values Input'!$R194=1,'Core Values Input'!$S194*0.75,IF('Core Values Input'!$R194=0,'Core Values Input'!$S194*0.6,"")))))</f>
        <v/>
      </c>
      <c r="U194" s="100" t="str">
        <f>SUM('Core Values Input'!$C194:$L194,'Core Values Input'!$T194)</f>
        <v>#N/A</v>
      </c>
      <c r="V194" s="80">
        <f>IF('Core Values Input'!$A194&gt;0,MIN(_xlfn.RANK.EQ('Core Values Input'!$U194,'Core Values Input'!$U$2:$U$201,0),NumberOfTeams),NumberOfTeams+1)</f>
        <v>1</v>
      </c>
      <c r="W194" s="99"/>
      <c r="X194" s="99"/>
      <c r="Y194" s="99"/>
    </row>
    <row r="195" ht="30.0" customHeight="1">
      <c r="A195" s="38" t="str">
        <f t="array" ref="A195">XLOOKUP(194,'Team and Program Information'!$B$3:$B$202,'Team and Program Information'!$C$3:$C$202,"ERROR",0)</f>
        <v/>
      </c>
      <c r="B195" s="68" t="str">
        <f t="array" ref="B195">XLOOKUP('Core Values Input'!$A195,'Team and Program Information'!$C$3:$C$202,'Team and Program Information'!$D$3:$D$202,"",0,)</f>
        <v>#VALUE!</v>
      </c>
      <c r="C195" s="97" t="str">
        <f t="array" ref="C195">XLOOKUP('Core Values Input'!$A195,'Innovation Project Input'!$A$2:$A$201,'Innovation Project Input'!$D$2:$D$201)</f>
        <v>#N/A</v>
      </c>
      <c r="D195" s="97" t="str">
        <f t="array" ref="D195">XLOOKUP('Core Values Input'!$A195,'Innovation Project Input'!$A$2:$A$201,'Innovation Project Input'!$F$2:$F$201)</f>
        <v>#N/A</v>
      </c>
      <c r="E195" s="97" t="str">
        <f t="array" ref="E195">XLOOKUP('Core Values Input'!$A195,'Innovation Project Input'!$A$2:$A$201,'Innovation Project Input'!$G$2:$G$201)</f>
        <v>#N/A</v>
      </c>
      <c r="F195" s="97" t="str">
        <f t="array" ref="F195">XLOOKUP('Core Values Input'!$A195,'Innovation Project Input'!$A$2:$A$201,'Innovation Project Input'!$K$2:$K$201)</f>
        <v>#N/A</v>
      </c>
      <c r="G195" s="97" t="str">
        <f t="array" ref="G195">XLOOKUP('Core Values Input'!$A195,'Innovation Project Input'!$A$2:$A$201,'Innovation Project Input'!$L$2:$L$201)</f>
        <v>#N/A</v>
      </c>
      <c r="H195" s="97" t="str">
        <f t="array" ref="H195">XLOOKUP('Core Values Input'!$A195,'Robot Design Input'!$A$2:$A$201,'Robot Design Input'!$D$2:$D$201)</f>
        <v/>
      </c>
      <c r="I195" s="97" t="str">
        <f t="array" ref="I195">XLOOKUP('Core Values Input'!$A195,'Robot Design Input'!$A$2:$A$201,'Robot Design Input'!$E$2:$E$201)</f>
        <v/>
      </c>
      <c r="J195" s="97" t="str">
        <f t="array" ref="J195">XLOOKUP('Core Values Input'!$A195,'Robot Design Input'!$A$2:$A$201,'Robot Design Input'!$J$2:$J$201)</f>
        <v/>
      </c>
      <c r="K195" s="97" t="str">
        <f t="array" ref="K195">XLOOKUP('Core Values Input'!$A195,'Robot Design Input'!$A$2:$A$201,'Robot Design Input'!$K$2:$K$201)</f>
        <v/>
      </c>
      <c r="L195" s="97" t="str">
        <f t="array" ref="L195">XLOOKUP('Core Values Input'!$A195,'Robot Design Input'!$A$2:$A$201,'Robot Design Input'!$L$2:$L$201)</f>
        <v/>
      </c>
      <c r="M195" s="38"/>
      <c r="N195" s="38"/>
      <c r="O195" s="38"/>
      <c r="P195" s="38"/>
      <c r="Q195" s="38"/>
      <c r="R195" s="38" t="str">
        <f>IF('Core Values Input'!$M195="","",COUNTIF('Core Values Input'!$M195:$Q195,""))</f>
        <v/>
      </c>
      <c r="S195" s="38" t="str">
        <f>IF('Core Values Input'!$M195="","",SUM('Core Values Input'!$M195:$Q195))</f>
        <v/>
      </c>
      <c r="T195" s="38" t="str">
        <f>IF('Core Values Input'!$R195=3,SUM('Core Values Input'!$M195:$Q195),IF('Core Values Input'!$R195=4,SUM('Core Values Input'!$M195:$Q195),IF('Core Values Input'!$R195=2,'Core Values Input'!$S195,IF('Core Values Input'!$R195=1,'Core Values Input'!$S195*0.75,IF('Core Values Input'!$R195=0,'Core Values Input'!$S195*0.6,"")))))</f>
        <v/>
      </c>
      <c r="U195" s="100" t="str">
        <f>SUM('Core Values Input'!$C195:$L195,'Core Values Input'!$T195)</f>
        <v>#N/A</v>
      </c>
      <c r="V195" s="80">
        <f>IF('Core Values Input'!$A195&gt;0,MIN(_xlfn.RANK.EQ('Core Values Input'!$U195,'Core Values Input'!$U$2:$U$201,0),NumberOfTeams),NumberOfTeams+1)</f>
        <v>1</v>
      </c>
      <c r="W195" s="99"/>
      <c r="X195" s="99"/>
      <c r="Y195" s="99"/>
    </row>
    <row r="196" ht="30.0" customHeight="1">
      <c r="A196" s="38" t="str">
        <f t="array" ref="A196">XLOOKUP(195,'Team and Program Information'!$B$3:$B$202,'Team and Program Information'!$C$3:$C$202,"ERROR",0)</f>
        <v/>
      </c>
      <c r="B196" s="68" t="str">
        <f t="array" ref="B196">XLOOKUP('Core Values Input'!$A196,'Team and Program Information'!$C$3:$C$202,'Team and Program Information'!$D$3:$D$202,"",0,)</f>
        <v>#VALUE!</v>
      </c>
      <c r="C196" s="97" t="str">
        <f t="array" ref="C196">XLOOKUP('Core Values Input'!$A196,'Innovation Project Input'!$A$2:$A$201,'Innovation Project Input'!$D$2:$D$201)</f>
        <v>#N/A</v>
      </c>
      <c r="D196" s="97" t="str">
        <f t="array" ref="D196">XLOOKUP('Core Values Input'!$A196,'Innovation Project Input'!$A$2:$A$201,'Innovation Project Input'!$F$2:$F$201)</f>
        <v>#N/A</v>
      </c>
      <c r="E196" s="97" t="str">
        <f t="array" ref="E196">XLOOKUP('Core Values Input'!$A196,'Innovation Project Input'!$A$2:$A$201,'Innovation Project Input'!$G$2:$G$201)</f>
        <v>#N/A</v>
      </c>
      <c r="F196" s="97" t="str">
        <f t="array" ref="F196">XLOOKUP('Core Values Input'!$A196,'Innovation Project Input'!$A$2:$A$201,'Innovation Project Input'!$K$2:$K$201)</f>
        <v>#N/A</v>
      </c>
      <c r="G196" s="97" t="str">
        <f t="array" ref="G196">XLOOKUP('Core Values Input'!$A196,'Innovation Project Input'!$A$2:$A$201,'Innovation Project Input'!$L$2:$L$201)</f>
        <v>#N/A</v>
      </c>
      <c r="H196" s="97" t="str">
        <f t="array" ref="H196">XLOOKUP('Core Values Input'!$A196,'Robot Design Input'!$A$2:$A$201,'Robot Design Input'!$D$2:$D$201)</f>
        <v/>
      </c>
      <c r="I196" s="97" t="str">
        <f t="array" ref="I196">XLOOKUP('Core Values Input'!$A196,'Robot Design Input'!$A$2:$A$201,'Robot Design Input'!$E$2:$E$201)</f>
        <v/>
      </c>
      <c r="J196" s="97" t="str">
        <f t="array" ref="J196">XLOOKUP('Core Values Input'!$A196,'Robot Design Input'!$A$2:$A$201,'Robot Design Input'!$J$2:$J$201)</f>
        <v/>
      </c>
      <c r="K196" s="97" t="str">
        <f t="array" ref="K196">XLOOKUP('Core Values Input'!$A196,'Robot Design Input'!$A$2:$A$201,'Robot Design Input'!$K$2:$K$201)</f>
        <v/>
      </c>
      <c r="L196" s="97" t="str">
        <f t="array" ref="L196">XLOOKUP('Core Values Input'!$A196,'Robot Design Input'!$A$2:$A$201,'Robot Design Input'!$L$2:$L$201)</f>
        <v/>
      </c>
      <c r="M196" s="38"/>
      <c r="N196" s="38"/>
      <c r="O196" s="38"/>
      <c r="P196" s="38"/>
      <c r="Q196" s="38"/>
      <c r="R196" s="38" t="str">
        <f>IF('Core Values Input'!$M196="","",COUNTIF('Core Values Input'!$M196:$Q196,""))</f>
        <v/>
      </c>
      <c r="S196" s="38" t="str">
        <f>IF('Core Values Input'!$M196="","",SUM('Core Values Input'!$M196:$Q196))</f>
        <v/>
      </c>
      <c r="T196" s="38" t="str">
        <f>IF('Core Values Input'!$R196=3,SUM('Core Values Input'!$M196:$Q196),IF('Core Values Input'!$R196=4,SUM('Core Values Input'!$M196:$Q196),IF('Core Values Input'!$R196=2,'Core Values Input'!$S196,IF('Core Values Input'!$R196=1,'Core Values Input'!$S196*0.75,IF('Core Values Input'!$R196=0,'Core Values Input'!$S196*0.6,"")))))</f>
        <v/>
      </c>
      <c r="U196" s="100" t="str">
        <f>SUM('Core Values Input'!$C196:$L196,'Core Values Input'!$T196)</f>
        <v>#N/A</v>
      </c>
      <c r="V196" s="80">
        <f>IF('Core Values Input'!$A196&gt;0,MIN(_xlfn.RANK.EQ('Core Values Input'!$U196,'Core Values Input'!$U$2:$U$201,0),NumberOfTeams),NumberOfTeams+1)</f>
        <v>1</v>
      </c>
      <c r="W196" s="99"/>
      <c r="X196" s="99"/>
      <c r="Y196" s="99"/>
    </row>
    <row r="197" ht="30.0" customHeight="1">
      <c r="A197" s="38" t="str">
        <f t="array" ref="A197">XLOOKUP(196,'Team and Program Information'!$B$3:$B$202,'Team and Program Information'!$C$3:$C$202,"ERROR",0)</f>
        <v/>
      </c>
      <c r="B197" s="68" t="str">
        <f t="array" ref="B197">XLOOKUP('Core Values Input'!$A197,'Team and Program Information'!$C$3:$C$202,'Team and Program Information'!$D$3:$D$202,"",0,)</f>
        <v>#VALUE!</v>
      </c>
      <c r="C197" s="97" t="str">
        <f t="array" ref="C197">XLOOKUP('Core Values Input'!$A197,'Innovation Project Input'!$A$2:$A$201,'Innovation Project Input'!$D$2:$D$201)</f>
        <v>#N/A</v>
      </c>
      <c r="D197" s="97" t="str">
        <f t="array" ref="D197">XLOOKUP('Core Values Input'!$A197,'Innovation Project Input'!$A$2:$A$201,'Innovation Project Input'!$F$2:$F$201)</f>
        <v>#N/A</v>
      </c>
      <c r="E197" s="97" t="str">
        <f t="array" ref="E197">XLOOKUP('Core Values Input'!$A197,'Innovation Project Input'!$A$2:$A$201,'Innovation Project Input'!$G$2:$G$201)</f>
        <v>#N/A</v>
      </c>
      <c r="F197" s="97" t="str">
        <f t="array" ref="F197">XLOOKUP('Core Values Input'!$A197,'Innovation Project Input'!$A$2:$A$201,'Innovation Project Input'!$K$2:$K$201)</f>
        <v>#N/A</v>
      </c>
      <c r="G197" s="97" t="str">
        <f t="array" ref="G197">XLOOKUP('Core Values Input'!$A197,'Innovation Project Input'!$A$2:$A$201,'Innovation Project Input'!$L$2:$L$201)</f>
        <v>#N/A</v>
      </c>
      <c r="H197" s="97" t="str">
        <f t="array" ref="H197">XLOOKUP('Core Values Input'!$A197,'Robot Design Input'!$A$2:$A$201,'Robot Design Input'!$D$2:$D$201)</f>
        <v/>
      </c>
      <c r="I197" s="97" t="str">
        <f t="array" ref="I197">XLOOKUP('Core Values Input'!$A197,'Robot Design Input'!$A$2:$A$201,'Robot Design Input'!$E$2:$E$201)</f>
        <v/>
      </c>
      <c r="J197" s="97" t="str">
        <f t="array" ref="J197">XLOOKUP('Core Values Input'!$A197,'Robot Design Input'!$A$2:$A$201,'Robot Design Input'!$J$2:$J$201)</f>
        <v/>
      </c>
      <c r="K197" s="97" t="str">
        <f t="array" ref="K197">XLOOKUP('Core Values Input'!$A197,'Robot Design Input'!$A$2:$A$201,'Robot Design Input'!$K$2:$K$201)</f>
        <v/>
      </c>
      <c r="L197" s="97" t="str">
        <f t="array" ref="L197">XLOOKUP('Core Values Input'!$A197,'Robot Design Input'!$A$2:$A$201,'Robot Design Input'!$L$2:$L$201)</f>
        <v/>
      </c>
      <c r="M197" s="38"/>
      <c r="N197" s="38"/>
      <c r="O197" s="38"/>
      <c r="P197" s="38"/>
      <c r="Q197" s="38"/>
      <c r="R197" s="38" t="str">
        <f>IF('Core Values Input'!$M197="","",COUNTIF('Core Values Input'!$M197:$Q197,""))</f>
        <v/>
      </c>
      <c r="S197" s="38" t="str">
        <f>IF('Core Values Input'!$M197="","",SUM('Core Values Input'!$M197:$Q197))</f>
        <v/>
      </c>
      <c r="T197" s="38" t="str">
        <f>IF('Core Values Input'!$R197=3,SUM('Core Values Input'!$M197:$Q197),IF('Core Values Input'!$R197=4,SUM('Core Values Input'!$M197:$Q197),IF('Core Values Input'!$R197=2,'Core Values Input'!$S197,IF('Core Values Input'!$R197=1,'Core Values Input'!$S197*0.75,IF('Core Values Input'!$R197=0,'Core Values Input'!$S197*0.6,"")))))</f>
        <v/>
      </c>
      <c r="U197" s="100" t="str">
        <f>SUM('Core Values Input'!$C197:$L197,'Core Values Input'!$T197)</f>
        <v>#N/A</v>
      </c>
      <c r="V197" s="80">
        <f>IF('Core Values Input'!$A197&gt;0,MIN(_xlfn.RANK.EQ('Core Values Input'!$U197,'Core Values Input'!$U$2:$U$201,0),NumberOfTeams),NumberOfTeams+1)</f>
        <v>1</v>
      </c>
      <c r="W197" s="99"/>
      <c r="X197" s="99"/>
      <c r="Y197" s="99"/>
    </row>
    <row r="198" ht="30.0" customHeight="1">
      <c r="A198" s="38" t="str">
        <f t="array" ref="A198">XLOOKUP(197,'Team and Program Information'!$B$3:$B$202,'Team and Program Information'!$C$3:$C$202,"ERROR",0)</f>
        <v/>
      </c>
      <c r="B198" s="68" t="str">
        <f t="array" ref="B198">XLOOKUP('Core Values Input'!$A198,'Team and Program Information'!$C$3:$C$202,'Team and Program Information'!$D$3:$D$202,"",0,)</f>
        <v>#VALUE!</v>
      </c>
      <c r="C198" s="97" t="str">
        <f t="array" ref="C198">XLOOKUP('Core Values Input'!$A198,'Innovation Project Input'!$A$2:$A$201,'Innovation Project Input'!$D$2:$D$201)</f>
        <v>#N/A</v>
      </c>
      <c r="D198" s="97" t="str">
        <f t="array" ref="D198">XLOOKUP('Core Values Input'!$A198,'Innovation Project Input'!$A$2:$A$201,'Innovation Project Input'!$F$2:$F$201)</f>
        <v>#N/A</v>
      </c>
      <c r="E198" s="97" t="str">
        <f t="array" ref="E198">XLOOKUP('Core Values Input'!$A198,'Innovation Project Input'!$A$2:$A$201,'Innovation Project Input'!$G$2:$G$201)</f>
        <v>#N/A</v>
      </c>
      <c r="F198" s="97" t="str">
        <f t="array" ref="F198">XLOOKUP('Core Values Input'!$A198,'Innovation Project Input'!$A$2:$A$201,'Innovation Project Input'!$K$2:$K$201)</f>
        <v>#N/A</v>
      </c>
      <c r="G198" s="97" t="str">
        <f t="array" ref="G198">XLOOKUP('Core Values Input'!$A198,'Innovation Project Input'!$A$2:$A$201,'Innovation Project Input'!$L$2:$L$201)</f>
        <v>#N/A</v>
      </c>
      <c r="H198" s="97" t="str">
        <f t="array" ref="H198">XLOOKUP('Core Values Input'!$A198,'Robot Design Input'!$A$2:$A$201,'Robot Design Input'!$D$2:$D$201)</f>
        <v/>
      </c>
      <c r="I198" s="97" t="str">
        <f t="array" ref="I198">XLOOKUP('Core Values Input'!$A198,'Robot Design Input'!$A$2:$A$201,'Robot Design Input'!$E$2:$E$201)</f>
        <v/>
      </c>
      <c r="J198" s="97" t="str">
        <f t="array" ref="J198">XLOOKUP('Core Values Input'!$A198,'Robot Design Input'!$A$2:$A$201,'Robot Design Input'!$J$2:$J$201)</f>
        <v/>
      </c>
      <c r="K198" s="97" t="str">
        <f t="array" ref="K198">XLOOKUP('Core Values Input'!$A198,'Robot Design Input'!$A$2:$A$201,'Robot Design Input'!$K$2:$K$201)</f>
        <v/>
      </c>
      <c r="L198" s="97" t="str">
        <f t="array" ref="L198">XLOOKUP('Core Values Input'!$A198,'Robot Design Input'!$A$2:$A$201,'Robot Design Input'!$L$2:$L$201)</f>
        <v/>
      </c>
      <c r="M198" s="38"/>
      <c r="N198" s="38"/>
      <c r="O198" s="38"/>
      <c r="P198" s="38"/>
      <c r="Q198" s="38"/>
      <c r="R198" s="38" t="str">
        <f>IF('Core Values Input'!$M198="","",COUNTIF('Core Values Input'!$M198:$Q198,""))</f>
        <v/>
      </c>
      <c r="S198" s="38" t="str">
        <f>IF('Core Values Input'!$M198="","",SUM('Core Values Input'!$M198:$Q198))</f>
        <v/>
      </c>
      <c r="T198" s="38" t="str">
        <f>IF('Core Values Input'!$R198=3,SUM('Core Values Input'!$M198:$Q198),IF('Core Values Input'!$R198=4,SUM('Core Values Input'!$M198:$Q198),IF('Core Values Input'!$R198=2,'Core Values Input'!$S198,IF('Core Values Input'!$R198=1,'Core Values Input'!$S198*0.75,IF('Core Values Input'!$R198=0,'Core Values Input'!$S198*0.6,"")))))</f>
        <v/>
      </c>
      <c r="U198" s="100" t="str">
        <f>SUM('Core Values Input'!$C198:$L198,'Core Values Input'!$T198)</f>
        <v>#N/A</v>
      </c>
      <c r="V198" s="80">
        <f>IF('Core Values Input'!$A198&gt;0,MIN(_xlfn.RANK.EQ('Core Values Input'!$U198,'Core Values Input'!$U$2:$U$201,0),NumberOfTeams),NumberOfTeams+1)</f>
        <v>1</v>
      </c>
      <c r="W198" s="99"/>
      <c r="X198" s="99"/>
      <c r="Y198" s="99"/>
    </row>
    <row r="199" ht="30.0" customHeight="1">
      <c r="A199" s="38" t="str">
        <f t="array" ref="A199">XLOOKUP(198,'Team and Program Information'!$B$3:$B$202,'Team and Program Information'!$C$3:$C$202,"ERROR",0)</f>
        <v/>
      </c>
      <c r="B199" s="68" t="str">
        <f t="array" ref="B199">XLOOKUP('Core Values Input'!$A199,'Team and Program Information'!$C$3:$C$202,'Team and Program Information'!$D$3:$D$202,"",0,)</f>
        <v>#VALUE!</v>
      </c>
      <c r="C199" s="97" t="str">
        <f t="array" ref="C199">XLOOKUP('Core Values Input'!$A199,'Innovation Project Input'!$A$2:$A$201,'Innovation Project Input'!$D$2:$D$201)</f>
        <v>#N/A</v>
      </c>
      <c r="D199" s="97" t="str">
        <f t="array" ref="D199">XLOOKUP('Core Values Input'!$A199,'Innovation Project Input'!$A$2:$A$201,'Innovation Project Input'!$F$2:$F$201)</f>
        <v>#N/A</v>
      </c>
      <c r="E199" s="97" t="str">
        <f t="array" ref="E199">XLOOKUP('Core Values Input'!$A199,'Innovation Project Input'!$A$2:$A$201,'Innovation Project Input'!$G$2:$G$201)</f>
        <v>#N/A</v>
      </c>
      <c r="F199" s="97" t="str">
        <f t="array" ref="F199">XLOOKUP('Core Values Input'!$A199,'Innovation Project Input'!$A$2:$A$201,'Innovation Project Input'!$K$2:$K$201)</f>
        <v>#N/A</v>
      </c>
      <c r="G199" s="97" t="str">
        <f t="array" ref="G199">XLOOKUP('Core Values Input'!$A199,'Innovation Project Input'!$A$2:$A$201,'Innovation Project Input'!$L$2:$L$201)</f>
        <v>#N/A</v>
      </c>
      <c r="H199" s="97" t="str">
        <f t="array" ref="H199">XLOOKUP('Core Values Input'!$A199,'Robot Design Input'!$A$2:$A$201,'Robot Design Input'!$D$2:$D$201)</f>
        <v/>
      </c>
      <c r="I199" s="97" t="str">
        <f t="array" ref="I199">XLOOKUP('Core Values Input'!$A199,'Robot Design Input'!$A$2:$A$201,'Robot Design Input'!$E$2:$E$201)</f>
        <v/>
      </c>
      <c r="J199" s="97" t="str">
        <f t="array" ref="J199">XLOOKUP('Core Values Input'!$A199,'Robot Design Input'!$A$2:$A$201,'Robot Design Input'!$J$2:$J$201)</f>
        <v/>
      </c>
      <c r="K199" s="97" t="str">
        <f t="array" ref="K199">XLOOKUP('Core Values Input'!$A199,'Robot Design Input'!$A$2:$A$201,'Robot Design Input'!$K$2:$K$201)</f>
        <v/>
      </c>
      <c r="L199" s="97" t="str">
        <f t="array" ref="L199">XLOOKUP('Core Values Input'!$A199,'Robot Design Input'!$A$2:$A$201,'Robot Design Input'!$L$2:$L$201)</f>
        <v/>
      </c>
      <c r="M199" s="38"/>
      <c r="N199" s="38"/>
      <c r="O199" s="38"/>
      <c r="P199" s="38"/>
      <c r="Q199" s="38"/>
      <c r="R199" s="38" t="str">
        <f>IF('Core Values Input'!$M199="","",COUNTIF('Core Values Input'!$M199:$Q199,""))</f>
        <v/>
      </c>
      <c r="S199" s="38" t="str">
        <f>IF('Core Values Input'!$M199="","",SUM('Core Values Input'!$M199:$Q199))</f>
        <v/>
      </c>
      <c r="T199" s="38" t="str">
        <f>IF('Core Values Input'!$R199=3,SUM('Core Values Input'!$M199:$Q199),IF('Core Values Input'!$R199=4,SUM('Core Values Input'!$M199:$Q199),IF('Core Values Input'!$R199=2,'Core Values Input'!$S199,IF('Core Values Input'!$R199=1,'Core Values Input'!$S199*0.75,IF('Core Values Input'!$R199=0,'Core Values Input'!$S199*0.6,"")))))</f>
        <v/>
      </c>
      <c r="U199" s="100" t="str">
        <f>SUM('Core Values Input'!$C199:$L199,'Core Values Input'!$T199)</f>
        <v>#N/A</v>
      </c>
      <c r="V199" s="80">
        <f>IF('Core Values Input'!$A199&gt;0,MIN(_xlfn.RANK.EQ('Core Values Input'!$U199,'Core Values Input'!$U$2:$U$201,0),NumberOfTeams),NumberOfTeams+1)</f>
        <v>1</v>
      </c>
      <c r="W199" s="99"/>
      <c r="X199" s="99"/>
      <c r="Y199" s="99"/>
    </row>
    <row r="200" ht="30.0" customHeight="1">
      <c r="A200" s="38" t="str">
        <f t="array" ref="A200">XLOOKUP(199,'Team and Program Information'!$B$3:$B$202,'Team and Program Information'!$C$3:$C$202,"ERROR",0)</f>
        <v/>
      </c>
      <c r="B200" s="68" t="str">
        <f t="array" ref="B200">XLOOKUP('Core Values Input'!$A200,'Team and Program Information'!$C$3:$C$202,'Team and Program Information'!$D$3:$D$202,"",0,)</f>
        <v>#VALUE!</v>
      </c>
      <c r="C200" s="97" t="str">
        <f t="array" ref="C200">XLOOKUP('Core Values Input'!$A200,'Innovation Project Input'!$A$2:$A$201,'Innovation Project Input'!$D$2:$D$201)</f>
        <v>#N/A</v>
      </c>
      <c r="D200" s="97" t="str">
        <f t="array" ref="D200">XLOOKUP('Core Values Input'!$A200,'Innovation Project Input'!$A$2:$A$201,'Innovation Project Input'!$F$2:$F$201)</f>
        <v>#N/A</v>
      </c>
      <c r="E200" s="97" t="str">
        <f t="array" ref="E200">XLOOKUP('Core Values Input'!$A200,'Innovation Project Input'!$A$2:$A$201,'Innovation Project Input'!$G$2:$G$201)</f>
        <v>#N/A</v>
      </c>
      <c r="F200" s="97" t="str">
        <f t="array" ref="F200">XLOOKUP('Core Values Input'!$A200,'Innovation Project Input'!$A$2:$A$201,'Innovation Project Input'!$K$2:$K$201)</f>
        <v>#N/A</v>
      </c>
      <c r="G200" s="97" t="str">
        <f t="array" ref="G200">XLOOKUP('Core Values Input'!$A200,'Innovation Project Input'!$A$2:$A$201,'Innovation Project Input'!$L$2:$L$201)</f>
        <v>#N/A</v>
      </c>
      <c r="H200" s="97" t="str">
        <f t="array" ref="H200">XLOOKUP('Core Values Input'!$A200,'Robot Design Input'!$A$2:$A$201,'Robot Design Input'!$D$2:$D$201)</f>
        <v/>
      </c>
      <c r="I200" s="97" t="str">
        <f t="array" ref="I200">XLOOKUP('Core Values Input'!$A200,'Robot Design Input'!$A$2:$A$201,'Robot Design Input'!$E$2:$E$201)</f>
        <v/>
      </c>
      <c r="J200" s="97" t="str">
        <f t="array" ref="J200">XLOOKUP('Core Values Input'!$A200,'Robot Design Input'!$A$2:$A$201,'Robot Design Input'!$J$2:$J$201)</f>
        <v/>
      </c>
      <c r="K200" s="97" t="str">
        <f t="array" ref="K200">XLOOKUP('Core Values Input'!$A200,'Robot Design Input'!$A$2:$A$201,'Robot Design Input'!$K$2:$K$201)</f>
        <v/>
      </c>
      <c r="L200" s="97" t="str">
        <f t="array" ref="L200">XLOOKUP('Core Values Input'!$A200,'Robot Design Input'!$A$2:$A$201,'Robot Design Input'!$L$2:$L$201)</f>
        <v/>
      </c>
      <c r="M200" s="38"/>
      <c r="N200" s="38"/>
      <c r="O200" s="38"/>
      <c r="P200" s="38"/>
      <c r="Q200" s="38"/>
      <c r="R200" s="38" t="str">
        <f>IF('Core Values Input'!$M200="","",COUNTIF('Core Values Input'!$M200:$Q200,""))</f>
        <v/>
      </c>
      <c r="S200" s="38" t="str">
        <f>IF('Core Values Input'!$M200="","",SUM('Core Values Input'!$M200:$Q200))</f>
        <v/>
      </c>
      <c r="T200" s="38" t="str">
        <f>IF('Core Values Input'!$R200=3,SUM('Core Values Input'!$M200:$Q200),IF('Core Values Input'!$R200=4,SUM('Core Values Input'!$M200:$Q200),IF('Core Values Input'!$R200=2,'Core Values Input'!$S200,IF('Core Values Input'!$R200=1,'Core Values Input'!$S200*0.75,IF('Core Values Input'!$R200=0,'Core Values Input'!$S200*0.6,"")))))</f>
        <v/>
      </c>
      <c r="U200" s="100" t="str">
        <f>SUM('Core Values Input'!$C200:$L200,'Core Values Input'!$T200)</f>
        <v>#N/A</v>
      </c>
      <c r="V200" s="80">
        <f>IF('Core Values Input'!$A200&gt;0,MIN(_xlfn.RANK.EQ('Core Values Input'!$U200,'Core Values Input'!$U$2:$U$201,0),NumberOfTeams),NumberOfTeams+1)</f>
        <v>1</v>
      </c>
      <c r="W200" s="99"/>
      <c r="X200" s="99"/>
      <c r="Y200" s="99"/>
    </row>
    <row r="201" ht="30.0" customHeight="1">
      <c r="A201" s="38" t="str">
        <f t="array" ref="A201">XLOOKUP(200,'Team and Program Information'!$B$3:$B$202,'Team and Program Information'!$C$3:$C$202,"ERROR",0)</f>
        <v/>
      </c>
      <c r="B201" s="68" t="str">
        <f t="array" ref="B201">XLOOKUP('Core Values Input'!$A201,'Team and Program Information'!$C$3:$C$202,'Team and Program Information'!$D$3:$D$202,"",0,)</f>
        <v>#VALUE!</v>
      </c>
      <c r="C201" s="97" t="str">
        <f t="array" ref="C201">XLOOKUP('Core Values Input'!$A201,'Innovation Project Input'!$A$2:$A$201,'Innovation Project Input'!$D$2:$D$201)</f>
        <v>#N/A</v>
      </c>
      <c r="D201" s="97" t="str">
        <f t="array" ref="D201">XLOOKUP('Core Values Input'!$A201,'Innovation Project Input'!$A$2:$A$201,'Innovation Project Input'!$F$2:$F$201)</f>
        <v>#N/A</v>
      </c>
      <c r="E201" s="97" t="str">
        <f t="array" ref="E201">XLOOKUP('Core Values Input'!$A201,'Innovation Project Input'!$A$2:$A$201,'Innovation Project Input'!$G$2:$G$201)</f>
        <v>#N/A</v>
      </c>
      <c r="F201" s="97" t="str">
        <f t="array" ref="F201">XLOOKUP('Core Values Input'!$A201,'Innovation Project Input'!$A$2:$A$201,'Innovation Project Input'!$K$2:$K$201)</f>
        <v>#N/A</v>
      </c>
      <c r="G201" s="97" t="str">
        <f t="array" ref="G201">XLOOKUP('Core Values Input'!$A201,'Innovation Project Input'!$A$2:$A$201,'Innovation Project Input'!$L$2:$L$201)</f>
        <v>#N/A</v>
      </c>
      <c r="H201" s="97" t="str">
        <f t="array" ref="H201">XLOOKUP('Core Values Input'!$A201,'Robot Design Input'!$A$2:$A$201,'Robot Design Input'!$D$2:$D$201)</f>
        <v/>
      </c>
      <c r="I201" s="97" t="str">
        <f t="array" ref="I201">XLOOKUP('Core Values Input'!$A201,'Robot Design Input'!$A$2:$A$201,'Robot Design Input'!$E$2:$E$201)</f>
        <v/>
      </c>
      <c r="J201" s="97" t="str">
        <f t="array" ref="J201">XLOOKUP('Core Values Input'!$A201,'Robot Design Input'!$A$2:$A$201,'Robot Design Input'!$J$2:$J$201)</f>
        <v/>
      </c>
      <c r="K201" s="97" t="str">
        <f t="array" ref="K201">XLOOKUP('Core Values Input'!$A201,'Robot Design Input'!$A$2:$A$201,'Robot Design Input'!$K$2:$K$201)</f>
        <v/>
      </c>
      <c r="L201" s="97" t="str">
        <f t="array" ref="L201">XLOOKUP('Core Values Input'!$A201,'Robot Design Input'!$A$2:$A$201,'Robot Design Input'!$L$2:$L$201)</f>
        <v/>
      </c>
      <c r="M201" s="38"/>
      <c r="N201" s="38"/>
      <c r="O201" s="38"/>
      <c r="P201" s="38"/>
      <c r="Q201" s="38"/>
      <c r="R201" s="38" t="str">
        <f>IF('Core Values Input'!$M201="","",COUNTIF('Core Values Input'!$M201:$Q201,""))</f>
        <v/>
      </c>
      <c r="S201" s="38" t="str">
        <f>IF('Core Values Input'!$M201="","",SUM('Core Values Input'!$M201:$Q201))</f>
        <v/>
      </c>
      <c r="T201" s="38" t="str">
        <f>IF('Core Values Input'!$R201=3,SUM('Core Values Input'!$M201:$Q201),IF('Core Values Input'!$R201=4,SUM('Core Values Input'!$M201:$Q201),IF('Core Values Input'!$R201=2,'Core Values Input'!$S201,IF('Core Values Input'!$R201=1,'Core Values Input'!$S201*0.75,IF('Core Values Input'!$R201=0,'Core Values Input'!$S201*0.6,"")))))</f>
        <v/>
      </c>
      <c r="U201" s="100" t="str">
        <f>SUM('Core Values Input'!$C201:$L201,'Core Values Input'!$T201)</f>
        <v>#N/A</v>
      </c>
      <c r="V201" s="80">
        <f>IF('Core Values Input'!$A201&gt;0,MIN(_xlfn.RANK.EQ('Core Values Input'!$U201,'Core Values Input'!$U$2:$U$201,0),NumberOfTeams),NumberOfTeams+1)</f>
        <v>1</v>
      </c>
      <c r="W201" s="99"/>
      <c r="X201" s="99"/>
      <c r="Y201" s="99"/>
    </row>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W2:Y201">
    <cfRule type="cellIs" dxfId="10" priority="1" operator="equal">
      <formula>"TRUE"</formula>
    </cfRule>
  </conditionalFormatting>
  <dataValidations>
    <dataValidation type="decimal" allowBlank="1" showInputMessage="1" showErrorMessage="1" prompt="Only values between 1 and 4 are permitted." sqref="M2:Q201">
      <formula1>1.0</formula1>
      <formula2>4.0</formula2>
    </dataValidation>
    <dataValidation type="list" allowBlank="1" showErrorMessage="1" sqref="W2:Y201">
      <formula1>"TRUE"</formula1>
    </dataValidation>
  </dataValidations>
  <printOptions/>
  <pageMargins bottom="0.75" footer="0.0" header="0.0" left="0.7" right="0.7" top="0.75"/>
  <pageSetup orientation="landscape"/>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101" t="s">
        <v>111</v>
      </c>
      <c r="B1" s="101" t="s">
        <v>112</v>
      </c>
      <c r="C1" s="101" t="s">
        <v>113</v>
      </c>
      <c r="D1" s="101">
        <v>1.0</v>
      </c>
      <c r="E1" s="101">
        <v>2.0</v>
      </c>
      <c r="F1" s="101">
        <v>3.0</v>
      </c>
      <c r="G1" s="101">
        <v>4.0</v>
      </c>
      <c r="H1" s="101">
        <v>5.0</v>
      </c>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showGridLines="0" workbookViewId="0"/>
  </sheetViews>
  <sheetFormatPr customHeight="1" defaultColWidth="14.43" defaultRowHeight="15.0"/>
  <cols>
    <col customWidth="1" min="1" max="1" width="9.14"/>
    <col customWidth="1" min="2" max="2" width="15.43"/>
    <col customWidth="1" min="3" max="3" width="45.43"/>
    <col customWidth="1" min="4" max="4" width="17.14"/>
    <col customWidth="1" min="5" max="5" width="18.43"/>
    <col customWidth="1" min="6" max="6" width="8.71"/>
    <col customWidth="1" min="7" max="7" width="15.43"/>
    <col customWidth="1" min="8" max="8" width="45.43"/>
    <col customWidth="1" min="9" max="9" width="17.14"/>
    <col customWidth="1" min="10" max="10" width="18.43"/>
    <col customWidth="1" min="11" max="11" width="8.71"/>
    <col customWidth="1" min="12" max="12" width="15.43"/>
    <col customWidth="1" min="13" max="13" width="45.43"/>
    <col customWidth="1" min="14" max="14" width="17.14"/>
    <col customWidth="1" min="15" max="15" width="18.43"/>
    <col customWidth="1" min="16" max="26" width="8.71"/>
  </cols>
  <sheetData>
    <row r="1" ht="19.5" customHeight="1"/>
    <row r="2" ht="19.5" customHeight="1">
      <c r="B2" s="102" t="s">
        <v>31</v>
      </c>
      <c r="C2" s="102"/>
      <c r="D2" s="102"/>
      <c r="E2" s="102"/>
      <c r="F2" s="102"/>
      <c r="G2" s="102" t="s">
        <v>114</v>
      </c>
      <c r="H2" s="102"/>
      <c r="I2" s="102"/>
      <c r="J2" s="102"/>
      <c r="K2" s="102"/>
      <c r="L2" s="102"/>
      <c r="M2" s="102"/>
      <c r="N2" s="102"/>
      <c r="O2" s="102"/>
    </row>
    <row r="3" ht="39.0" customHeight="1">
      <c r="B3" s="103" t="s">
        <v>24</v>
      </c>
      <c r="C3" s="103" t="s">
        <v>25</v>
      </c>
      <c r="D3" s="104" t="s">
        <v>57</v>
      </c>
      <c r="E3" s="104" t="s">
        <v>115</v>
      </c>
      <c r="F3" s="102"/>
      <c r="G3" s="105" t="s">
        <v>24</v>
      </c>
      <c r="H3" s="105" t="s">
        <v>25</v>
      </c>
      <c r="I3" s="106" t="s">
        <v>57</v>
      </c>
      <c r="J3" s="106" t="s">
        <v>115</v>
      </c>
      <c r="K3" s="102"/>
      <c r="L3" s="102"/>
      <c r="M3" s="102"/>
      <c r="N3" s="102"/>
      <c r="O3" s="102"/>
    </row>
    <row r="4" ht="19.5" customHeight="1">
      <c r="B4" s="74"/>
      <c r="C4" s="74" t="str">
        <f t="array" ref="C4">IF(ISBLANK('Area Deliberations'!$B4),"",IF(ISBLANK('Area Deliberations'!$B4),"",XLOOKUP('Area Deliberations'!$B4,'Team and Program Information'!$C$3:$C$202,'Team and Program Information'!$D$3:$D$202,"",0,)))</f>
        <v/>
      </c>
      <c r="D4" s="74" t="str">
        <f t="array" ref="D4">XLOOKUP('Area Deliberations'!$B4,'Results and Rankings'!$A$3:$A$202,'Results and Rankings'!$N$3:$N$202,NumberOfTeams+1,0,)</f>
        <v>#VALUE!</v>
      </c>
      <c r="E4" s="74"/>
      <c r="F4" s="102"/>
      <c r="G4" s="74"/>
      <c r="H4" s="74" t="str">
        <f t="array" ref="H4">IF(ISBLANK('Area Deliberations'!$G4),"",XLOOKUP('Area Deliberations'!$G4,'Team and Program Information'!$C$3:$C$202,'Team and Program Information'!$D$3:$D$202,"",0,))</f>
        <v/>
      </c>
      <c r="I4" s="74" t="str">
        <f t="array" ref="I4">XLOOKUP('Area Deliberations'!$G4,'Results and Rankings'!$A$3:$A$202,'Results and Rankings'!$N$3:$N$202,NumberOfTeams+1,0,)</f>
        <v>#VALUE!</v>
      </c>
      <c r="J4" s="74"/>
      <c r="K4" s="102"/>
      <c r="L4" s="102"/>
      <c r="M4" s="102"/>
      <c r="N4" s="102"/>
      <c r="O4" s="102"/>
    </row>
    <row r="5" ht="19.5" customHeight="1">
      <c r="B5" s="74"/>
      <c r="C5" s="74" t="str">
        <f t="array" ref="C5">IF(ISBLANK('Area Deliberations'!$B5),"",IF(ISBLANK('Area Deliberations'!$B5),"",XLOOKUP('Area Deliberations'!$B5,'Team and Program Information'!$C$3:$C$202,'Team and Program Information'!$D$3:$D$202,"",0,)))</f>
        <v/>
      </c>
      <c r="D5" s="74" t="str">
        <f t="array" ref="D5">XLOOKUP('Area Deliberations'!$B5,'Results and Rankings'!$A$3:$A$202,'Results and Rankings'!$N$3:$N$202,NumberOfTeams+1,0,)</f>
        <v>#VALUE!</v>
      </c>
      <c r="E5" s="74"/>
      <c r="F5" s="102"/>
      <c r="G5" s="74"/>
      <c r="H5" s="74" t="str">
        <f t="array" ref="H5">IF(ISBLANK('Area Deliberations'!$G5),"",XLOOKUP('Area Deliberations'!$G5,'Team and Program Information'!$C$3:$C$202,'Team and Program Information'!$D$3:$D$202,"",0,))</f>
        <v/>
      </c>
      <c r="I5" s="74" t="str">
        <f t="array" ref="I5">XLOOKUP('Area Deliberations'!$G5,'Results and Rankings'!$A$3:$A$202,'Results and Rankings'!$N$3:$N$202,NumberOfTeams+1,0,)</f>
        <v>#VALUE!</v>
      </c>
      <c r="J5" s="74"/>
      <c r="K5" s="102"/>
      <c r="L5" s="102"/>
      <c r="M5" s="102"/>
      <c r="N5" s="102"/>
      <c r="O5" s="102"/>
    </row>
    <row r="6" ht="19.5" customHeight="1">
      <c r="B6" s="74"/>
      <c r="C6" s="74" t="str">
        <f t="array" ref="C6">IF(ISBLANK('Area Deliberations'!$B6),"",IF(ISBLANK('Area Deliberations'!$B6),"",XLOOKUP('Area Deliberations'!$B6,'Team and Program Information'!$C$3:$C$202,'Team and Program Information'!$D$3:$D$202,"",0,)))</f>
        <v/>
      </c>
      <c r="D6" s="74" t="str">
        <f t="array" ref="D6">XLOOKUP('Area Deliberations'!$B6,'Results and Rankings'!$A$3:$A$202,'Results and Rankings'!$N$3:$N$202,NumberOfTeams+1,0,)</f>
        <v>#VALUE!</v>
      </c>
      <c r="E6" s="74"/>
      <c r="F6" s="102"/>
      <c r="G6" s="74"/>
      <c r="H6" s="74" t="str">
        <f t="array" ref="H6">IF(ISBLANK('Area Deliberations'!$G6),"",XLOOKUP('Area Deliberations'!$G6,'Team and Program Information'!$C$3:$C$202,'Team and Program Information'!$D$3:$D$202,"",0,))</f>
        <v/>
      </c>
      <c r="I6" s="74" t="str">
        <f t="array" ref="I6">XLOOKUP('Area Deliberations'!$G6,'Results and Rankings'!$A$3:$A$202,'Results and Rankings'!$N$3:$N$202,NumberOfTeams+1,0,)</f>
        <v>#VALUE!</v>
      </c>
      <c r="J6" s="74"/>
      <c r="K6" s="102"/>
      <c r="L6" s="102"/>
      <c r="M6" s="102"/>
      <c r="N6" s="102"/>
      <c r="O6" s="102"/>
    </row>
    <row r="7" ht="19.5" customHeight="1">
      <c r="B7" s="74"/>
      <c r="C7" s="74" t="str">
        <f t="array" ref="C7">IF(ISBLANK('Area Deliberations'!$B7),"",IF(ISBLANK('Area Deliberations'!$B7),"",XLOOKUP('Area Deliberations'!$B7,'Team and Program Information'!$C$3:$C$202,'Team and Program Information'!$D$3:$D$202,"",0,)))</f>
        <v/>
      </c>
      <c r="D7" s="74" t="str">
        <f t="array" ref="D7">XLOOKUP('Area Deliberations'!$B7,'Results and Rankings'!$A$3:$A$202,'Results and Rankings'!$N$3:$N$202,NumberOfTeams+1,0,)</f>
        <v>#VALUE!</v>
      </c>
      <c r="E7" s="74"/>
      <c r="F7" s="102"/>
      <c r="G7" s="74"/>
      <c r="H7" s="74" t="str">
        <f t="array" ref="H7">IF(ISBLANK('Area Deliberations'!$G7),"",XLOOKUP('Area Deliberations'!$G7,'Team and Program Information'!$C$3:$C$202,'Team and Program Information'!$D$3:$D$202,"",0,))</f>
        <v/>
      </c>
      <c r="I7" s="74" t="str">
        <f t="array" ref="I7">XLOOKUP('Area Deliberations'!$G7,'Results and Rankings'!$A$3:$A$202,'Results and Rankings'!$N$3:$N$202,NumberOfTeams+1,0,)</f>
        <v>#VALUE!</v>
      </c>
      <c r="J7" s="74"/>
      <c r="K7" s="102"/>
      <c r="L7" s="102"/>
      <c r="M7" s="102"/>
      <c r="N7" s="102"/>
      <c r="O7" s="102"/>
    </row>
    <row r="8" ht="19.5" customHeight="1">
      <c r="B8" s="74"/>
      <c r="C8" s="74" t="str">
        <f t="array" ref="C8">IF(ISBLANK('Area Deliberations'!$B8),"",IF(ISBLANK('Area Deliberations'!$B8),"",XLOOKUP('Area Deliberations'!$B8,'Team and Program Information'!$C$3:$C$202,'Team and Program Information'!$D$3:$D$202,"",0,)))</f>
        <v/>
      </c>
      <c r="D8" s="74" t="str">
        <f t="array" ref="D8">XLOOKUP('Area Deliberations'!$B8,'Results and Rankings'!$A$3:$A$202,'Results and Rankings'!$N$3:$N$202,NumberOfTeams+1,0,)</f>
        <v>#VALUE!</v>
      </c>
      <c r="E8" s="74"/>
      <c r="F8" s="102"/>
      <c r="G8" s="74"/>
      <c r="H8" s="74" t="str">
        <f t="array" ref="H8">IF(ISBLANK('Area Deliberations'!$G8),"",XLOOKUP('Area Deliberations'!$G8,'Team and Program Information'!$C$3:$C$202,'Team and Program Information'!$D$3:$D$202,"",0,))</f>
        <v/>
      </c>
      <c r="I8" s="74" t="str">
        <f t="array" ref="I8">XLOOKUP('Area Deliberations'!$G8,'Results and Rankings'!$A$3:$A$202,'Results and Rankings'!$N$3:$N$202,NumberOfTeams+1,0,)</f>
        <v>#VALUE!</v>
      </c>
      <c r="J8" s="74"/>
      <c r="K8" s="102"/>
      <c r="L8" s="102"/>
      <c r="M8" s="102"/>
      <c r="N8" s="102"/>
      <c r="O8" s="102"/>
    </row>
    <row r="9" ht="19.5" customHeight="1">
      <c r="B9" s="74"/>
      <c r="C9" s="74" t="str">
        <f t="array" ref="C9">IF(ISBLANK('Area Deliberations'!$B9),"",IF(ISBLANK('Area Deliberations'!$B9),"",XLOOKUP('Area Deliberations'!$B9,'Team and Program Information'!$C$3:$C$202,'Team and Program Information'!$D$3:$D$202,"",0,)))</f>
        <v/>
      </c>
      <c r="D9" s="74" t="str">
        <f t="array" ref="D9">XLOOKUP('Area Deliberations'!$B9,'Results and Rankings'!$A$3:$A$202,'Results and Rankings'!$N$3:$N$202,NumberOfTeams+1,0,)</f>
        <v>#VALUE!</v>
      </c>
      <c r="E9" s="74"/>
      <c r="F9" s="102"/>
      <c r="G9" s="74"/>
      <c r="H9" s="74" t="str">
        <f t="array" ref="H9">IF(ISBLANK('Area Deliberations'!$G9),"",XLOOKUP('Area Deliberations'!$G9,'Team and Program Information'!$C$3:$C$202,'Team and Program Information'!$D$3:$D$202,"",0,))</f>
        <v/>
      </c>
      <c r="I9" s="74" t="str">
        <f t="array" ref="I9">XLOOKUP('Area Deliberations'!$G9,'Results and Rankings'!$A$3:$A$202,'Results and Rankings'!$N$3:$N$202,NumberOfTeams+1,0,)</f>
        <v>#VALUE!</v>
      </c>
      <c r="J9" s="74"/>
      <c r="K9" s="102"/>
      <c r="L9" s="102"/>
      <c r="M9" s="102"/>
      <c r="N9" s="102"/>
      <c r="O9" s="102"/>
    </row>
    <row r="10" ht="19.5" customHeight="1">
      <c r="B10" s="74"/>
      <c r="C10" s="74" t="str">
        <f t="array" ref="C10">IF(ISBLANK('Area Deliberations'!$B10),"",IF(ISBLANK('Area Deliberations'!$B10),"",XLOOKUP('Area Deliberations'!$B10,'Team and Program Information'!$C$3:$C$202,'Team and Program Information'!$D$3:$D$202,"",0,)))</f>
        <v/>
      </c>
      <c r="D10" s="74" t="str">
        <f t="array" ref="D10">XLOOKUP('Area Deliberations'!$B10,'Results and Rankings'!$A$3:$A$202,'Results and Rankings'!$N$3:$N$202,NumberOfTeams+1,0,)</f>
        <v>#VALUE!</v>
      </c>
      <c r="E10" s="74"/>
      <c r="F10" s="102"/>
      <c r="G10" s="74"/>
      <c r="H10" s="74" t="str">
        <f t="array" ref="H10">IF(ISBLANK('Area Deliberations'!$G10),"",XLOOKUP('Area Deliberations'!$G10,'Team and Program Information'!$C$3:$C$202,'Team and Program Information'!$D$3:$D$202,"",0,))</f>
        <v/>
      </c>
      <c r="I10" s="74" t="str">
        <f t="array" ref="I10">XLOOKUP('Area Deliberations'!$G10,'Results and Rankings'!$A$3:$A$202,'Results and Rankings'!$N$3:$N$202,NumberOfTeams+1,0,)</f>
        <v>#VALUE!</v>
      </c>
      <c r="J10" s="74"/>
      <c r="K10" s="102"/>
      <c r="L10" s="102"/>
      <c r="M10" s="102"/>
      <c r="N10" s="102"/>
      <c r="O10" s="102"/>
    </row>
    <row r="11" ht="19.5" customHeight="1">
      <c r="B11" s="74"/>
      <c r="C11" s="74" t="str">
        <f t="array" ref="C11">IF(ISBLANK('Area Deliberations'!$B11),"",IF(ISBLANK('Area Deliberations'!$B11),"",XLOOKUP('Area Deliberations'!$B11,'Team and Program Information'!$C$3:$C$202,'Team and Program Information'!$D$3:$D$202,"",0,)))</f>
        <v/>
      </c>
      <c r="D11" s="74" t="str">
        <f t="array" ref="D11">XLOOKUP('Area Deliberations'!$B11,'Results and Rankings'!$A$3:$A$202,'Results and Rankings'!$N$3:$N$202,NumberOfTeams+1,0,)</f>
        <v>#VALUE!</v>
      </c>
      <c r="E11" s="74"/>
      <c r="F11" s="102"/>
      <c r="G11" s="74"/>
      <c r="H11" s="74" t="str">
        <f t="array" ref="H11">IF(ISBLANK('Area Deliberations'!$G11),"",XLOOKUP('Area Deliberations'!$G11,'Team and Program Information'!$C$3:$C$202,'Team and Program Information'!$D$3:$D$202,"",0,))</f>
        <v/>
      </c>
      <c r="I11" s="74" t="str">
        <f t="array" ref="I11">XLOOKUP('Area Deliberations'!$G11,'Results and Rankings'!$A$3:$A$202,'Results and Rankings'!$N$3:$N$202,NumberOfTeams+1,0,)</f>
        <v>#VALUE!</v>
      </c>
      <c r="J11" s="74"/>
      <c r="K11" s="102"/>
      <c r="L11" s="102"/>
      <c r="M11" s="102"/>
      <c r="N11" s="102"/>
      <c r="O11" s="102"/>
    </row>
    <row r="12" ht="19.5" customHeight="1">
      <c r="B12" s="74"/>
      <c r="C12" s="74" t="str">
        <f t="array" ref="C12">IF(ISBLANK('Area Deliberations'!$B12),"",IF(ISBLANK('Area Deliberations'!$B12),"",XLOOKUP('Area Deliberations'!$B12,'Team and Program Information'!$C$3:$C$202,'Team and Program Information'!$D$3:$D$202,"",0,)))</f>
        <v/>
      </c>
      <c r="D12" s="74" t="str">
        <f t="array" ref="D12">XLOOKUP('Area Deliberations'!$B12,'Results and Rankings'!$A$3:$A$202,'Results and Rankings'!$N$3:$N$202,NumberOfTeams+1,0,)</f>
        <v>#VALUE!</v>
      </c>
      <c r="E12" s="74"/>
      <c r="F12" s="102"/>
      <c r="G12" s="74"/>
      <c r="H12" s="74" t="str">
        <f t="array" ref="H12">IF(ISBLANK('Area Deliberations'!$G12),"",XLOOKUP('Area Deliberations'!$G12,'Team and Program Information'!$C$3:$C$202,'Team and Program Information'!$D$3:$D$202,"",0,))</f>
        <v/>
      </c>
      <c r="I12" s="74" t="str">
        <f t="array" ref="I12">XLOOKUP('Area Deliberations'!$G12,'Results and Rankings'!$A$3:$A$202,'Results and Rankings'!$N$3:$N$202,NumberOfTeams+1,0,)</f>
        <v>#VALUE!</v>
      </c>
      <c r="J12" s="74"/>
      <c r="K12" s="102"/>
      <c r="L12" s="102"/>
      <c r="M12" s="102"/>
      <c r="N12" s="102"/>
      <c r="O12" s="102"/>
    </row>
    <row r="13" ht="19.5" customHeight="1">
      <c r="B13" s="74"/>
      <c r="C13" s="74" t="str">
        <f t="array" ref="C13">IF(ISBLANK('Area Deliberations'!$B13),"",IF(ISBLANK('Area Deliberations'!$B13),"",XLOOKUP('Area Deliberations'!$B13,'Team and Program Information'!$C$3:$C$202,'Team and Program Information'!$D$3:$D$202,"",0,)))</f>
        <v/>
      </c>
      <c r="D13" s="74" t="str">
        <f t="array" ref="D13">XLOOKUP('Area Deliberations'!$B13,'Results and Rankings'!$A$3:$A$202,'Results and Rankings'!$N$3:$N$202,NumberOfTeams+1,0,)</f>
        <v>#VALUE!</v>
      </c>
      <c r="E13" s="74"/>
      <c r="F13" s="102"/>
      <c r="G13" s="74"/>
      <c r="H13" s="74" t="str">
        <f t="array" ref="H13">IF(ISBLANK('Area Deliberations'!$G13),"",XLOOKUP('Area Deliberations'!$G13,'Team and Program Information'!$C$3:$C$202,'Team and Program Information'!$D$3:$D$202,"",0,))</f>
        <v/>
      </c>
      <c r="I13" s="74" t="str">
        <f t="array" ref="I13">XLOOKUP('Area Deliberations'!$G13,'Results and Rankings'!$A$3:$A$202,'Results and Rankings'!$N$3:$N$202,NumberOfTeams+1,0,)</f>
        <v>#VALUE!</v>
      </c>
      <c r="J13" s="74"/>
      <c r="K13" s="102"/>
      <c r="L13" s="102"/>
      <c r="M13" s="102"/>
      <c r="N13" s="102"/>
      <c r="O13" s="102"/>
    </row>
    <row r="14" ht="19.5" customHeight="1">
      <c r="B14" s="74"/>
      <c r="C14" s="74" t="str">
        <f t="array" ref="C14">IF(ISBLANK('Area Deliberations'!$B14),"",IF(ISBLANK('Area Deliberations'!$B14),"",XLOOKUP('Area Deliberations'!$B14,'Team and Program Information'!$C$3:$C$202,'Team and Program Information'!$D$3:$D$202,"",0,)))</f>
        <v/>
      </c>
      <c r="D14" s="74" t="str">
        <f t="array" ref="D14">XLOOKUP('Area Deliberations'!$B14,'Results and Rankings'!$A$3:$A$202,'Results and Rankings'!$N$3:$N$202,NumberOfTeams+1,0,)</f>
        <v>#VALUE!</v>
      </c>
      <c r="E14" s="74"/>
      <c r="F14" s="102"/>
      <c r="G14" s="74"/>
      <c r="H14" s="74" t="str">
        <f t="array" ref="H14">IF(ISBLANK('Area Deliberations'!$G14),"",XLOOKUP('Area Deliberations'!$G14,'Team and Program Information'!$C$3:$C$202,'Team and Program Information'!$D$3:$D$202,"",0,))</f>
        <v/>
      </c>
      <c r="I14" s="74" t="str">
        <f t="array" ref="I14">XLOOKUP('Area Deliberations'!$G14,'Results and Rankings'!$A$3:$A$202,'Results and Rankings'!$N$3:$N$202,NumberOfTeams+1,0,)</f>
        <v>#VALUE!</v>
      </c>
      <c r="J14" s="74"/>
      <c r="K14" s="102"/>
      <c r="L14" s="102"/>
      <c r="M14" s="102"/>
      <c r="N14" s="102"/>
      <c r="O14" s="102"/>
    </row>
    <row r="15" ht="19.5" customHeight="1">
      <c r="B15" s="74"/>
      <c r="C15" s="74" t="str">
        <f t="array" ref="C15">IF(ISBLANK('Area Deliberations'!$B15),"",IF(ISBLANK('Area Deliberations'!$B15),"",XLOOKUP('Area Deliberations'!$B15,'Team and Program Information'!$C$3:$C$202,'Team and Program Information'!$D$3:$D$202,"",0,)))</f>
        <v/>
      </c>
      <c r="D15" s="74" t="str">
        <f t="array" ref="D15">XLOOKUP('Area Deliberations'!$B15,'Results and Rankings'!$A$3:$A$202,'Results and Rankings'!$N$3:$N$202,NumberOfTeams+1,0,)</f>
        <v>#VALUE!</v>
      </c>
      <c r="E15" s="74"/>
      <c r="F15" s="102"/>
      <c r="G15" s="74"/>
      <c r="H15" s="74" t="str">
        <f t="array" ref="H15">IF(ISBLANK('Area Deliberations'!$G15),"",XLOOKUP('Area Deliberations'!$G15,'Team and Program Information'!$C$3:$C$202,'Team and Program Information'!$D$3:$D$202,"",0,))</f>
        <v/>
      </c>
      <c r="I15" s="74" t="str">
        <f t="array" ref="I15">XLOOKUP('Area Deliberations'!$G15,'Results and Rankings'!$A$3:$A$202,'Results and Rankings'!$N$3:$N$202,NumberOfTeams+1,0,)</f>
        <v>#VALUE!</v>
      </c>
      <c r="J15" s="74"/>
      <c r="K15" s="102"/>
      <c r="L15" s="102"/>
      <c r="M15" s="102"/>
      <c r="N15" s="102"/>
      <c r="O15" s="102"/>
    </row>
    <row r="16" ht="19.5" customHeight="1">
      <c r="B16" s="74"/>
      <c r="C16" s="74" t="str">
        <f t="array" ref="C16">IF(ISBLANK('Area Deliberations'!$B16),"",IF(ISBLANK('Area Deliberations'!$B16),"",XLOOKUP('Area Deliberations'!$B16,'Team and Program Information'!$C$3:$C$202,'Team and Program Information'!$D$3:$D$202,"",0,)))</f>
        <v/>
      </c>
      <c r="D16" s="74" t="str">
        <f t="array" ref="D16">XLOOKUP('Area Deliberations'!$B16,'Results and Rankings'!$A$3:$A$202,'Results and Rankings'!$N$3:$N$202,NumberOfTeams+1,0,)</f>
        <v>#VALUE!</v>
      </c>
      <c r="E16" s="74"/>
      <c r="F16" s="102"/>
      <c r="G16" s="74"/>
      <c r="H16" s="74" t="str">
        <f t="array" ref="H16">IF(ISBLANK('Area Deliberations'!$G16),"",XLOOKUP('Area Deliberations'!$G16,'Team and Program Information'!$C$3:$C$202,'Team and Program Information'!$D$3:$D$202,"",0,))</f>
        <v/>
      </c>
      <c r="I16" s="74" t="str">
        <f t="array" ref="I16">XLOOKUP('Area Deliberations'!$G16,'Results and Rankings'!$A$3:$A$202,'Results and Rankings'!$N$3:$N$202,NumberOfTeams+1,0,)</f>
        <v>#VALUE!</v>
      </c>
      <c r="J16" s="74"/>
      <c r="K16" s="102"/>
      <c r="L16" s="102"/>
      <c r="M16" s="102"/>
      <c r="N16" s="102"/>
      <c r="O16" s="102"/>
    </row>
    <row r="17" ht="19.5" customHeight="1">
      <c r="B17" s="74"/>
      <c r="C17" s="74" t="str">
        <f t="array" ref="C17">IF(ISBLANK('Area Deliberations'!$B17),"",IF(ISBLANK('Area Deliberations'!$B17),"",XLOOKUP('Area Deliberations'!$B17,'Team and Program Information'!$C$3:$C$202,'Team and Program Information'!$D$3:$D$202,"",0,)))</f>
        <v/>
      </c>
      <c r="D17" s="74" t="str">
        <f t="array" ref="D17">XLOOKUP('Area Deliberations'!$B17,'Results and Rankings'!$A$3:$A$202,'Results and Rankings'!$N$3:$N$202,NumberOfTeams+1,0,)</f>
        <v>#VALUE!</v>
      </c>
      <c r="E17" s="74"/>
      <c r="F17" s="102"/>
      <c r="G17" s="74"/>
      <c r="H17" s="74" t="str">
        <f t="array" ref="H17">IF(ISBLANK('Area Deliberations'!$G17),"",XLOOKUP('Area Deliberations'!$G17,'Team and Program Information'!$C$3:$C$202,'Team and Program Information'!$D$3:$D$202,"",0,))</f>
        <v/>
      </c>
      <c r="I17" s="74" t="str">
        <f t="array" ref="I17">XLOOKUP('Area Deliberations'!$G17,'Results and Rankings'!$A$3:$A$202,'Results and Rankings'!$N$3:$N$202,NumberOfTeams+1,0,)</f>
        <v>#VALUE!</v>
      </c>
      <c r="J17" s="74"/>
      <c r="K17" s="102"/>
      <c r="L17" s="102"/>
      <c r="M17" s="102"/>
      <c r="N17" s="102"/>
      <c r="O17" s="102"/>
    </row>
    <row r="18" ht="19.5" customHeight="1">
      <c r="B18" s="74"/>
      <c r="C18" s="74" t="str">
        <f t="array" ref="C18">IF(ISBLANK('Area Deliberations'!$B18),"",IF(ISBLANK('Area Deliberations'!$B18),"",XLOOKUP('Area Deliberations'!$B18,'Team and Program Information'!$C$3:$C$202,'Team and Program Information'!$D$3:$D$202,"",0,)))</f>
        <v/>
      </c>
      <c r="D18" s="74" t="str">
        <f t="array" ref="D18">XLOOKUP('Area Deliberations'!$B18,'Results and Rankings'!$A$3:$A$202,'Results and Rankings'!$N$3:$N$202,NumberOfTeams+1,0,)</f>
        <v>#VALUE!</v>
      </c>
      <c r="E18" s="74"/>
      <c r="F18" s="102"/>
      <c r="G18" s="74"/>
      <c r="H18" s="74" t="str">
        <f t="array" ref="H18">IF(ISBLANK('Area Deliberations'!$G18),"",XLOOKUP('Area Deliberations'!$G18,'Team and Program Information'!$C$3:$C$202,'Team and Program Information'!$D$3:$D$202,"",0,))</f>
        <v/>
      </c>
      <c r="I18" s="74" t="str">
        <f t="array" ref="I18">XLOOKUP('Area Deliberations'!$G18,'Results and Rankings'!$A$3:$A$202,'Results and Rankings'!$N$3:$N$202,NumberOfTeams+1,0,)</f>
        <v>#VALUE!</v>
      </c>
      <c r="J18" s="74"/>
      <c r="K18" s="102"/>
      <c r="L18" s="102"/>
      <c r="M18" s="102"/>
      <c r="N18" s="102"/>
      <c r="O18" s="102"/>
    </row>
    <row r="19" ht="19.5" customHeight="1">
      <c r="B19" s="102"/>
      <c r="C19" s="102"/>
      <c r="D19" s="102"/>
      <c r="E19" s="102"/>
      <c r="F19" s="102"/>
      <c r="G19" s="102"/>
      <c r="H19" s="102"/>
      <c r="I19" s="102"/>
      <c r="J19" s="102"/>
      <c r="K19" s="102"/>
      <c r="L19" s="102"/>
      <c r="M19" s="102"/>
      <c r="N19" s="102"/>
      <c r="O19" s="102"/>
    </row>
    <row r="20" ht="19.5" customHeight="1">
      <c r="B20" s="102" t="s">
        <v>32</v>
      </c>
      <c r="C20" s="102"/>
      <c r="D20" s="102"/>
      <c r="E20" s="102"/>
      <c r="F20" s="102"/>
      <c r="G20" s="102" t="s">
        <v>34</v>
      </c>
      <c r="H20" s="102"/>
      <c r="I20" s="102"/>
      <c r="J20" s="102"/>
      <c r="K20" s="102"/>
      <c r="L20" s="102" t="s">
        <v>33</v>
      </c>
      <c r="M20" s="102"/>
      <c r="N20" s="102"/>
      <c r="O20" s="102"/>
    </row>
    <row r="21" ht="39.0" customHeight="1">
      <c r="B21" s="107" t="s">
        <v>24</v>
      </c>
      <c r="C21" s="107" t="s">
        <v>25</v>
      </c>
      <c r="D21" s="108" t="s">
        <v>53</v>
      </c>
      <c r="E21" s="108" t="s">
        <v>115</v>
      </c>
      <c r="F21" s="102"/>
      <c r="G21" s="109" t="s">
        <v>24</v>
      </c>
      <c r="H21" s="109" t="s">
        <v>25</v>
      </c>
      <c r="I21" s="110" t="s">
        <v>55</v>
      </c>
      <c r="J21" s="110" t="s">
        <v>115</v>
      </c>
      <c r="K21" s="102"/>
      <c r="L21" s="111" t="s">
        <v>24</v>
      </c>
      <c r="M21" s="111" t="s">
        <v>25</v>
      </c>
      <c r="N21" s="112" t="s">
        <v>54</v>
      </c>
      <c r="O21" s="112" t="s">
        <v>115</v>
      </c>
    </row>
    <row r="22" ht="19.5" customHeight="1">
      <c r="B22" s="74"/>
      <c r="C22" s="74" t="str">
        <f t="array" ref="C22">IF(ISBLANK('Area Deliberations'!$B22),"",XLOOKUP('Area Deliberations'!$B22,'Team and Program Information'!$C$3:$C$202,'Team and Program Information'!$D$3:$D$202,"",0,))</f>
        <v/>
      </c>
      <c r="D22" s="74">
        <f t="array" ref="D22">IF(ISNA(INDEX('Core Values Input'!$V$2:$V$201,MATCH('Area Deliberations'!$B22,'Core Values Input'!$A$2:$A$201,0))),NumberOfTeams+1,INDEX('Core Values Input'!$V$2:$V$201,MATCH('Area Deliberations'!$B22,'Core Values Input'!$A$2:$A$201,0)))</f>
        <v>1</v>
      </c>
      <c r="E22" s="74"/>
      <c r="F22" s="102"/>
      <c r="G22" s="74"/>
      <c r="H22" s="74" t="str">
        <f t="array" ref="H22">IF(ISBLANK('Area Deliberations'!$G22),"",XLOOKUP('Area Deliberations'!$G22,'Team and Program Information'!$C$3:$C$202,'Team and Program Information'!$D$3:$D$202,"",0,))</f>
        <v/>
      </c>
      <c r="I22" s="74" t="str">
        <f t="array" ref="I22">XLOOKUP('Area Deliberations'!$G22,'Results and Rankings'!$A$3:$A$202,'Results and Rankings'!$L$3:$L$202,NumberOfTeams+1,0,)</f>
        <v>#VALUE!</v>
      </c>
      <c r="J22" s="74"/>
      <c r="K22" s="102"/>
      <c r="L22" s="74"/>
      <c r="M22" s="74" t="str">
        <f t="array" ref="M22">IF(ISBLANK('Area Deliberations'!$L22),"",XLOOKUP('Area Deliberations'!$L22,'Team and Program Information'!$C$3:$C$202,'Team and Program Information'!$D$3:$D$202,"",0,))</f>
        <v/>
      </c>
      <c r="N22" s="74" t="str">
        <f t="array" ref="N22">XLOOKUP('Area Deliberations'!$L22,'Results and Rankings'!$A$3:$A$202,'Results and Rankings'!$K$3:$K$202,NumberOfTeams+1,0,)</f>
        <v>#VALUE!</v>
      </c>
      <c r="O22" s="74"/>
    </row>
    <row r="23" ht="19.5" customHeight="1">
      <c r="B23" s="74"/>
      <c r="C23" s="74" t="str">
        <f t="array" ref="C23">IF(ISBLANK('Area Deliberations'!$B23),"",XLOOKUP('Area Deliberations'!$B23,'Team and Program Information'!$C$3:$C$202,'Team and Program Information'!$D$3:$D$202,"",0,))</f>
        <v/>
      </c>
      <c r="D23" s="74">
        <f t="array" ref="D23">IF(ISNA(INDEX('Core Values Input'!$V$2:$V$201,MATCH('Area Deliberations'!$B23,'Core Values Input'!$A$2:$A$201,0))),NumberOfTeams+1,INDEX('Core Values Input'!$V$2:$V$201,MATCH('Area Deliberations'!$B23,'Core Values Input'!$A$2:$A$201,0)))</f>
        <v>1</v>
      </c>
      <c r="E23" s="74"/>
      <c r="F23" s="102"/>
      <c r="G23" s="74"/>
      <c r="H23" s="74" t="str">
        <f t="array" ref="H23">IF(ISBLANK('Area Deliberations'!$G23),"",XLOOKUP('Area Deliberations'!$G23,'Team and Program Information'!$C$3:$C$202,'Team and Program Information'!$D$3:$D$202,"",0,))</f>
        <v/>
      </c>
      <c r="I23" s="74" t="str">
        <f t="array" ref="I23">XLOOKUP('Area Deliberations'!$G23,'Results and Rankings'!$A$3:$A$202,'Results and Rankings'!$L$3:$L$202,NumberOfTeams+1,0,)</f>
        <v>#VALUE!</v>
      </c>
      <c r="J23" s="74"/>
      <c r="K23" s="102"/>
      <c r="L23" s="74"/>
      <c r="M23" s="74" t="str">
        <f t="array" ref="M23">IF(ISBLANK('Area Deliberations'!$L23),"",XLOOKUP('Area Deliberations'!$L23,'Team and Program Information'!$C$3:$C$202,'Team and Program Information'!$D$3:$D$202,"",0,))</f>
        <v/>
      </c>
      <c r="N23" s="74" t="str">
        <f t="array" ref="N23">XLOOKUP('Area Deliberations'!$L23,'Results and Rankings'!$A$3:$A$202,'Results and Rankings'!$K$3:$K$202,NumberOfTeams+1,0,)</f>
        <v>#VALUE!</v>
      </c>
      <c r="O23" s="74"/>
    </row>
    <row r="24" ht="19.5" customHeight="1">
      <c r="B24" s="74"/>
      <c r="C24" s="74" t="str">
        <f t="array" ref="C24">IF(ISBLANK('Area Deliberations'!$B24),"",XLOOKUP('Area Deliberations'!$B24,'Team and Program Information'!$C$3:$C$202,'Team and Program Information'!$D$3:$D$202,"",0,))</f>
        <v/>
      </c>
      <c r="D24" s="74">
        <f t="array" ref="D24">IF(ISNA(INDEX('Core Values Input'!$V$2:$V$201,MATCH('Area Deliberations'!$B24,'Core Values Input'!$A$2:$A$201,0))),NumberOfTeams+1,INDEX('Core Values Input'!$V$2:$V$201,MATCH('Area Deliberations'!$B24,'Core Values Input'!$A$2:$A$201,0)))</f>
        <v>1</v>
      </c>
      <c r="E24" s="74"/>
      <c r="F24" s="102"/>
      <c r="G24" s="74"/>
      <c r="H24" s="74" t="str">
        <f t="array" ref="H24">IF(ISBLANK('Area Deliberations'!$G24),"",XLOOKUP('Area Deliberations'!$G24,'Team and Program Information'!$C$3:$C$202,'Team and Program Information'!$D$3:$D$202,"",0,))</f>
        <v/>
      </c>
      <c r="I24" s="74" t="str">
        <f t="array" ref="I24">XLOOKUP('Area Deliberations'!$G24,'Results and Rankings'!$A$3:$A$202,'Results and Rankings'!$L$3:$L$202,NumberOfTeams+1,0,)</f>
        <v>#VALUE!</v>
      </c>
      <c r="J24" s="74"/>
      <c r="K24" s="102"/>
      <c r="L24" s="74"/>
      <c r="M24" s="74" t="str">
        <f t="array" ref="M24">IF(ISBLANK('Area Deliberations'!$L24),"",XLOOKUP('Area Deliberations'!$L24,'Team and Program Information'!$C$3:$C$202,'Team and Program Information'!$D$3:$D$202,"",0,))</f>
        <v/>
      </c>
      <c r="N24" s="74" t="str">
        <f t="array" ref="N24">XLOOKUP('Area Deliberations'!$L24,'Results and Rankings'!$A$3:$A$202,'Results and Rankings'!$K$3:$K$202,NumberOfTeams+1,0,)</f>
        <v>#VALUE!</v>
      </c>
      <c r="O24" s="74"/>
    </row>
    <row r="25" ht="19.5" customHeight="1">
      <c r="B25" s="74"/>
      <c r="C25" s="74" t="str">
        <f t="array" ref="C25">IF(ISBLANK('Area Deliberations'!$B25),"",XLOOKUP('Area Deliberations'!$B25,'Team and Program Information'!$C$3:$C$202,'Team and Program Information'!$D$3:$D$202,"",0,))</f>
        <v/>
      </c>
      <c r="D25" s="74">
        <f t="array" ref="D25">IF(ISNA(INDEX('Core Values Input'!$V$2:$V$201,MATCH('Area Deliberations'!$B25,'Core Values Input'!$A$2:$A$201,0))),NumberOfTeams+1,INDEX('Core Values Input'!$V$2:$V$201,MATCH('Area Deliberations'!$B25,'Core Values Input'!$A$2:$A$201,0)))</f>
        <v>1</v>
      </c>
      <c r="E25" s="74"/>
      <c r="F25" s="102"/>
      <c r="G25" s="74"/>
      <c r="H25" s="74" t="str">
        <f t="array" ref="H25">IF(ISBLANK('Area Deliberations'!$G25),"",XLOOKUP('Area Deliberations'!$G25,'Team and Program Information'!$C$3:$C$202,'Team and Program Information'!$D$3:$D$202,"",0,))</f>
        <v/>
      </c>
      <c r="I25" s="74" t="str">
        <f t="array" ref="I25">XLOOKUP('Area Deliberations'!$G25,'Results and Rankings'!$A$3:$A$202,'Results and Rankings'!$L$3:$L$202,NumberOfTeams+1,0,)</f>
        <v>#VALUE!</v>
      </c>
      <c r="J25" s="74"/>
      <c r="K25" s="102"/>
      <c r="L25" s="74"/>
      <c r="M25" s="74" t="str">
        <f t="array" ref="M25">IF(ISBLANK('Area Deliberations'!$L25),"",XLOOKUP('Area Deliberations'!$L25,'Team and Program Information'!$C$3:$C$202,'Team and Program Information'!$D$3:$D$202,"",0,))</f>
        <v/>
      </c>
      <c r="N25" s="74" t="str">
        <f t="array" ref="N25">XLOOKUP('Area Deliberations'!$L25,'Results and Rankings'!$A$3:$A$202,'Results and Rankings'!$K$3:$K$202,NumberOfTeams+1,0,)</f>
        <v>#VALUE!</v>
      </c>
      <c r="O25" s="74"/>
    </row>
    <row r="26" ht="19.5" customHeight="1">
      <c r="B26" s="74"/>
      <c r="C26" s="74" t="str">
        <f t="array" ref="C26">IF(ISBLANK('Area Deliberations'!$B26),"",XLOOKUP('Area Deliberations'!$B26,'Team and Program Information'!$C$3:$C$202,'Team and Program Information'!$D$3:$D$202,"",0,))</f>
        <v/>
      </c>
      <c r="D26" s="74">
        <f t="array" ref="D26">IF(ISNA(INDEX('Core Values Input'!$V$2:$V$201,MATCH('Area Deliberations'!$B26,'Core Values Input'!$A$2:$A$201,0))),NumberOfTeams+1,INDEX('Core Values Input'!$V$2:$V$201,MATCH('Area Deliberations'!$B26,'Core Values Input'!$A$2:$A$201,0)))</f>
        <v>1</v>
      </c>
      <c r="E26" s="74"/>
      <c r="F26" s="102"/>
      <c r="G26" s="74"/>
      <c r="H26" s="74" t="str">
        <f t="array" ref="H26">IF(ISBLANK('Area Deliberations'!$G26),"",XLOOKUP('Area Deliberations'!$G26,'Team and Program Information'!$C$3:$C$202,'Team and Program Information'!$D$3:$D$202,"",0,))</f>
        <v/>
      </c>
      <c r="I26" s="74" t="str">
        <f t="array" ref="I26">XLOOKUP('Area Deliberations'!$G26,'Results and Rankings'!$A$3:$A$202,'Results and Rankings'!$L$3:$L$202,NumberOfTeams+1,0,)</f>
        <v>#VALUE!</v>
      </c>
      <c r="J26" s="74"/>
      <c r="K26" s="102"/>
      <c r="L26" s="74"/>
      <c r="M26" s="74" t="str">
        <f t="array" ref="M26">IF(ISBLANK('Area Deliberations'!$L26),"",XLOOKUP('Area Deliberations'!$L26,'Team and Program Information'!$C$3:$C$202,'Team and Program Information'!$D$3:$D$202,"",0,))</f>
        <v/>
      </c>
      <c r="N26" s="74" t="str">
        <f t="array" ref="N26">XLOOKUP('Area Deliberations'!$L26,'Results and Rankings'!$A$3:$A$202,'Results and Rankings'!$K$3:$K$202,NumberOfTeams+1,0,)</f>
        <v>#VALUE!</v>
      </c>
      <c r="O26" s="74"/>
    </row>
    <row r="27" ht="19.5" customHeight="1">
      <c r="B27" s="74"/>
      <c r="C27" s="74" t="str">
        <f t="array" ref="C27">IF(ISBLANK('Area Deliberations'!$B27),"",XLOOKUP('Area Deliberations'!$B27,'Team and Program Information'!$C$3:$C$202,'Team and Program Information'!$D$3:$D$202,"",0,))</f>
        <v/>
      </c>
      <c r="D27" s="74">
        <f t="array" ref="D27">IF(ISNA(INDEX('Core Values Input'!$V$2:$V$201,MATCH('Area Deliberations'!$B27,'Core Values Input'!$A$2:$A$201,0))),NumberOfTeams+1,INDEX('Core Values Input'!$V$2:$V$201,MATCH('Area Deliberations'!$B27,'Core Values Input'!$A$2:$A$201,0)))</f>
        <v>1</v>
      </c>
      <c r="E27" s="74"/>
      <c r="F27" s="102"/>
      <c r="G27" s="74"/>
      <c r="H27" s="74" t="str">
        <f t="array" ref="H27">IF(ISBLANK('Area Deliberations'!$G27),"",XLOOKUP('Area Deliberations'!$G27,'Team and Program Information'!$C$3:$C$202,'Team and Program Information'!$D$3:$D$202,"",0,))</f>
        <v/>
      </c>
      <c r="I27" s="74" t="str">
        <f t="array" ref="I27">XLOOKUP('Area Deliberations'!$G27,'Results and Rankings'!$A$3:$A$202,'Results and Rankings'!$L$3:$L$202,NumberOfTeams+1,0,)</f>
        <v>#VALUE!</v>
      </c>
      <c r="J27" s="74"/>
      <c r="K27" s="102"/>
      <c r="L27" s="74"/>
      <c r="M27" s="74" t="str">
        <f t="array" ref="M27">IF(ISBLANK('Area Deliberations'!$L27),"",XLOOKUP('Area Deliberations'!$L27,'Team and Program Information'!$C$3:$C$202,'Team and Program Information'!$D$3:$D$202,"",0,))</f>
        <v/>
      </c>
      <c r="N27" s="74" t="str">
        <f t="array" ref="N27">XLOOKUP('Area Deliberations'!$L27,'Results and Rankings'!$A$3:$A$202,'Results and Rankings'!$K$3:$K$202,NumberOfTeams+1,0,)</f>
        <v>#VALUE!</v>
      </c>
      <c r="O27" s="74"/>
    </row>
    <row r="28" ht="19.5" customHeight="1">
      <c r="B28" s="74"/>
      <c r="C28" s="74" t="str">
        <f t="array" ref="C28">IF(ISBLANK('Area Deliberations'!$B28),"",XLOOKUP('Area Deliberations'!$B28,'Team and Program Information'!$C$3:$C$202,'Team and Program Information'!$D$3:$D$202,"",0,))</f>
        <v/>
      </c>
      <c r="D28" s="74">
        <f t="array" ref="D28">IF(ISNA(INDEX('Core Values Input'!$V$2:$V$201,MATCH('Area Deliberations'!$B28,'Core Values Input'!$A$2:$A$201,0))),NumberOfTeams+1,INDEX('Core Values Input'!$V$2:$V$201,MATCH('Area Deliberations'!$B28,'Core Values Input'!$A$2:$A$201,0)))</f>
        <v>1</v>
      </c>
      <c r="E28" s="74"/>
      <c r="F28" s="102"/>
      <c r="G28" s="74"/>
      <c r="H28" s="74" t="str">
        <f t="array" ref="H28">IF(ISBLANK('Area Deliberations'!$G28),"",XLOOKUP('Area Deliberations'!$G28,'Team and Program Information'!$C$3:$C$202,'Team and Program Information'!$D$3:$D$202,"",0,))</f>
        <v/>
      </c>
      <c r="I28" s="74" t="str">
        <f t="array" ref="I28">XLOOKUP('Area Deliberations'!$G28,'Results and Rankings'!$A$3:$A$202,'Results and Rankings'!$L$3:$L$202,NumberOfTeams+1,0,)</f>
        <v>#VALUE!</v>
      </c>
      <c r="J28" s="74"/>
      <c r="K28" s="102"/>
      <c r="L28" s="74"/>
      <c r="M28" s="74" t="str">
        <f t="array" ref="M28">IF(ISBLANK('Area Deliberations'!$L28),"",XLOOKUP('Area Deliberations'!$L28,'Team and Program Information'!$C$3:$C$202,'Team and Program Information'!$D$3:$D$202,"",0,))</f>
        <v/>
      </c>
      <c r="N28" s="74" t="str">
        <f t="array" ref="N28">XLOOKUP('Area Deliberations'!$L28,'Results and Rankings'!$A$3:$A$202,'Results and Rankings'!$K$3:$K$202,NumberOfTeams+1,0,)</f>
        <v>#VALUE!</v>
      </c>
      <c r="O28" s="74"/>
    </row>
    <row r="29" ht="19.5" customHeight="1">
      <c r="B29" s="74"/>
      <c r="C29" s="74" t="str">
        <f t="array" ref="C29">IF(ISBLANK('Area Deliberations'!$B29),"",XLOOKUP('Area Deliberations'!$B29,'Team and Program Information'!$C$3:$C$202,'Team and Program Information'!$D$3:$D$202,"",0,))</f>
        <v/>
      </c>
      <c r="D29" s="74">
        <f t="array" ref="D29">IF(ISNA(INDEX('Core Values Input'!$V$2:$V$201,MATCH('Area Deliberations'!$B29,'Core Values Input'!$A$2:$A$201,0))),NumberOfTeams+1,INDEX('Core Values Input'!$V$2:$V$201,MATCH('Area Deliberations'!$B29,'Core Values Input'!$A$2:$A$201,0)))</f>
        <v>1</v>
      </c>
      <c r="E29" s="74"/>
      <c r="F29" s="102"/>
      <c r="G29" s="74"/>
      <c r="H29" s="74" t="str">
        <f t="array" ref="H29">IF(ISBLANK('Area Deliberations'!$G29),"",XLOOKUP('Area Deliberations'!$G29,'Team and Program Information'!$C$3:$C$202,'Team and Program Information'!$D$3:$D$202,"",0,))</f>
        <v/>
      </c>
      <c r="I29" s="74" t="str">
        <f t="array" ref="I29">XLOOKUP('Area Deliberations'!$G29,'Results and Rankings'!$A$3:$A$202,'Results and Rankings'!$L$3:$L$202,NumberOfTeams+1,0,)</f>
        <v>#VALUE!</v>
      </c>
      <c r="J29" s="74"/>
      <c r="K29" s="102"/>
      <c r="L29" s="74"/>
      <c r="M29" s="74" t="str">
        <f t="array" ref="M29">IF(ISBLANK('Area Deliberations'!$L29),"",XLOOKUP('Area Deliberations'!$L29,'Team and Program Information'!$C$3:$C$202,'Team and Program Information'!$D$3:$D$202,"",0,))</f>
        <v/>
      </c>
      <c r="N29" s="74" t="str">
        <f t="array" ref="N29">XLOOKUP('Area Deliberations'!$L29,'Results and Rankings'!$A$3:$A$202,'Results and Rankings'!$K$3:$K$202,NumberOfTeams+1,0,)</f>
        <v>#VALUE!</v>
      </c>
      <c r="O29" s="74"/>
    </row>
    <row r="30" ht="19.5" customHeight="1">
      <c r="B30" s="74"/>
      <c r="C30" s="74" t="str">
        <f t="array" ref="C30">IF(ISBLANK('Area Deliberations'!$B30),"",XLOOKUP('Area Deliberations'!$B30,'Team and Program Information'!$C$3:$C$202,'Team and Program Information'!$D$3:$D$202,"",0,))</f>
        <v/>
      </c>
      <c r="D30" s="74">
        <f t="array" ref="D30">IF(ISNA(INDEX('Core Values Input'!$V$2:$V$201,MATCH('Area Deliberations'!$B30,'Core Values Input'!$A$2:$A$201,0))),NumberOfTeams+1,INDEX('Core Values Input'!$V$2:$V$201,MATCH('Area Deliberations'!$B30,'Core Values Input'!$A$2:$A$201,0)))</f>
        <v>1</v>
      </c>
      <c r="E30" s="74"/>
      <c r="F30" s="102"/>
      <c r="G30" s="74"/>
      <c r="H30" s="74" t="str">
        <f t="array" ref="H30">IF(ISBLANK('Area Deliberations'!$G30),"",XLOOKUP('Area Deliberations'!$G30,'Team and Program Information'!$C$3:$C$202,'Team and Program Information'!$D$3:$D$202,"",0,))</f>
        <v/>
      </c>
      <c r="I30" s="74" t="str">
        <f t="array" ref="I30">XLOOKUP('Area Deliberations'!$G30,'Results and Rankings'!$A$3:$A$202,'Results and Rankings'!$L$3:$L$202,NumberOfTeams+1,0,)</f>
        <v>#VALUE!</v>
      </c>
      <c r="J30" s="74"/>
      <c r="K30" s="102"/>
      <c r="L30" s="74"/>
      <c r="M30" s="74" t="str">
        <f t="array" ref="M30">IF(ISBLANK('Area Deliberations'!$L30),"",XLOOKUP('Area Deliberations'!$L30,'Team and Program Information'!$C$3:$C$202,'Team and Program Information'!$D$3:$D$202,"",0,))</f>
        <v/>
      </c>
      <c r="N30" s="74" t="str">
        <f t="array" ref="N30">XLOOKUP('Area Deliberations'!$L30,'Results and Rankings'!$A$3:$A$202,'Results and Rankings'!$K$3:$K$202,NumberOfTeams+1,0,)</f>
        <v>#VALUE!</v>
      </c>
      <c r="O30" s="74"/>
    </row>
    <row r="31" ht="19.5" customHeight="1">
      <c r="B31" s="74"/>
      <c r="C31" s="74" t="str">
        <f t="array" ref="C31">IF(ISBLANK('Area Deliberations'!$B31),"",XLOOKUP('Area Deliberations'!$B31,'Team and Program Information'!$C$3:$C$202,'Team and Program Information'!$D$3:$D$202,"",0,))</f>
        <v/>
      </c>
      <c r="D31" s="74">
        <f t="array" ref="D31">IF(ISNA(INDEX('Core Values Input'!$V$2:$V$201,MATCH('Area Deliberations'!$B31,'Core Values Input'!$A$2:$A$201,0))),NumberOfTeams+1,INDEX('Core Values Input'!$V$2:$V$201,MATCH('Area Deliberations'!$B31,'Core Values Input'!$A$2:$A$201,0)))</f>
        <v>1</v>
      </c>
      <c r="E31" s="74"/>
      <c r="F31" s="102"/>
      <c r="G31" s="74"/>
      <c r="H31" s="74" t="str">
        <f t="array" ref="H31">IF(ISBLANK('Area Deliberations'!$G31),"",XLOOKUP('Area Deliberations'!$G31,'Team and Program Information'!$C$3:$C$202,'Team and Program Information'!$D$3:$D$202,"",0,))</f>
        <v/>
      </c>
      <c r="I31" s="74" t="str">
        <f t="array" ref="I31">XLOOKUP('Area Deliberations'!$G31,'Results and Rankings'!$A$3:$A$202,'Results and Rankings'!$L$3:$L$202,NumberOfTeams+1,0,)</f>
        <v>#VALUE!</v>
      </c>
      <c r="J31" s="74"/>
      <c r="K31" s="102"/>
      <c r="L31" s="74"/>
      <c r="M31" s="74" t="str">
        <f t="array" ref="M31">IF(ISBLANK('Area Deliberations'!$L31),"",XLOOKUP('Area Deliberations'!$L31,'Team and Program Information'!$C$3:$C$202,'Team and Program Information'!$D$3:$D$202,"",0,))</f>
        <v/>
      </c>
      <c r="N31" s="74" t="str">
        <f t="array" ref="N31">XLOOKUP('Area Deliberations'!$L31,'Results and Rankings'!$A$3:$A$202,'Results and Rankings'!$K$3:$K$202,NumberOfTeams+1,0,)</f>
        <v>#VALUE!</v>
      </c>
      <c r="O31" s="74"/>
    </row>
    <row r="32" ht="19.5" customHeight="1">
      <c r="B32" s="74"/>
      <c r="C32" s="74" t="str">
        <f t="array" ref="C32">IF(ISBLANK('Area Deliberations'!$B32),"",XLOOKUP('Area Deliberations'!$B32,'Team and Program Information'!$C$3:$C$202,'Team and Program Information'!$D$3:$D$202,"",0,))</f>
        <v/>
      </c>
      <c r="D32" s="74">
        <f t="array" ref="D32">IF(ISNA(INDEX('Core Values Input'!$V$2:$V$201,MATCH('Area Deliberations'!$B32,'Core Values Input'!$A$2:$A$201,0))),NumberOfTeams+1,INDEX('Core Values Input'!$V$2:$V$201,MATCH('Area Deliberations'!$B32,'Core Values Input'!$A$2:$A$201,0)))</f>
        <v>1</v>
      </c>
      <c r="E32" s="74"/>
      <c r="F32" s="102"/>
      <c r="G32" s="74"/>
      <c r="H32" s="74" t="str">
        <f t="array" ref="H32">IF(ISBLANK('Area Deliberations'!$G32),"",XLOOKUP('Area Deliberations'!$G32,'Team and Program Information'!$C$3:$C$202,'Team and Program Information'!$D$3:$D$202,"",0,))</f>
        <v/>
      </c>
      <c r="I32" s="74" t="str">
        <f t="array" ref="I32">XLOOKUP('Area Deliberations'!$G32,'Results and Rankings'!$A$3:$A$202,'Results and Rankings'!$L$3:$L$202,NumberOfTeams+1,0,)</f>
        <v>#VALUE!</v>
      </c>
      <c r="J32" s="74"/>
      <c r="K32" s="102"/>
      <c r="L32" s="74"/>
      <c r="M32" s="74" t="str">
        <f t="array" ref="M32">IF(ISBLANK('Area Deliberations'!$L32),"",XLOOKUP('Area Deliberations'!$L32,'Team and Program Information'!$C$3:$C$202,'Team and Program Information'!$D$3:$D$202,"",0,))</f>
        <v/>
      </c>
      <c r="N32" s="74" t="str">
        <f t="array" ref="N32">XLOOKUP('Area Deliberations'!$L32,'Results and Rankings'!$A$3:$A$202,'Results and Rankings'!$K$3:$K$202,NumberOfTeams+1,0,)</f>
        <v>#VALUE!</v>
      </c>
      <c r="O32" s="74"/>
    </row>
    <row r="33" ht="19.5" customHeight="1">
      <c r="B33" s="74"/>
      <c r="C33" s="74" t="str">
        <f t="array" ref="C33">IF(ISBLANK('Area Deliberations'!$B33),"",XLOOKUP('Area Deliberations'!$B33,'Team and Program Information'!$C$3:$C$202,'Team and Program Information'!$D$3:$D$202,"",0,))</f>
        <v/>
      </c>
      <c r="D33" s="74">
        <f t="array" ref="D33">IF(ISNA(INDEX('Core Values Input'!$V$2:$V$201,MATCH('Area Deliberations'!$B33,'Core Values Input'!$A$2:$A$201,0))),NumberOfTeams+1,INDEX('Core Values Input'!$V$2:$V$201,MATCH('Area Deliberations'!$B33,'Core Values Input'!$A$2:$A$201,0)))</f>
        <v>1</v>
      </c>
      <c r="E33" s="74"/>
      <c r="F33" s="102"/>
      <c r="G33" s="74"/>
      <c r="H33" s="74" t="str">
        <f t="array" ref="H33">IF(ISBLANK('Area Deliberations'!$G33),"",XLOOKUP('Area Deliberations'!$G33,'Team and Program Information'!$C$3:$C$202,'Team and Program Information'!$D$3:$D$202,"",0,))</f>
        <v/>
      </c>
      <c r="I33" s="74" t="str">
        <f t="array" ref="I33">XLOOKUP('Area Deliberations'!$G33,'Results and Rankings'!$A$3:$A$202,'Results and Rankings'!$L$3:$L$202,NumberOfTeams+1,0,)</f>
        <v>#VALUE!</v>
      </c>
      <c r="J33" s="74"/>
      <c r="K33" s="102"/>
      <c r="L33" s="74"/>
      <c r="M33" s="74" t="str">
        <f t="array" ref="M33">IF(ISBLANK('Area Deliberations'!$L33),"",XLOOKUP('Area Deliberations'!$L33,'Team and Program Information'!$C$3:$C$202,'Team and Program Information'!$D$3:$D$202,"",0,))</f>
        <v/>
      </c>
      <c r="N33" s="74" t="str">
        <f t="array" ref="N33">XLOOKUP('Area Deliberations'!$L33,'Results and Rankings'!$A$3:$A$202,'Results and Rankings'!$K$3:$K$202,NumberOfTeams+1,0,)</f>
        <v>#VALUE!</v>
      </c>
      <c r="O33" s="74"/>
    </row>
    <row r="34" ht="19.5" customHeight="1">
      <c r="B34" s="74"/>
      <c r="C34" s="74" t="str">
        <f t="array" ref="C34">IF(ISBLANK('Area Deliberations'!$B34),"",XLOOKUP('Area Deliberations'!$B34,'Team and Program Information'!$C$3:$C$202,'Team and Program Information'!$D$3:$D$202,"",0,))</f>
        <v/>
      </c>
      <c r="D34" s="74">
        <f t="array" ref="D34">IF(ISNA(INDEX('Core Values Input'!$V$2:$V$201,MATCH('Area Deliberations'!$B34,'Core Values Input'!$A$2:$A$201,0))),NumberOfTeams+1,INDEX('Core Values Input'!$V$2:$V$201,MATCH('Area Deliberations'!$B34,'Core Values Input'!$A$2:$A$201,0)))</f>
        <v>1</v>
      </c>
      <c r="E34" s="74"/>
      <c r="F34" s="102"/>
      <c r="G34" s="74"/>
      <c r="H34" s="74" t="str">
        <f t="array" ref="H34">IF(ISBLANK('Area Deliberations'!$G34),"",XLOOKUP('Area Deliberations'!$G34,'Team and Program Information'!$C$3:$C$202,'Team and Program Information'!$D$3:$D$202,"",0,))</f>
        <v/>
      </c>
      <c r="I34" s="74" t="str">
        <f t="array" ref="I34">XLOOKUP('Area Deliberations'!$G34,'Results and Rankings'!$A$3:$A$202,'Results and Rankings'!$L$3:$L$202,NumberOfTeams+1,0,)</f>
        <v>#VALUE!</v>
      </c>
      <c r="J34" s="74"/>
      <c r="K34" s="102"/>
      <c r="L34" s="74"/>
      <c r="M34" s="74" t="str">
        <f t="array" ref="M34">IF(ISBLANK('Area Deliberations'!$L34),"",XLOOKUP('Area Deliberations'!$L34,'Team and Program Information'!$C$3:$C$202,'Team and Program Information'!$D$3:$D$202,"",0,))</f>
        <v/>
      </c>
      <c r="N34" s="74" t="str">
        <f t="array" ref="N34">XLOOKUP('Area Deliberations'!$L34,'Results and Rankings'!$A$3:$A$202,'Results and Rankings'!$K$3:$K$202,NumberOfTeams+1,0,)</f>
        <v>#VALUE!</v>
      </c>
      <c r="O34" s="74"/>
    </row>
    <row r="35" ht="19.5" customHeight="1">
      <c r="B35" s="74"/>
      <c r="C35" s="74" t="str">
        <f t="array" ref="C35">IF(ISBLANK('Area Deliberations'!$B35),"",XLOOKUP('Area Deliberations'!$B35,'Team and Program Information'!$C$3:$C$202,'Team and Program Information'!$D$3:$D$202,"",0,))</f>
        <v/>
      </c>
      <c r="D35" s="74">
        <f t="array" ref="D35">IF(ISNA(INDEX('Core Values Input'!$V$2:$V$201,MATCH('Area Deliberations'!$B35,'Core Values Input'!$A$2:$A$201,0))),NumberOfTeams+1,INDEX('Core Values Input'!$V$2:$V$201,MATCH('Area Deliberations'!$B35,'Core Values Input'!$A$2:$A$201,0)))</f>
        <v>1</v>
      </c>
      <c r="E35" s="74"/>
      <c r="F35" s="102"/>
      <c r="G35" s="74"/>
      <c r="H35" s="74" t="str">
        <f t="array" ref="H35">IF(ISBLANK('Area Deliberations'!$G35),"",XLOOKUP('Area Deliberations'!$G35,'Team and Program Information'!$C$3:$C$202,'Team and Program Information'!$D$3:$D$202,"",0,))</f>
        <v/>
      </c>
      <c r="I35" s="74" t="str">
        <f t="array" ref="I35">XLOOKUP('Area Deliberations'!$G35,'Results and Rankings'!$A$3:$A$202,'Results and Rankings'!$L$3:$L$202,NumberOfTeams+1,0,)</f>
        <v>#VALUE!</v>
      </c>
      <c r="J35" s="74"/>
      <c r="K35" s="102"/>
      <c r="L35" s="74"/>
      <c r="M35" s="74" t="str">
        <f t="array" ref="M35">IF(ISBLANK('Area Deliberations'!$L35),"",XLOOKUP('Area Deliberations'!$L35,'Team and Program Information'!$C$3:$C$202,'Team and Program Information'!$D$3:$D$202,"",0,))</f>
        <v/>
      </c>
      <c r="N35" s="74" t="str">
        <f t="array" ref="N35">XLOOKUP('Area Deliberations'!$L35,'Results and Rankings'!$A$3:$A$202,'Results and Rankings'!$K$3:$K$202,NumberOfTeams+1,0,)</f>
        <v>#VALUE!</v>
      </c>
      <c r="O35" s="74"/>
    </row>
    <row r="36" ht="19.5" customHeight="1">
      <c r="B36" s="74"/>
      <c r="C36" s="74" t="str">
        <f t="array" ref="C36">IF(ISBLANK('Area Deliberations'!$B36),"",XLOOKUP('Area Deliberations'!$B36,'Team and Program Information'!$C$3:$C$202,'Team and Program Information'!$D$3:$D$202,"",0,))</f>
        <v/>
      </c>
      <c r="D36" s="74">
        <f t="array" ref="D36">IF(ISNA(INDEX('Core Values Input'!$V$2:$V$201,MATCH('Area Deliberations'!$B36,'Core Values Input'!$A$2:$A$201,0))),NumberOfTeams+1,INDEX('Core Values Input'!$V$2:$V$201,MATCH('Area Deliberations'!$B36,'Core Values Input'!$A$2:$A$201,0)))</f>
        <v>1</v>
      </c>
      <c r="E36" s="74"/>
      <c r="F36" s="102"/>
      <c r="G36" s="74"/>
      <c r="H36" s="74" t="str">
        <f t="array" ref="H36">IF(ISBLANK('Area Deliberations'!$G36),"",XLOOKUP('Area Deliberations'!$G36,'Team and Program Information'!$C$3:$C$202,'Team and Program Information'!$D$3:$D$202,"",0,))</f>
        <v/>
      </c>
      <c r="I36" s="74" t="str">
        <f t="array" ref="I36">XLOOKUP('Area Deliberations'!$G36,'Results and Rankings'!$A$3:$A$202,'Results and Rankings'!$L$3:$L$202,NumberOfTeams+1,0,)</f>
        <v>#VALUE!</v>
      </c>
      <c r="J36" s="74"/>
      <c r="K36" s="102"/>
      <c r="L36" s="74"/>
      <c r="M36" s="74" t="str">
        <f t="array" ref="M36">IF(ISBLANK('Area Deliberations'!$L36),"",XLOOKUP('Area Deliberations'!$L36,'Team and Program Information'!$C$3:$C$202,'Team and Program Information'!$D$3:$D$202,"",0,))</f>
        <v/>
      </c>
      <c r="N36" s="74" t="str">
        <f t="array" ref="N36">XLOOKUP('Area Deliberations'!$L36,'Results and Rankings'!$A$3:$A$202,'Results and Rankings'!$K$3:$K$202,NumberOfTeams+1,0,)</f>
        <v>#VALUE!</v>
      </c>
      <c r="O36" s="74"/>
    </row>
    <row r="37" ht="19.5" customHeight="1">
      <c r="B37" s="102"/>
      <c r="C37" s="102"/>
      <c r="D37" s="102"/>
      <c r="E37" s="102"/>
      <c r="F37" s="102"/>
      <c r="G37" s="102"/>
      <c r="H37" s="102"/>
      <c r="I37" s="102"/>
      <c r="J37" s="102"/>
      <c r="K37" s="102"/>
      <c r="L37" s="102"/>
      <c r="M37" s="102"/>
      <c r="N37" s="102"/>
      <c r="O37" s="102"/>
    </row>
    <row r="38" ht="19.5" customHeight="1">
      <c r="B38" s="102" t="s">
        <v>36</v>
      </c>
      <c r="C38" s="102"/>
      <c r="D38" s="102"/>
      <c r="E38" s="102"/>
      <c r="F38" s="102"/>
      <c r="G38" s="102" t="s">
        <v>37</v>
      </c>
      <c r="H38" s="102"/>
      <c r="I38" s="102"/>
      <c r="J38" s="102"/>
      <c r="K38" s="102"/>
      <c r="L38" s="102" t="s">
        <v>38</v>
      </c>
      <c r="M38" s="102"/>
      <c r="N38" s="102"/>
      <c r="O38" s="102"/>
    </row>
    <row r="39" ht="19.5" customHeight="1">
      <c r="B39" s="113" t="s">
        <v>24</v>
      </c>
      <c r="C39" s="113" t="s">
        <v>25</v>
      </c>
      <c r="D39" s="114" t="s">
        <v>57</v>
      </c>
      <c r="E39" s="114" t="s">
        <v>115</v>
      </c>
      <c r="F39" s="102"/>
      <c r="G39" s="113" t="s">
        <v>24</v>
      </c>
      <c r="H39" s="113" t="s">
        <v>25</v>
      </c>
      <c r="I39" s="114" t="s">
        <v>57</v>
      </c>
      <c r="J39" s="114" t="s">
        <v>115</v>
      </c>
      <c r="K39" s="102"/>
      <c r="L39" s="113" t="s">
        <v>24</v>
      </c>
      <c r="M39" s="113" t="s">
        <v>25</v>
      </c>
      <c r="N39" s="114" t="s">
        <v>57</v>
      </c>
      <c r="O39" s="114" t="s">
        <v>115</v>
      </c>
    </row>
    <row r="40" ht="19.5" customHeight="1">
      <c r="B40" s="74"/>
      <c r="C40" s="74" t="str">
        <f t="array" ref="C40">IF(ISBLANK('Area Deliberations'!$B40),"",XLOOKUP('Area Deliberations'!$B40,'Team and Program Information'!$C$3:$C$202,'Team and Program Information'!$D$3:$D$202,"",0,))</f>
        <v/>
      </c>
      <c r="D40" s="74" t="str">
        <f t="array" ref="D40">XLOOKUP('Area Deliberations'!$B40,'Results and Rankings'!$A$3:$A$202,'Results and Rankings'!$N$3:$N$202,NumberOfTeams+1,0,)</f>
        <v>#VALUE!</v>
      </c>
      <c r="E40" s="74"/>
      <c r="F40" s="102"/>
      <c r="G40" s="74"/>
      <c r="H40" s="74" t="str">
        <f t="array" ref="H40">IF(ISBLANK('Area Deliberations'!$G40),"",XLOOKUP('Area Deliberations'!$G40,'Team and Program Information'!$C$3:$C$202,'Team and Program Information'!$D$3:$D$202,"",0,))</f>
        <v/>
      </c>
      <c r="I40" s="74" t="str">
        <f t="array" ref="I40">XLOOKUP('Area Deliberations'!$G40,'Results and Rankings'!$A$3:$A$202,'Results and Rankings'!$N$3:$N$202,NumberOfTeams+1,0,)</f>
        <v>#VALUE!</v>
      </c>
      <c r="J40" s="74"/>
      <c r="K40" s="102"/>
      <c r="L40" s="74"/>
      <c r="M40" s="74" t="str">
        <f t="array" ref="M40">IF(ISBLANK('Area Deliberations'!$L40),"",XLOOKUP('Area Deliberations'!$L40,'Team and Program Information'!$C$3:$C$202,'Team and Program Information'!$D$3:$D$202,"",0,))</f>
        <v/>
      </c>
      <c r="N40" s="74" t="str">
        <f t="array" ref="N40">XLOOKUP('Area Deliberations'!$L40,'Results and Rankings'!$A$3:$A$202,'Results and Rankings'!$N$3:$N$202,NumberOfTeams+1,0,)</f>
        <v>#VALUE!</v>
      </c>
      <c r="O40" s="74"/>
    </row>
    <row r="41" ht="19.5" customHeight="1">
      <c r="B41" s="74"/>
      <c r="C41" s="74" t="str">
        <f t="array" ref="C41">IF(ISBLANK('Area Deliberations'!$B41),"",XLOOKUP('Area Deliberations'!$B41,'Team and Program Information'!$C$3:$C$202,'Team and Program Information'!$D$3:$D$202,"",0,))</f>
        <v/>
      </c>
      <c r="D41" s="74" t="str">
        <f t="array" ref="D41">XLOOKUP('Area Deliberations'!$B41,'Results and Rankings'!$A$3:$A$202,'Results and Rankings'!$N$3:$N$202,NumberOfTeams+1,0,)</f>
        <v>#VALUE!</v>
      </c>
      <c r="E41" s="74"/>
      <c r="F41" s="102"/>
      <c r="G41" s="74"/>
      <c r="H41" s="74" t="str">
        <f t="array" ref="H41">IF(ISBLANK('Area Deliberations'!$G41),"",XLOOKUP('Area Deliberations'!$G41,'Team and Program Information'!$C$3:$C$202,'Team and Program Information'!$D$3:$D$202,"",0,))</f>
        <v/>
      </c>
      <c r="I41" s="74" t="str">
        <f t="array" ref="I41">XLOOKUP('Area Deliberations'!$G41,'Results and Rankings'!$A$3:$A$202,'Results and Rankings'!$N$3:$N$202,NumberOfTeams+1,0,)</f>
        <v>#VALUE!</v>
      </c>
      <c r="J41" s="74"/>
      <c r="K41" s="102"/>
      <c r="L41" s="74"/>
      <c r="M41" s="74" t="str">
        <f t="array" ref="M41">IF(ISBLANK('Area Deliberations'!$L41),"",XLOOKUP('Area Deliberations'!$L41,'Team and Program Information'!$C$3:$C$202,'Team and Program Information'!$D$3:$D$202,"",0,))</f>
        <v/>
      </c>
      <c r="N41" s="74" t="str">
        <f t="array" ref="N41">XLOOKUP('Area Deliberations'!$L41,'Results and Rankings'!$A$3:$A$202,'Results and Rankings'!$N$3:$N$202,NumberOfTeams+1,0,)</f>
        <v>#VALUE!</v>
      </c>
      <c r="O41" s="74"/>
    </row>
    <row r="42" ht="19.5" customHeight="1">
      <c r="B42" s="74"/>
      <c r="C42" s="74" t="str">
        <f t="array" ref="C42">IF(ISBLANK('Area Deliberations'!$B42),"",XLOOKUP('Area Deliberations'!$B42,'Team and Program Information'!$C$3:$C$202,'Team and Program Information'!$D$3:$D$202,"",0,))</f>
        <v/>
      </c>
      <c r="D42" s="74" t="str">
        <f t="array" ref="D42">XLOOKUP('Area Deliberations'!$B42,'Results and Rankings'!$A$3:$A$202,'Results and Rankings'!$N$3:$N$202,NumberOfTeams+1,0,)</f>
        <v>#VALUE!</v>
      </c>
      <c r="E42" s="74"/>
      <c r="F42" s="102"/>
      <c r="G42" s="74"/>
      <c r="H42" s="74" t="str">
        <f t="array" ref="H42">IF(ISBLANK('Area Deliberations'!$G42),"",XLOOKUP('Area Deliberations'!$G42,'Team and Program Information'!$C$3:$C$202,'Team and Program Information'!$D$3:$D$202,"",0,))</f>
        <v/>
      </c>
      <c r="I42" s="74" t="str">
        <f t="array" ref="I42">XLOOKUP('Area Deliberations'!$G42,'Results and Rankings'!$A$3:$A$202,'Results and Rankings'!$N$3:$N$202,NumberOfTeams+1,0,)</f>
        <v>#VALUE!</v>
      </c>
      <c r="J42" s="74"/>
      <c r="K42" s="102"/>
      <c r="L42" s="74"/>
      <c r="M42" s="74" t="str">
        <f t="array" ref="M42">IF(ISBLANK('Area Deliberations'!$L42),"",XLOOKUP('Area Deliberations'!$L42,'Team and Program Information'!$C$3:$C$202,'Team and Program Information'!$D$3:$D$202,"",0,))</f>
        <v/>
      </c>
      <c r="N42" s="74" t="str">
        <f t="array" ref="N42">XLOOKUP('Area Deliberations'!$L42,'Results and Rankings'!$A$3:$A$202,'Results and Rankings'!$N$3:$N$202,NumberOfTeams+1,0,)</f>
        <v>#VALUE!</v>
      </c>
      <c r="O42" s="74"/>
    </row>
    <row r="43" ht="19.5" customHeight="1">
      <c r="B43" s="74"/>
      <c r="C43" s="74" t="str">
        <f t="array" ref="C43">IF(ISBLANK('Area Deliberations'!$B43),"",XLOOKUP('Area Deliberations'!$B43,'Team and Program Information'!$C$3:$C$202,'Team and Program Information'!$D$3:$D$202,"",0,))</f>
        <v/>
      </c>
      <c r="D43" s="74" t="str">
        <f t="array" ref="D43">XLOOKUP('Area Deliberations'!$B43,'Results and Rankings'!$A$3:$A$202,'Results and Rankings'!$N$3:$N$202,NumberOfTeams+1,0,)</f>
        <v>#VALUE!</v>
      </c>
      <c r="E43" s="74"/>
      <c r="F43" s="102"/>
      <c r="G43" s="74"/>
      <c r="H43" s="74" t="str">
        <f t="array" ref="H43">IF(ISBLANK('Area Deliberations'!$G43),"",XLOOKUP('Area Deliberations'!$G43,'Team and Program Information'!$C$3:$C$202,'Team and Program Information'!$D$3:$D$202,"",0,))</f>
        <v/>
      </c>
      <c r="I43" s="74" t="str">
        <f t="array" ref="I43">XLOOKUP('Area Deliberations'!$G43,'Results and Rankings'!$A$3:$A$202,'Results and Rankings'!$N$3:$N$202,NumberOfTeams+1,0,)</f>
        <v>#VALUE!</v>
      </c>
      <c r="J43" s="74"/>
      <c r="K43" s="102"/>
      <c r="L43" s="74"/>
      <c r="M43" s="74" t="str">
        <f t="array" ref="M43">IF(ISBLANK('Area Deliberations'!$L43),"",XLOOKUP('Area Deliberations'!$L43,'Team and Program Information'!$C$3:$C$202,'Team and Program Information'!$D$3:$D$202,"",0,))</f>
        <v/>
      </c>
      <c r="N43" s="74" t="str">
        <f t="array" ref="N43">XLOOKUP('Area Deliberations'!$L43,'Results and Rankings'!$A$3:$A$202,'Results and Rankings'!$N$3:$N$202,NumberOfTeams+1,0,)</f>
        <v>#VALUE!</v>
      </c>
      <c r="O43" s="74"/>
    </row>
    <row r="44" ht="19.5" customHeight="1">
      <c r="B44" s="74"/>
      <c r="C44" s="74" t="str">
        <f t="array" ref="C44">IF(ISBLANK('Area Deliberations'!$B44),"",XLOOKUP('Area Deliberations'!$B44,'Team and Program Information'!$C$3:$C$202,'Team and Program Information'!$D$3:$D$202,"",0,))</f>
        <v/>
      </c>
      <c r="D44" s="74" t="str">
        <f t="array" ref="D44">XLOOKUP('Area Deliberations'!$B44,'Results and Rankings'!$A$3:$A$202,'Results and Rankings'!$N$3:$N$202,NumberOfTeams+1,0,)</f>
        <v>#VALUE!</v>
      </c>
      <c r="E44" s="74"/>
      <c r="F44" s="102"/>
      <c r="G44" s="74"/>
      <c r="H44" s="74" t="str">
        <f t="array" ref="H44">IF(ISBLANK('Area Deliberations'!$G44),"",XLOOKUP('Area Deliberations'!$G44,'Team and Program Information'!$C$3:$C$202,'Team and Program Information'!$D$3:$D$202,"",0,))</f>
        <v/>
      </c>
      <c r="I44" s="74" t="str">
        <f t="array" ref="I44">XLOOKUP('Area Deliberations'!$G44,'Results and Rankings'!$A$3:$A$202,'Results and Rankings'!$N$3:$N$202,NumberOfTeams+1,0,)</f>
        <v>#VALUE!</v>
      </c>
      <c r="J44" s="74"/>
      <c r="K44" s="102"/>
      <c r="L44" s="74"/>
      <c r="M44" s="74" t="str">
        <f t="array" ref="M44">IF(ISBLANK('Area Deliberations'!$L44),"",XLOOKUP('Area Deliberations'!$L44,'Team and Program Information'!$C$3:$C$202,'Team and Program Information'!$D$3:$D$202,"",0,))</f>
        <v/>
      </c>
      <c r="N44" s="74" t="str">
        <f t="array" ref="N44">XLOOKUP('Area Deliberations'!$L44,'Results and Rankings'!$A$3:$A$202,'Results and Rankings'!$N$3:$N$202,NumberOfTeams+1,0,)</f>
        <v>#VALUE!</v>
      </c>
      <c r="O44" s="74"/>
    </row>
    <row r="45" ht="19.5" customHeight="1">
      <c r="B45" s="74"/>
      <c r="C45" s="74" t="str">
        <f t="array" ref="C45">IF(ISBLANK('Area Deliberations'!$B45),"",XLOOKUP('Area Deliberations'!$B45,'Team and Program Information'!$C$3:$C$202,'Team and Program Information'!$D$3:$D$202,"",0,))</f>
        <v/>
      </c>
      <c r="D45" s="74" t="str">
        <f t="array" ref="D45">XLOOKUP('Area Deliberations'!$B45,'Results and Rankings'!$A$3:$A$202,'Results and Rankings'!$N$3:$N$202,NumberOfTeams+1,0,)</f>
        <v>#VALUE!</v>
      </c>
      <c r="E45" s="74"/>
      <c r="F45" s="102"/>
      <c r="G45" s="74"/>
      <c r="H45" s="74" t="str">
        <f t="array" ref="H45">IF(ISBLANK('Area Deliberations'!$G45),"",XLOOKUP('Area Deliberations'!$G45,'Team and Program Information'!$C$3:$C$202,'Team and Program Information'!$D$3:$D$202,"",0,))</f>
        <v/>
      </c>
      <c r="I45" s="74" t="str">
        <f t="array" ref="I45">XLOOKUP('Area Deliberations'!$G45,'Results and Rankings'!$A$3:$A$202,'Results and Rankings'!$N$3:$N$202,NumberOfTeams+1,0,)</f>
        <v>#VALUE!</v>
      </c>
      <c r="J45" s="74"/>
      <c r="K45" s="102"/>
      <c r="L45" s="74"/>
      <c r="M45" s="74" t="str">
        <f t="array" ref="M45">IF(ISBLANK('Area Deliberations'!$L45),"",XLOOKUP('Area Deliberations'!$L45,'Team and Program Information'!$C$3:$C$202,'Team and Program Information'!$D$3:$D$202,"",0,))</f>
        <v/>
      </c>
      <c r="N45" s="74" t="str">
        <f t="array" ref="N45">XLOOKUP('Area Deliberations'!$L45,'Results and Rankings'!$A$3:$A$202,'Results and Rankings'!$N$3:$N$202,NumberOfTeams+1,0,)</f>
        <v>#VALUE!</v>
      </c>
      <c r="O45" s="74"/>
    </row>
    <row r="46" ht="19.5" customHeight="1">
      <c r="B46" s="74"/>
      <c r="C46" s="74" t="str">
        <f t="array" ref="C46">IF(ISBLANK('Area Deliberations'!$B46),"",XLOOKUP('Area Deliberations'!$B46,'Team and Program Information'!$C$3:$C$202,'Team and Program Information'!$D$3:$D$202,"",0,))</f>
        <v/>
      </c>
      <c r="D46" s="74" t="str">
        <f t="array" ref="D46">XLOOKUP('Area Deliberations'!$B46,'Results and Rankings'!$A$3:$A$202,'Results and Rankings'!$N$3:$N$202,NumberOfTeams+1,0,)</f>
        <v>#VALUE!</v>
      </c>
      <c r="E46" s="74"/>
      <c r="F46" s="102"/>
      <c r="G46" s="74"/>
      <c r="H46" s="74" t="str">
        <f t="array" ref="H46">IF(ISBLANK('Area Deliberations'!$G46),"",XLOOKUP('Area Deliberations'!$G46,'Team and Program Information'!$C$3:$C$202,'Team and Program Information'!$D$3:$D$202,"",0,))</f>
        <v/>
      </c>
      <c r="I46" s="74" t="str">
        <f t="array" ref="I46">XLOOKUP('Area Deliberations'!$G46,'Results and Rankings'!$A$3:$A$202,'Results and Rankings'!$N$3:$N$202,NumberOfTeams+1,0,)</f>
        <v>#VALUE!</v>
      </c>
      <c r="J46" s="74"/>
      <c r="K46" s="102"/>
      <c r="L46" s="74"/>
      <c r="M46" s="74" t="str">
        <f t="array" ref="M46">IF(ISBLANK('Area Deliberations'!$L46),"",XLOOKUP('Area Deliberations'!$L46,'Team and Program Information'!$C$3:$C$202,'Team and Program Information'!$D$3:$D$202,"",0,))</f>
        <v/>
      </c>
      <c r="N46" s="74" t="str">
        <f t="array" ref="N46">XLOOKUP('Area Deliberations'!$L46,'Results and Rankings'!$A$3:$A$202,'Results and Rankings'!$N$3:$N$202,NumberOfTeams+1,0,)</f>
        <v>#VALUE!</v>
      </c>
      <c r="O46" s="74"/>
    </row>
    <row r="47" ht="19.5" customHeight="1">
      <c r="B47" s="74"/>
      <c r="C47" s="74" t="str">
        <f t="array" ref="C47">IF(ISBLANK('Area Deliberations'!$B47),"",XLOOKUP('Area Deliberations'!$B47,'Team and Program Information'!$C$3:$C$202,'Team and Program Information'!$D$3:$D$202,"",0,))</f>
        <v/>
      </c>
      <c r="D47" s="74" t="str">
        <f t="array" ref="D47">XLOOKUP('Area Deliberations'!$B47,'Results and Rankings'!$A$3:$A$202,'Results and Rankings'!$N$3:$N$202,NumberOfTeams+1,0,)</f>
        <v>#VALUE!</v>
      </c>
      <c r="E47" s="74"/>
      <c r="F47" s="102"/>
      <c r="G47" s="74"/>
      <c r="H47" s="74" t="str">
        <f t="array" ref="H47">IF(ISBLANK('Area Deliberations'!$G47),"",XLOOKUP('Area Deliberations'!$G47,'Team and Program Information'!$C$3:$C$202,'Team and Program Information'!$D$3:$D$202,"",0,))</f>
        <v/>
      </c>
      <c r="I47" s="74" t="str">
        <f t="array" ref="I47">XLOOKUP('Area Deliberations'!$G47,'Results and Rankings'!$A$3:$A$202,'Results and Rankings'!$N$3:$N$202,NumberOfTeams+1,0,)</f>
        <v>#VALUE!</v>
      </c>
      <c r="J47" s="74"/>
      <c r="K47" s="102"/>
      <c r="L47" s="74"/>
      <c r="M47" s="74" t="str">
        <f t="array" ref="M47">IF(ISBLANK('Area Deliberations'!$L47),"",XLOOKUP('Area Deliberations'!$L47,'Team and Program Information'!$C$3:$C$202,'Team and Program Information'!$D$3:$D$202,"",0,))</f>
        <v/>
      </c>
      <c r="N47" s="74" t="str">
        <f t="array" ref="N47">XLOOKUP('Area Deliberations'!$L47,'Results and Rankings'!$A$3:$A$202,'Results and Rankings'!$N$3:$N$202,NumberOfTeams+1,0,)</f>
        <v>#VALUE!</v>
      </c>
      <c r="O47" s="74"/>
    </row>
    <row r="48" ht="19.5" customHeight="1">
      <c r="B48" s="74"/>
      <c r="C48" s="74" t="str">
        <f t="array" ref="C48">IF(ISBLANK('Area Deliberations'!$B48),"",XLOOKUP('Area Deliberations'!$B48,'Team and Program Information'!$C$3:$C$202,'Team and Program Information'!$D$3:$D$202,"",0,))</f>
        <v/>
      </c>
      <c r="D48" s="74" t="str">
        <f t="array" ref="D48">XLOOKUP('Area Deliberations'!$B48,'Results and Rankings'!$A$3:$A$202,'Results and Rankings'!$N$3:$N$202,NumberOfTeams+1,0,)</f>
        <v>#VALUE!</v>
      </c>
      <c r="E48" s="74"/>
      <c r="F48" s="102"/>
      <c r="G48" s="74"/>
      <c r="H48" s="74" t="str">
        <f t="array" ref="H48">IF(ISBLANK('Area Deliberations'!$G48),"",XLOOKUP('Area Deliberations'!$G48,'Team and Program Information'!$C$3:$C$202,'Team and Program Information'!$D$3:$D$202,"",0,))</f>
        <v/>
      </c>
      <c r="I48" s="74" t="str">
        <f t="array" ref="I48">XLOOKUP('Area Deliberations'!$G48,'Results and Rankings'!$A$3:$A$202,'Results and Rankings'!$N$3:$N$202,NumberOfTeams+1,0,)</f>
        <v>#VALUE!</v>
      </c>
      <c r="J48" s="74"/>
      <c r="K48" s="102"/>
      <c r="L48" s="74"/>
      <c r="M48" s="74" t="str">
        <f t="array" ref="M48">IF(ISBLANK('Area Deliberations'!$L48),"",XLOOKUP('Area Deliberations'!$L48,'Team and Program Information'!$C$3:$C$202,'Team and Program Information'!$D$3:$D$202,"",0,))</f>
        <v/>
      </c>
      <c r="N48" s="74" t="str">
        <f t="array" ref="N48">XLOOKUP('Area Deliberations'!$L48,'Results and Rankings'!$A$3:$A$202,'Results and Rankings'!$N$3:$N$202,NumberOfTeams+1,0,)</f>
        <v>#VALUE!</v>
      </c>
      <c r="O48" s="74"/>
    </row>
    <row r="49" ht="19.5" customHeight="1">
      <c r="B49" s="74"/>
      <c r="C49" s="74" t="str">
        <f t="array" ref="C49">IF(ISBLANK('Area Deliberations'!$B49),"",XLOOKUP('Area Deliberations'!$B49,'Team and Program Information'!$C$3:$C$202,'Team and Program Information'!$D$3:$D$202,"",0,))</f>
        <v/>
      </c>
      <c r="D49" s="74" t="str">
        <f t="array" ref="D49">XLOOKUP('Area Deliberations'!$B49,'Results and Rankings'!$A$3:$A$202,'Results and Rankings'!$N$3:$N$202,NumberOfTeams+1,0,)</f>
        <v>#VALUE!</v>
      </c>
      <c r="E49" s="74"/>
      <c r="F49" s="102"/>
      <c r="G49" s="74"/>
      <c r="H49" s="74" t="str">
        <f t="array" ref="H49">IF(ISBLANK('Area Deliberations'!$G49),"",XLOOKUP('Area Deliberations'!$G49,'Team and Program Information'!$C$3:$C$202,'Team and Program Information'!$D$3:$D$202,"",0,))</f>
        <v/>
      </c>
      <c r="I49" s="74" t="str">
        <f t="array" ref="I49">XLOOKUP('Area Deliberations'!$G49,'Results and Rankings'!$A$3:$A$202,'Results and Rankings'!$N$3:$N$202,NumberOfTeams+1,0,)</f>
        <v>#VALUE!</v>
      </c>
      <c r="J49" s="74"/>
      <c r="K49" s="102"/>
      <c r="L49" s="74"/>
      <c r="M49" s="74" t="str">
        <f t="array" ref="M49">IF(ISBLANK('Area Deliberations'!$L49),"",XLOOKUP('Area Deliberations'!$L49,'Team and Program Information'!$C$3:$C$202,'Team and Program Information'!$D$3:$D$202,"",0,))</f>
        <v/>
      </c>
      <c r="N49" s="74" t="str">
        <f t="array" ref="N49">XLOOKUP('Area Deliberations'!$L49,'Results and Rankings'!$A$3:$A$202,'Results and Rankings'!$N$3:$N$202,NumberOfTeams+1,0,)</f>
        <v>#VALUE!</v>
      </c>
      <c r="O49" s="74"/>
    </row>
    <row r="50" ht="19.5" customHeight="1">
      <c r="B50" s="74"/>
      <c r="C50" s="74" t="str">
        <f t="array" ref="C50">IF(ISBLANK('Area Deliberations'!$B50),"",XLOOKUP('Area Deliberations'!$B50,'Team and Program Information'!$C$3:$C$202,'Team and Program Information'!$D$3:$D$202,"",0,))</f>
        <v/>
      </c>
      <c r="D50" s="74" t="str">
        <f t="array" ref="D50">XLOOKUP('Area Deliberations'!$B50,'Results and Rankings'!$A$3:$A$202,'Results and Rankings'!$N$3:$N$202,NumberOfTeams+1,0,)</f>
        <v>#VALUE!</v>
      </c>
      <c r="E50" s="74"/>
      <c r="F50" s="102"/>
      <c r="G50" s="74"/>
      <c r="H50" s="74" t="str">
        <f t="array" ref="H50">IF(ISBLANK('Area Deliberations'!$G50),"",XLOOKUP('Area Deliberations'!$G50,'Team and Program Information'!$C$3:$C$202,'Team and Program Information'!$D$3:$D$202,"",0,))</f>
        <v/>
      </c>
      <c r="I50" s="74" t="str">
        <f t="array" ref="I50">XLOOKUP('Area Deliberations'!$G50,'Results and Rankings'!$A$3:$A$202,'Results and Rankings'!$N$3:$N$202,NumberOfTeams+1,0,)</f>
        <v>#VALUE!</v>
      </c>
      <c r="J50" s="74"/>
      <c r="K50" s="102"/>
      <c r="L50" s="74"/>
      <c r="M50" s="74" t="str">
        <f t="array" ref="M50">IF(ISBLANK('Area Deliberations'!$L50),"",XLOOKUP('Area Deliberations'!$L50,'Team and Program Information'!$C$3:$C$202,'Team and Program Information'!$D$3:$D$202,"",0,))</f>
        <v/>
      </c>
      <c r="N50" s="74" t="str">
        <f t="array" ref="N50">XLOOKUP('Area Deliberations'!$L50,'Results and Rankings'!$A$3:$A$202,'Results and Rankings'!$N$3:$N$202,NumberOfTeams+1,0,)</f>
        <v>#VALUE!</v>
      </c>
      <c r="O50" s="74"/>
    </row>
    <row r="51" ht="19.5" customHeight="1">
      <c r="B51" s="74"/>
      <c r="C51" s="74" t="str">
        <f t="array" ref="C51">IF(ISBLANK('Area Deliberations'!$B51),"",XLOOKUP('Area Deliberations'!$B51,'Team and Program Information'!$C$3:$C$202,'Team and Program Information'!$D$3:$D$202,"",0,))</f>
        <v/>
      </c>
      <c r="D51" s="74" t="str">
        <f t="array" ref="D51">XLOOKUP('Area Deliberations'!$B51,'Results and Rankings'!$A$3:$A$202,'Results and Rankings'!$N$3:$N$202,NumberOfTeams+1,0,)</f>
        <v>#VALUE!</v>
      </c>
      <c r="E51" s="74"/>
      <c r="F51" s="102"/>
      <c r="G51" s="74"/>
      <c r="H51" s="74" t="str">
        <f t="array" ref="H51">IF(ISBLANK('Area Deliberations'!$G51),"",XLOOKUP('Area Deliberations'!$G51,'Team and Program Information'!$C$3:$C$202,'Team and Program Information'!$D$3:$D$202,"",0,))</f>
        <v/>
      </c>
      <c r="I51" s="74" t="str">
        <f t="array" ref="I51">XLOOKUP('Area Deliberations'!$G51,'Results and Rankings'!$A$3:$A$202,'Results and Rankings'!$N$3:$N$202,NumberOfTeams+1,0,)</f>
        <v>#VALUE!</v>
      </c>
      <c r="J51" s="74"/>
      <c r="K51" s="102"/>
      <c r="L51" s="74"/>
      <c r="M51" s="74" t="str">
        <f t="array" ref="M51">IF(ISBLANK('Area Deliberations'!$L51),"",XLOOKUP('Area Deliberations'!$L51,'Team and Program Information'!$C$3:$C$202,'Team and Program Information'!$D$3:$D$202,"",0,))</f>
        <v/>
      </c>
      <c r="N51" s="74" t="str">
        <f t="array" ref="N51">XLOOKUP('Area Deliberations'!$L51,'Results and Rankings'!$A$3:$A$202,'Results and Rankings'!$N$3:$N$202,NumberOfTeams+1,0,)</f>
        <v>#VALUE!</v>
      </c>
      <c r="O51" s="74"/>
    </row>
    <row r="52" ht="19.5" customHeight="1">
      <c r="B52" s="74"/>
      <c r="C52" s="74" t="str">
        <f t="array" ref="C52">IF(ISBLANK('Area Deliberations'!$B52),"",XLOOKUP('Area Deliberations'!$B52,'Team and Program Information'!$C$3:$C$202,'Team and Program Information'!$D$3:$D$202,"",0,))</f>
        <v/>
      </c>
      <c r="D52" s="74" t="str">
        <f t="array" ref="D52">XLOOKUP('Area Deliberations'!$B52,'Results and Rankings'!$A$3:$A$202,'Results and Rankings'!$N$3:$N$202,NumberOfTeams+1,0,)</f>
        <v>#VALUE!</v>
      </c>
      <c r="E52" s="74"/>
      <c r="F52" s="102"/>
      <c r="G52" s="74"/>
      <c r="H52" s="74" t="str">
        <f t="array" ref="H52">IF(ISBLANK('Area Deliberations'!$G52),"",XLOOKUP('Area Deliberations'!$G52,'Team and Program Information'!$C$3:$C$202,'Team and Program Information'!$D$3:$D$202,"",0,))</f>
        <v/>
      </c>
      <c r="I52" s="74" t="str">
        <f t="array" ref="I52">XLOOKUP('Area Deliberations'!$G52,'Results and Rankings'!$A$3:$A$202,'Results and Rankings'!$N$3:$N$202,NumberOfTeams+1,0,)</f>
        <v>#VALUE!</v>
      </c>
      <c r="J52" s="74"/>
      <c r="K52" s="102"/>
      <c r="L52" s="74"/>
      <c r="M52" s="74" t="str">
        <f t="array" ref="M52">IF(ISBLANK('Area Deliberations'!$L52),"",XLOOKUP('Area Deliberations'!$L52,'Team and Program Information'!$C$3:$C$202,'Team and Program Information'!$D$3:$D$202,"",0,))</f>
        <v/>
      </c>
      <c r="N52" s="74" t="str">
        <f t="array" ref="N52">XLOOKUP('Area Deliberations'!$L52,'Results and Rankings'!$A$3:$A$202,'Results and Rankings'!$N$3:$N$202,NumberOfTeams+1,0,)</f>
        <v>#VALUE!</v>
      </c>
      <c r="O52" s="74"/>
    </row>
    <row r="53" ht="19.5" customHeight="1">
      <c r="B53" s="74"/>
      <c r="C53" s="74" t="str">
        <f t="array" ref="C53">IF(ISBLANK('Area Deliberations'!$B53),"",XLOOKUP('Area Deliberations'!$B53,'Team and Program Information'!$C$3:$C$202,'Team and Program Information'!$D$3:$D$202,"",0,))</f>
        <v/>
      </c>
      <c r="D53" s="74" t="str">
        <f t="array" ref="D53">XLOOKUP('Area Deliberations'!$B53,'Results and Rankings'!$A$3:$A$202,'Results and Rankings'!$N$3:$N$202,NumberOfTeams+1,0,)</f>
        <v>#VALUE!</v>
      </c>
      <c r="E53" s="74"/>
      <c r="F53" s="102"/>
      <c r="G53" s="74"/>
      <c r="H53" s="74" t="str">
        <f t="array" ref="H53">IF(ISBLANK('Area Deliberations'!$G53),"",XLOOKUP('Area Deliberations'!$G53,'Team and Program Information'!$C$3:$C$202,'Team and Program Information'!$D$3:$D$202,"",0,))</f>
        <v/>
      </c>
      <c r="I53" s="74" t="str">
        <f t="array" ref="I53">XLOOKUP('Area Deliberations'!$G53,'Results and Rankings'!$A$3:$A$202,'Results and Rankings'!$N$3:$N$202,NumberOfTeams+1,0,)</f>
        <v>#VALUE!</v>
      </c>
      <c r="J53" s="74"/>
      <c r="K53" s="102"/>
      <c r="L53" s="74"/>
      <c r="M53" s="74" t="str">
        <f t="array" ref="M53">IF(ISBLANK('Area Deliberations'!$L53),"",XLOOKUP('Area Deliberations'!$L53,'Team and Program Information'!$C$3:$C$202,'Team and Program Information'!$D$3:$D$202,"",0,))</f>
        <v/>
      </c>
      <c r="N53" s="74" t="str">
        <f t="array" ref="N53">XLOOKUP('Area Deliberations'!$L53,'Results and Rankings'!$A$3:$A$202,'Results and Rankings'!$N$3:$N$202,NumberOfTeams+1,0,)</f>
        <v>#VALUE!</v>
      </c>
      <c r="O53" s="74"/>
    </row>
    <row r="54" ht="19.5" customHeight="1">
      <c r="B54" s="74"/>
      <c r="C54" s="74" t="str">
        <f t="array" ref="C54">IF(ISBLANK('Area Deliberations'!$B54),"",XLOOKUP('Area Deliberations'!$B54,'Team and Program Information'!$C$3:$C$202,'Team and Program Information'!$D$3:$D$202,"",0,))</f>
        <v/>
      </c>
      <c r="D54" s="74" t="str">
        <f t="array" ref="D54">XLOOKUP('Area Deliberations'!$B54,'Results and Rankings'!$A$3:$A$202,'Results and Rankings'!$N$3:$N$202,NumberOfTeams+1,0,)</f>
        <v>#VALUE!</v>
      </c>
      <c r="E54" s="74"/>
      <c r="F54" s="102"/>
      <c r="G54" s="74"/>
      <c r="H54" s="74" t="str">
        <f t="array" ref="H54">IF(ISBLANK('Area Deliberations'!$G54),"",XLOOKUP('Area Deliberations'!$G54,'Team and Program Information'!$C$3:$C$202,'Team and Program Information'!$D$3:$D$202,"",0,))</f>
        <v/>
      </c>
      <c r="I54" s="74" t="str">
        <f t="array" ref="I54">XLOOKUP('Area Deliberations'!$G54,'Results and Rankings'!$A$3:$A$202,'Results and Rankings'!$N$3:$N$202,NumberOfTeams+1,0,)</f>
        <v>#VALUE!</v>
      </c>
      <c r="J54" s="74"/>
      <c r="K54" s="102"/>
      <c r="L54" s="74"/>
      <c r="M54" s="74" t="str">
        <f t="array" ref="M54">IF(ISBLANK('Area Deliberations'!$L54),"",XLOOKUP('Area Deliberations'!$L54,'Team and Program Information'!$C$3:$C$202,'Team and Program Information'!$D$3:$D$202,"",0,))</f>
        <v/>
      </c>
      <c r="N54" s="74" t="str">
        <f t="array" ref="N54">XLOOKUP('Area Deliberations'!$L54,'Results and Rankings'!$A$3:$A$202,'Results and Rankings'!$N$3:$N$202,NumberOfTeams+1,0,)</f>
        <v>#VALUE!</v>
      </c>
      <c r="O54" s="74"/>
    </row>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FLL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0x01010008A997C5561FD94D82BEA37A4242D399</vt:lpwstr>
  </property>
</Properties>
</file>